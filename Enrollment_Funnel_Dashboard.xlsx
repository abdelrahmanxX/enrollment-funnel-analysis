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" sheetId="2" state="visible" r:id="rId4"/>
    <sheet name="Monthly" sheetId="3" state="visible" r:id="rId5"/>
    <sheet name="Data" sheetId="4" state="visible" r:id="rId6"/>
    <sheet name="Data_Quality" sheetId="5" state="visible" r:id="rId7"/>
    <sheet name="About" sheetId="6" state="visible" r:id="rId8"/>
  </sheets>
  <definedNames>
    <definedName function="false" hidden="true" localSheetId="3" name="_xlnm._FilterDatabase" vbProcedure="false">Data!$A$1:$N$1606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<sst xmlns="http://schemas.openxmlformats.org/spreadsheetml/2006/main" count="8166" uniqueCount="1717">
  <si>
    <t xml:space="preserve">Enrollment Funnel Dashboard</t>
  </si>
  <si>
    <t xml:space="preserve">SYNTHETIC DATA (portfolio project) | Snapshot: 30-Aug-2026 | Only records flagged OK in Data_Quality are counted | Recent weeks are immature: later-stage conversions have not happened yet</t>
  </si>
  <si>
    <t xml:space="preserve">Total leads</t>
  </si>
  <si>
    <t xml:space="preserve">Contacted %</t>
  </si>
  <si>
    <t xml:space="preserve">Applications</t>
  </si>
  <si>
    <t xml:space="preserve">Admitted</t>
  </si>
  <si>
    <t xml:space="preserve">Enrolled</t>
  </si>
  <si>
    <t xml:space="preserve">Lead → Enrolled %</t>
  </si>
  <si>
    <t xml:space="preserve">Avg days to 1st contact</t>
  </si>
  <si>
    <t xml:space="preserve">1) ENROLLMENT FUNNEL</t>
  </si>
  <si>
    <t xml:space="preserve">Stage</t>
  </si>
  <si>
    <t xml:space="preserve">Count</t>
  </si>
  <si>
    <t xml:space="preserve">% of all leads</t>
  </si>
  <si>
    <t xml:space="preserve">vs previous stage</t>
  </si>
  <si>
    <t xml:space="preserve">Leads</t>
  </si>
  <si>
    <t xml:space="preserve">Contacted</t>
  </si>
  <si>
    <t xml:space="preserve">Applied</t>
  </si>
  <si>
    <t xml:space="preserve">2) CONVERSION BY LEAD SOURCE (sorted by Lead → Enrolled)</t>
  </si>
  <si>
    <t xml:space="preserve">Source</t>
  </si>
  <si>
    <t xml:space="preserve">Lead → App %</t>
  </si>
  <si>
    <t xml:space="preserve">App → Enrolled %</t>
  </si>
  <si>
    <t xml:space="preserve">Walk-in</t>
  </si>
  <si>
    <t xml:space="preserve">Referral</t>
  </si>
  <si>
    <t xml:space="preserve">School Visit</t>
  </si>
  <si>
    <t xml:space="preserve">Education Fair</t>
  </si>
  <si>
    <t xml:space="preserve">Google Ads</t>
  </si>
  <si>
    <t xml:space="preserve">Meta Ads</t>
  </si>
  <si>
    <t xml:space="preserve">Website Organic</t>
  </si>
  <si>
    <t xml:space="preserve">All sources</t>
  </si>
  <si>
    <t xml:space="preserve">3) CONVERSION BY PROGRAM (sorted by Lead → Enrolled)</t>
  </si>
  <si>
    <t xml:space="preserve">Program</t>
  </si>
  <si>
    <t xml:space="preserve">App → Admit %</t>
  </si>
  <si>
    <t xml:space="preserve">Computer Science</t>
  </si>
  <si>
    <t xml:space="preserve">Business Administration</t>
  </si>
  <si>
    <t xml:space="preserve">Mass Communication</t>
  </si>
  <si>
    <t xml:space="preserve">Health Sciences</t>
  </si>
  <si>
    <t xml:space="preserve">Engineering</t>
  </si>
  <si>
    <t xml:space="preserve">4) FOLLOW-UP PERFORMANCE BY COUNSELOR</t>
  </si>
  <si>
    <t xml:space="preserve">Counselor</t>
  </si>
  <si>
    <t xml:space="preserve">Avg follow-ups</t>
  </si>
  <si>
    <t xml:space="preserve">Counselor A</t>
  </si>
  <si>
    <t xml:space="preserve">Counselor B</t>
  </si>
  <si>
    <t xml:space="preserve">Counselor C</t>
  </si>
  <si>
    <t xml:space="preserve">Counselor D</t>
  </si>
  <si>
    <t xml:space="preserve">Counselor E</t>
  </si>
  <si>
    <t xml:space="preserve">Counselor F</t>
  </si>
  <si>
    <t xml:space="preserve">5) SPEED-TO-CONTACT EFFECT</t>
  </si>
  <si>
    <t xml:space="preserve">First contact</t>
  </si>
  <si>
    <t xml:space="preserve">Within 2 days</t>
  </si>
  <si>
    <t xml:space="preserve">More than 2 days</t>
  </si>
  <si>
    <t xml:space="preserve">6) KEY INSIGHTS (auto-generated from the tables above)</t>
  </si>
  <si>
    <t xml:space="preserve">Week #</t>
  </si>
  <si>
    <t xml:space="preserve">Week start (Mon)</t>
  </si>
  <si>
    <t xml:space="preserve">Forecast: Leads</t>
  </si>
  <si>
    <t xml:space="preserve">Forecast: Applications</t>
  </si>
  <si>
    <t xml:space="preserve">Notes</t>
  </si>
  <si>
    <t xml:space="preserve">Blue = the one hardcoded input (first week start). All other cells are formulas on the Data sheet (valid records only).</t>
  </si>
  <si>
    <t xml:space="preserve">Leads counted by created_date; Applications by application_date; Enrolled by enroll_date, all within the Mon-Sun week.</t>
  </si>
  <si>
    <t xml:space="preserve">Forecast (grey rows) = naive linear trend (FORECAST) over the 26 weeks above. Illustrative only: it does not model seasonality or campaign calendars.</t>
  </si>
  <si>
    <t xml:space="preserve">The first forecast-column cell on the last actual week repeats the actual value so the chart line joins up.</t>
  </si>
  <si>
    <t xml:space="preserve">Lead cohort (month created)</t>
  </si>
  <si>
    <t xml:space="preserve">Total</t>
  </si>
  <si>
    <t xml:space="preserve">Cohort view: each row follows the leads created in that month. Later cohorts look weaker because their applications/enrolments are still pending at the 30-Aug-2026 snapshot, not because quality dropped.</t>
  </si>
  <si>
    <t xml:space="preserve">Blue = hardcoded input (first month). Everything else is a formula on the Data sheet (valid records only).</t>
  </si>
  <si>
    <t xml:space="preserve">lead_id</t>
  </si>
  <si>
    <t xml:space="preserve">created_date</t>
  </si>
  <si>
    <t xml:space="preserve">source</t>
  </si>
  <si>
    <t xml:space="preserve">program</t>
  </si>
  <si>
    <t xml:space="preserve">school_type</t>
  </si>
  <si>
    <t xml:space="preserve">counselor</t>
  </si>
  <si>
    <t xml:space="preserve">first_contact_date</t>
  </si>
  <si>
    <t xml:space="preserve">application_date</t>
  </si>
  <si>
    <t xml:space="preserve">admit_date</t>
  </si>
  <si>
    <t xml:space="preserve">enroll_date</t>
  </si>
  <si>
    <t xml:space="preserve">follow_ups</t>
  </si>
  <si>
    <t xml:space="preserve">stage</t>
  </si>
  <si>
    <t xml:space="preserve">days_to_first_contact</t>
  </si>
  <si>
    <t xml:space="preserve">dq_flag</t>
  </si>
  <si>
    <t xml:space="preserve">L1059</t>
  </si>
  <si>
    <t xml:space="preserve">IGCSE</t>
  </si>
  <si>
    <t xml:space="preserve">L1469</t>
  </si>
  <si>
    <t xml:space="preserve">Azhar/Other</t>
  </si>
  <si>
    <t xml:space="preserve">L1487</t>
  </si>
  <si>
    <t xml:space="preserve">L1944</t>
  </si>
  <si>
    <t xml:space="preserve">IB</t>
  </si>
  <si>
    <t xml:space="preserve">L2482</t>
  </si>
  <si>
    <t xml:space="preserve">L1734</t>
  </si>
  <si>
    <t xml:space="preserve">L2010</t>
  </si>
  <si>
    <t xml:space="preserve">L2164</t>
  </si>
  <si>
    <t xml:space="preserve">National (Thanaweya Amma)</t>
  </si>
  <si>
    <t xml:space="preserve">L2207</t>
  </si>
  <si>
    <t xml:space="preserve">L2570</t>
  </si>
  <si>
    <t xml:space="preserve">L1421</t>
  </si>
  <si>
    <t xml:space="preserve">L2071</t>
  </si>
  <si>
    <t xml:space="preserve">American Diploma</t>
  </si>
  <si>
    <t xml:space="preserve">L1277</t>
  </si>
  <si>
    <t xml:space="preserve">L1676</t>
  </si>
  <si>
    <t xml:space="preserve">L1815</t>
  </si>
  <si>
    <t xml:space="preserve">L1877</t>
  </si>
  <si>
    <t xml:space="preserve">L2078</t>
  </si>
  <si>
    <t xml:space="preserve">L1024</t>
  </si>
  <si>
    <t xml:space="preserve">L1085</t>
  </si>
  <si>
    <t xml:space="preserve">L1838</t>
  </si>
  <si>
    <t xml:space="preserve">L1231</t>
  </si>
  <si>
    <t xml:space="preserve">L1268</t>
  </si>
  <si>
    <t xml:space="preserve">L1303</t>
  </si>
  <si>
    <t xml:space="preserve">L1713</t>
  </si>
  <si>
    <t xml:space="preserve">L2018</t>
  </si>
  <si>
    <t xml:space="preserve">L2339</t>
  </si>
  <si>
    <t xml:space="preserve">L1945</t>
  </si>
  <si>
    <t xml:space="preserve">L2028</t>
  </si>
  <si>
    <t xml:space="preserve">L2136</t>
  </si>
  <si>
    <t xml:space="preserve">L1168</t>
  </si>
  <si>
    <t xml:space="preserve">L1404</t>
  </si>
  <si>
    <t xml:space="preserve">L1702</t>
  </si>
  <si>
    <t xml:space="preserve">L2159</t>
  </si>
  <si>
    <t xml:space="preserve">L2497</t>
  </si>
  <si>
    <t xml:space="preserve">L2540</t>
  </si>
  <si>
    <t xml:space="preserve">L1381</t>
  </si>
  <si>
    <t xml:space="preserve">L1416</t>
  </si>
  <si>
    <t xml:space="preserve">L1974</t>
  </si>
  <si>
    <t xml:space="preserve">L1215</t>
  </si>
  <si>
    <t xml:space="preserve">L1582</t>
  </si>
  <si>
    <t xml:space="preserve">L1666</t>
  </si>
  <si>
    <t xml:space="preserve">L1715</t>
  </si>
  <si>
    <t xml:space="preserve">L1789</t>
  </si>
  <si>
    <t xml:space="preserve">L2431</t>
  </si>
  <si>
    <t xml:space="preserve">L2467</t>
  </si>
  <si>
    <t xml:space="preserve">L2578</t>
  </si>
  <si>
    <t xml:space="preserve">L1079</t>
  </si>
  <si>
    <t xml:space="preserve">L1246</t>
  </si>
  <si>
    <t xml:space="preserve">L1355</t>
  </si>
  <si>
    <t xml:space="preserve">L1116</t>
  </si>
  <si>
    <t xml:space="preserve">L2380</t>
  </si>
  <si>
    <t xml:space="preserve">L2495</t>
  </si>
  <si>
    <t xml:space="preserve">L1620</t>
  </si>
  <si>
    <t xml:space="preserve">L2455</t>
  </si>
  <si>
    <t xml:space="preserve">L2522</t>
  </si>
  <si>
    <t xml:space="preserve">L1405</t>
  </si>
  <si>
    <t xml:space="preserve">L1769</t>
  </si>
  <si>
    <t xml:space="preserve">L1963</t>
  </si>
  <si>
    <t xml:space="preserve">L1964</t>
  </si>
  <si>
    <t xml:space="preserve">L2084</t>
  </si>
  <si>
    <t xml:space="preserve">L2441</t>
  </si>
  <si>
    <t xml:space="preserve">L1271</t>
  </si>
  <si>
    <t xml:space="preserve">L1384</t>
  </si>
  <si>
    <t xml:space="preserve">L2100</t>
  </si>
  <si>
    <t xml:space="preserve">L2420</t>
  </si>
  <si>
    <t xml:space="preserve">L1310</t>
  </si>
  <si>
    <t xml:space="preserve">L1835</t>
  </si>
  <si>
    <t xml:space="preserve">L2122</t>
  </si>
  <si>
    <t xml:space="preserve">L2393</t>
  </si>
  <si>
    <t xml:space="preserve">L2413</t>
  </si>
  <si>
    <t xml:space="preserve">L1825</t>
  </si>
  <si>
    <t xml:space="preserve">L1850</t>
  </si>
  <si>
    <t xml:space="preserve">L2279</t>
  </si>
  <si>
    <t xml:space="preserve">L2051</t>
  </si>
  <si>
    <t xml:space="preserve">L2163</t>
  </si>
  <si>
    <t xml:space="preserve">L2521</t>
  </si>
  <si>
    <t xml:space="preserve">L2556</t>
  </si>
  <si>
    <t xml:space="preserve">L1166</t>
  </si>
  <si>
    <t xml:space="preserve">L2033</t>
  </si>
  <si>
    <t xml:space="preserve">L1409</t>
  </si>
  <si>
    <t xml:space="preserve">L1578</t>
  </si>
  <si>
    <t xml:space="preserve">L1791</t>
  </si>
  <si>
    <t xml:space="preserve">L2438</t>
  </si>
  <si>
    <t xml:space="preserve">L1067</t>
  </si>
  <si>
    <t xml:space="preserve">L1207</t>
  </si>
  <si>
    <t xml:space="preserve">L1843</t>
  </si>
  <si>
    <t xml:space="preserve">L1927</t>
  </si>
  <si>
    <t xml:space="preserve">L2272</t>
  </si>
  <si>
    <t xml:space="preserve">L2421</t>
  </si>
  <si>
    <t xml:space="preserve">L2460</t>
  </si>
  <si>
    <t xml:space="preserve">L2480</t>
  </si>
  <si>
    <t xml:space="preserve">L2215</t>
  </si>
  <si>
    <t xml:space="preserve">L2363</t>
  </si>
  <si>
    <t xml:space="preserve">L1248</t>
  </si>
  <si>
    <t xml:space="preserve">L1485</t>
  </si>
  <si>
    <t xml:space="preserve">L1505</t>
  </si>
  <si>
    <t xml:space="preserve">L2068</t>
  </si>
  <si>
    <t xml:space="preserve">L2506</t>
  </si>
  <si>
    <t xml:space="preserve">L2519</t>
  </si>
  <si>
    <t xml:space="preserve">L1106</t>
  </si>
  <si>
    <t xml:space="preserve">L1353</t>
  </si>
  <si>
    <t xml:space="preserve">L1428</t>
  </si>
  <si>
    <t xml:space="preserve">L1644</t>
  </si>
  <si>
    <t xml:space="preserve">L1711</t>
  </si>
  <si>
    <t xml:space="preserve">L1755</t>
  </si>
  <si>
    <t xml:space="preserve">L2085</t>
  </si>
  <si>
    <t xml:space="preserve">L2214</t>
  </si>
  <si>
    <t xml:space="preserve">L2406</t>
  </si>
  <si>
    <t xml:space="preserve">L1176</t>
  </si>
  <si>
    <t xml:space="preserve">L1432</t>
  </si>
  <si>
    <t xml:space="preserve">L1836</t>
  </si>
  <si>
    <t xml:space="preserve">L2048</t>
  </si>
  <si>
    <t xml:space="preserve">L2510</t>
  </si>
  <si>
    <t xml:space="preserve">L2568</t>
  </si>
  <si>
    <t xml:space="preserve">L1600</t>
  </si>
  <si>
    <t xml:space="preserve">L1460</t>
  </si>
  <si>
    <t xml:space="preserve">L1905</t>
  </si>
  <si>
    <t xml:space="preserve">L2194</t>
  </si>
  <si>
    <t xml:space="preserve">L2217</t>
  </si>
  <si>
    <t xml:space="preserve">L2230</t>
  </si>
  <si>
    <t xml:space="preserve">L1064</t>
  </si>
  <si>
    <t xml:space="preserve">L1084</t>
  </si>
  <si>
    <t xml:space="preserve">L1188</t>
  </si>
  <si>
    <t xml:space="preserve">L1368</t>
  </si>
  <si>
    <t xml:space="preserve">L2435</t>
  </si>
  <si>
    <t xml:space="preserve">L1691</t>
  </si>
  <si>
    <t xml:space="preserve">L1874</t>
  </si>
  <si>
    <t xml:space="preserve">L2002</t>
  </si>
  <si>
    <t xml:space="preserve">L2069</t>
  </si>
  <si>
    <t xml:space="preserve">L2179</t>
  </si>
  <si>
    <t xml:space="preserve">L1143</t>
  </si>
  <si>
    <t xml:space="preserve">L1320</t>
  </si>
  <si>
    <t xml:space="preserve">L1744</t>
  </si>
  <si>
    <t xml:space="preserve">L1869</t>
  </si>
  <si>
    <t xml:space="preserve">L1956</t>
  </si>
  <si>
    <t xml:space="preserve">L2126</t>
  </si>
  <si>
    <t xml:space="preserve">L2487</t>
  </si>
  <si>
    <t xml:space="preserve">L1319</t>
  </si>
  <si>
    <t xml:space="preserve">L1433</t>
  </si>
  <si>
    <t xml:space="preserve">L1452</t>
  </si>
  <si>
    <t xml:space="preserve">L1612</t>
  </si>
  <si>
    <t xml:space="preserve">L1679</t>
  </si>
  <si>
    <t xml:space="preserve">L1680</t>
  </si>
  <si>
    <t xml:space="preserve">L1907</t>
  </si>
  <si>
    <t xml:space="preserve">L2342</t>
  </si>
  <si>
    <t xml:space="preserve">L2561</t>
  </si>
  <si>
    <t xml:space="preserve">L1117</t>
  </si>
  <si>
    <t xml:space="preserve">L1372</t>
  </si>
  <si>
    <t xml:space="preserve">L1419</t>
  </si>
  <si>
    <t xml:space="preserve">L1544</t>
  </si>
  <si>
    <t xml:space="preserve">L1720</t>
  </si>
  <si>
    <t xml:space="preserve">L2098</t>
  </si>
  <si>
    <t xml:space="preserve">L2462</t>
  </si>
  <si>
    <t xml:space="preserve">L2563</t>
  </si>
  <si>
    <t xml:space="preserve">L1149</t>
  </si>
  <si>
    <t xml:space="preserve">L1756</t>
  </si>
  <si>
    <t xml:space="preserve">L2156</t>
  </si>
  <si>
    <t xml:space="preserve">L2169</t>
  </si>
  <si>
    <t xml:space="preserve">L2200</t>
  </si>
  <si>
    <t xml:space="preserve">L2404</t>
  </si>
  <si>
    <t xml:space="preserve">L2443</t>
  </si>
  <si>
    <t xml:space="preserve">L2511</t>
  </si>
  <si>
    <t xml:space="preserve">L1102</t>
  </si>
  <si>
    <t xml:space="preserve">L1114</t>
  </si>
  <si>
    <t xml:space="preserve">L1278</t>
  </si>
  <si>
    <t xml:space="preserve">L1552</t>
  </si>
  <si>
    <t xml:space="preserve">L2076</t>
  </si>
  <si>
    <t xml:space="preserve">L2181</t>
  </si>
  <si>
    <t xml:space="preserve">L2228</t>
  </si>
  <si>
    <t xml:space="preserve">L2265</t>
  </si>
  <si>
    <t xml:space="preserve">L1169</t>
  </si>
  <si>
    <t xml:space="preserve">L1249</t>
  </si>
  <si>
    <t xml:space="preserve">L1297</t>
  </si>
  <si>
    <t xml:space="preserve">L2037</t>
  </si>
  <si>
    <t xml:space="preserve">L2255</t>
  </si>
  <si>
    <t xml:space="preserve">L1147</t>
  </si>
  <si>
    <t xml:space="preserve">L1283</t>
  </si>
  <si>
    <t xml:space="preserve">L1456</t>
  </si>
  <si>
    <t xml:space="preserve">L1508</t>
  </si>
  <si>
    <t xml:space="preserve">L1520</t>
  </si>
  <si>
    <t xml:space="preserve">L1538</t>
  </si>
  <si>
    <t xml:space="preserve">L2108</t>
  </si>
  <si>
    <t xml:space="preserve">L2248</t>
  </si>
  <si>
    <t xml:space="preserve">L2273</t>
  </si>
  <si>
    <t xml:space="preserve">L2368</t>
  </si>
  <si>
    <t xml:space="preserve">L1126</t>
  </si>
  <si>
    <t xml:space="preserve">L1253</t>
  </si>
  <si>
    <t xml:space="preserve">L1435</t>
  </si>
  <si>
    <t xml:space="preserve">L1466</t>
  </si>
  <si>
    <t xml:space="preserve">L1866</t>
  </si>
  <si>
    <t xml:space="preserve">L1911</t>
  </si>
  <si>
    <t xml:space="preserve">L2199</t>
  </si>
  <si>
    <t xml:space="preserve">L2308</t>
  </si>
  <si>
    <t xml:space="preserve">L2436</t>
  </si>
  <si>
    <t xml:space="preserve">L1156</t>
  </si>
  <si>
    <t xml:space="preserve">L1490</t>
  </si>
  <si>
    <t xml:space="preserve">L1499</t>
  </si>
  <si>
    <t xml:space="preserve">L1587</t>
  </si>
  <si>
    <t xml:space="preserve">L1748</t>
  </si>
  <si>
    <t xml:space="preserve">L1984</t>
  </si>
  <si>
    <t xml:space="preserve">L1987</t>
  </si>
  <si>
    <t xml:space="preserve">L2442</t>
  </si>
  <si>
    <t xml:space="preserve">L2560</t>
  </si>
  <si>
    <t xml:space="preserve">L1650</t>
  </si>
  <si>
    <t xml:space="preserve">L2391</t>
  </si>
  <si>
    <t xml:space="preserve">L2466</t>
  </si>
  <si>
    <t xml:space="preserve">L1298</t>
  </si>
  <si>
    <t xml:space="preserve">L1863</t>
  </si>
  <si>
    <t xml:space="preserve">L2468</t>
  </si>
  <si>
    <t xml:space="preserve">L2586</t>
  </si>
  <si>
    <t xml:space="preserve">L2598</t>
  </si>
  <si>
    <t xml:space="preserve">L1968</t>
  </si>
  <si>
    <t xml:space="preserve">L2006</t>
  </si>
  <si>
    <t xml:space="preserve">L2080</t>
  </si>
  <si>
    <t xml:space="preserve">L2348</t>
  </si>
  <si>
    <t xml:space="preserve">L2351</t>
  </si>
  <si>
    <t xml:space="preserve">L1178</t>
  </si>
  <si>
    <t xml:space="preserve">L1362</t>
  </si>
  <si>
    <t xml:space="preserve">L1948</t>
  </si>
  <si>
    <t xml:space="preserve">L2317</t>
  </si>
  <si>
    <t xml:space="preserve">L1343</t>
  </si>
  <si>
    <t xml:space="preserve">L1579</t>
  </si>
  <si>
    <t xml:space="preserve">L1595</t>
  </si>
  <si>
    <t xml:space="preserve">L2038</t>
  </si>
  <si>
    <t xml:space="preserve">L2089</t>
  </si>
  <si>
    <t xml:space="preserve">L2165</t>
  </si>
  <si>
    <t xml:space="preserve">L2190</t>
  </si>
  <si>
    <t xml:space="preserve">L2195</t>
  </si>
  <si>
    <t xml:space="preserve">L1245</t>
  </si>
  <si>
    <t xml:space="preserve">L1536</t>
  </si>
  <si>
    <t xml:space="preserve">L1596</t>
  </si>
  <si>
    <t xml:space="preserve">L1917</t>
  </si>
  <si>
    <t xml:space="preserve">L2434</t>
  </si>
  <si>
    <t xml:space="preserve">L1077</t>
  </si>
  <si>
    <t xml:space="preserve">L1252</t>
  </si>
  <si>
    <t xml:space="preserve">L1349</t>
  </si>
  <si>
    <t xml:space="preserve">L1500</t>
  </si>
  <si>
    <t xml:space="preserve">L1952</t>
  </si>
  <si>
    <t xml:space="preserve">L1995</t>
  </si>
  <si>
    <t xml:space="preserve">L2233</t>
  </si>
  <si>
    <t xml:space="preserve">L2327</t>
  </si>
  <si>
    <t xml:space="preserve">L2474</t>
  </si>
  <si>
    <t xml:space="preserve">L1351</t>
  </si>
  <si>
    <t xml:space="preserve">L1376</t>
  </si>
  <si>
    <t xml:space="preserve">L1735</t>
  </si>
  <si>
    <t xml:space="preserve">L1816</t>
  </si>
  <si>
    <t xml:space="preserve">L1868</t>
  </si>
  <si>
    <t xml:space="preserve">L2144</t>
  </si>
  <si>
    <t xml:space="preserve">L2440</t>
  </si>
  <si>
    <t xml:space="preserve">L2508</t>
  </si>
  <si>
    <t xml:space="preserve">L1191</t>
  </si>
  <si>
    <t xml:space="preserve">L1282</t>
  </si>
  <si>
    <t xml:space="preserve">L1390</t>
  </si>
  <si>
    <t xml:space="preserve">L1436</t>
  </si>
  <si>
    <t xml:space="preserve">L1533</t>
  </si>
  <si>
    <t xml:space="preserve">L1583</t>
  </si>
  <si>
    <t xml:space="preserve">L1752</t>
  </si>
  <si>
    <t xml:space="preserve">L2008</t>
  </si>
  <si>
    <t xml:space="preserve">L2059</t>
  </si>
  <si>
    <t xml:space="preserve">L2117</t>
  </si>
  <si>
    <t xml:space="preserve">L1198</t>
  </si>
  <si>
    <t xml:space="preserve">L1305</t>
  </si>
  <si>
    <t xml:space="preserve">L1348</t>
  </si>
  <si>
    <t xml:space="preserve">L1639</t>
  </si>
  <si>
    <t xml:space="preserve">L1823</t>
  </si>
  <si>
    <t xml:space="preserve">L1916</t>
  </si>
  <si>
    <t xml:space="preserve">L2454</t>
  </si>
  <si>
    <t xml:space="preserve">L1266</t>
  </si>
  <si>
    <t xml:space="preserve">L1844</t>
  </si>
  <si>
    <t xml:space="preserve">L2073</t>
  </si>
  <si>
    <t xml:space="preserve">L2367</t>
  </si>
  <si>
    <t xml:space="preserve">L2416</t>
  </si>
  <si>
    <t xml:space="preserve">L1001</t>
  </si>
  <si>
    <t xml:space="preserve">L1048</t>
  </si>
  <si>
    <t xml:space="preserve">L1159</t>
  </si>
  <si>
    <t xml:space="preserve">L1316</t>
  </si>
  <si>
    <t xml:space="preserve">L1446</t>
  </si>
  <si>
    <t xml:space="preserve">L1473</t>
  </si>
  <si>
    <t xml:space="preserve">L1805</t>
  </si>
  <si>
    <t xml:space="preserve">L2238</t>
  </si>
  <si>
    <t xml:space="preserve">L2549</t>
  </si>
  <si>
    <t xml:space="preserve">L2565</t>
  </si>
  <si>
    <t xml:space="preserve">L2593</t>
  </si>
  <si>
    <t xml:space="preserve">L1483</t>
  </si>
  <si>
    <t xml:space="preserve">L1547</t>
  </si>
  <si>
    <t xml:space="preserve">L2162</t>
  </si>
  <si>
    <t xml:space="preserve">L1027</t>
  </si>
  <si>
    <t xml:space="preserve">L1092</t>
  </si>
  <si>
    <t xml:space="preserve">L1220</t>
  </si>
  <si>
    <t xml:space="preserve">L2079</t>
  </si>
  <si>
    <t xml:space="preserve">L2095</t>
  </si>
  <si>
    <t xml:space="preserve">L2323</t>
  </si>
  <si>
    <t xml:space="preserve">L2557</t>
  </si>
  <si>
    <t xml:space="preserve">L1008</t>
  </si>
  <si>
    <t xml:space="preserve">L1311</t>
  </si>
  <si>
    <t xml:space="preserve">L2252</t>
  </si>
  <si>
    <t xml:space="preserve">L1171</t>
  </si>
  <si>
    <t xml:space="preserve">L1208</t>
  </si>
  <si>
    <t xml:space="preserve">L1370</t>
  </si>
  <si>
    <t xml:space="preserve">L1465</t>
  </si>
  <si>
    <t xml:space="preserve">L1481</t>
  </si>
  <si>
    <t xml:space="preserve">L1946</t>
  </si>
  <si>
    <t xml:space="preserve">L2157</t>
  </si>
  <si>
    <t xml:space="preserve">L2543</t>
  </si>
  <si>
    <t xml:space="preserve">L2545</t>
  </si>
  <si>
    <t xml:space="preserve">L1119</t>
  </si>
  <si>
    <t xml:space="preserve">L1576</t>
  </si>
  <si>
    <t xml:space="preserve">L1594</t>
  </si>
  <si>
    <t xml:space="preserve">L1643</t>
  </si>
  <si>
    <t xml:space="preserve">L1656</t>
  </si>
  <si>
    <t xml:space="preserve">L1834</t>
  </si>
  <si>
    <t xml:space="preserve">L2124</t>
  </si>
  <si>
    <t xml:space="preserve">L2397</t>
  </si>
  <si>
    <t xml:space="preserve">L2501</t>
  </si>
  <si>
    <t xml:space="preserve">L2534</t>
  </si>
  <si>
    <t xml:space="preserve">L1045</t>
  </si>
  <si>
    <t xml:space="preserve">L1448</t>
  </si>
  <si>
    <t xml:space="preserve">L1886</t>
  </si>
  <si>
    <t xml:space="preserve">L1960</t>
  </si>
  <si>
    <t xml:space="preserve">L2354</t>
  </si>
  <si>
    <t xml:space="preserve">L2473</t>
  </si>
  <si>
    <t xml:space="preserve">L1514</t>
  </si>
  <si>
    <t xml:space="preserve">L1558</t>
  </si>
  <si>
    <t xml:space="preserve">L1645</t>
  </si>
  <si>
    <t xml:space="preserve">L1885</t>
  </si>
  <si>
    <t xml:space="preserve">L2023</t>
  </si>
  <si>
    <t xml:space="preserve">L2110</t>
  </si>
  <si>
    <t xml:space="preserve">L2515</t>
  </si>
  <si>
    <t xml:space="preserve">L1031</t>
  </si>
  <si>
    <t xml:space="preserve">L1135</t>
  </si>
  <si>
    <t xml:space="preserve">L1401</t>
  </si>
  <si>
    <t xml:space="preserve">L1411</t>
  </si>
  <si>
    <t xml:space="preserve">L1794</t>
  </si>
  <si>
    <t xml:space="preserve">L1935</t>
  </si>
  <si>
    <t xml:space="preserve">L1998</t>
  </si>
  <si>
    <t xml:space="preserve">L2294</t>
  </si>
  <si>
    <t xml:space="preserve">L2297</t>
  </si>
  <si>
    <t xml:space="preserve">L2516</t>
  </si>
  <si>
    <t xml:space="preserve">L2537</t>
  </si>
  <si>
    <t xml:space="preserve">L2573</t>
  </si>
  <si>
    <t xml:space="preserve">L1020</t>
  </si>
  <si>
    <t xml:space="preserve">L1146</t>
  </si>
  <si>
    <t xml:space="preserve">L1211</t>
  </si>
  <si>
    <t xml:space="preserve">L1453</t>
  </si>
  <si>
    <t xml:space="preserve">L1459</t>
  </si>
  <si>
    <t xml:space="preserve">L2026</t>
  </si>
  <si>
    <t xml:space="preserve">L2550</t>
  </si>
  <si>
    <t xml:space="preserve">L1203</t>
  </si>
  <si>
    <t xml:space="preserve">L1232</t>
  </si>
  <si>
    <t xml:space="preserve">L1426</t>
  </si>
  <si>
    <t xml:space="preserve">L1754</t>
  </si>
  <si>
    <t xml:space="preserve">L1879</t>
  </si>
  <si>
    <t xml:space="preserve">L2176</t>
  </si>
  <si>
    <t xml:space="preserve">L2205</t>
  </si>
  <si>
    <t xml:space="preserve">L2277</t>
  </si>
  <si>
    <t xml:space="preserve">L2335</t>
  </si>
  <si>
    <t xml:space="preserve">L2373</t>
  </si>
  <si>
    <t xml:space="preserve">L1213</t>
  </si>
  <si>
    <t xml:space="preserve">L1250</t>
  </si>
  <si>
    <t xml:space="preserve">L1608</t>
  </si>
  <si>
    <t xml:space="preserve">L1999</t>
  </si>
  <si>
    <t xml:space="preserve">L2486</t>
  </si>
  <si>
    <t xml:space="preserve">L1154</t>
  </si>
  <si>
    <t xml:space="preserve">L1819</t>
  </si>
  <si>
    <t xml:space="preserve">L1912</t>
  </si>
  <si>
    <t xml:space="preserve">L1933</t>
  </si>
  <si>
    <t xml:space="preserve">L2411</t>
  </si>
  <si>
    <t xml:space="preserve">L1563</t>
  </si>
  <si>
    <t xml:space="preserve">L1799</t>
  </si>
  <si>
    <t xml:space="preserve">L1821</t>
  </si>
  <si>
    <t xml:space="preserve">L1959</t>
  </si>
  <si>
    <t xml:space="preserve">L1589</t>
  </si>
  <si>
    <t xml:space="preserve">L1985</t>
  </si>
  <si>
    <t xml:space="preserve">L2125</t>
  </si>
  <si>
    <t xml:space="preserve">L2352</t>
  </si>
  <si>
    <t xml:space="preserve">L2355</t>
  </si>
  <si>
    <t xml:space="preserve">L2387</t>
  </si>
  <si>
    <t xml:space="preserve">L2558</t>
  </si>
  <si>
    <t xml:space="preserve">L1099</t>
  </si>
  <si>
    <t xml:space="preserve">L1767</t>
  </si>
  <si>
    <t xml:space="preserve">L2025</t>
  </si>
  <si>
    <t xml:space="preserve">L2484</t>
  </si>
  <si>
    <t xml:space="preserve">L1163</t>
  </si>
  <si>
    <t xml:space="preserve">L1387</t>
  </si>
  <si>
    <t xml:space="preserve">L1402</t>
  </si>
  <si>
    <t xml:space="preserve">L1706</t>
  </si>
  <si>
    <t xml:space="preserve">L2236</t>
  </si>
  <si>
    <t xml:space="preserve">L2340</t>
  </si>
  <si>
    <t xml:space="preserve">L1043</t>
  </si>
  <si>
    <t xml:space="preserve">L1379</t>
  </si>
  <si>
    <t xml:space="preserve">L1479</t>
  </si>
  <si>
    <t xml:space="preserve">L1667</t>
  </si>
  <si>
    <t xml:space="preserve">L2288</t>
  </si>
  <si>
    <t xml:space="preserve">L2290</t>
  </si>
  <si>
    <t xml:space="preserve">L2349</t>
  </si>
  <si>
    <t xml:space="preserve">L1115</t>
  </si>
  <si>
    <t xml:space="preserve">L1737</t>
  </si>
  <si>
    <t xml:space="preserve">L1785</t>
  </si>
  <si>
    <t xml:space="preserve">L2094</t>
  </si>
  <si>
    <t xml:space="preserve">L2314</t>
  </si>
  <si>
    <t xml:space="preserve">L2536</t>
  </si>
  <si>
    <t xml:space="preserve">L1216</t>
  </si>
  <si>
    <t xml:space="preserve">L1425</t>
  </si>
  <si>
    <t xml:space="preserve">L2330</t>
  </si>
  <si>
    <t xml:space="preserve">L2379</t>
  </si>
  <si>
    <t xml:space="preserve">L2553</t>
  </si>
  <si>
    <t xml:space="preserve">L1019</t>
  </si>
  <si>
    <t xml:space="preserve">L1237</t>
  </si>
  <si>
    <t xml:space="preserve">L1529</t>
  </si>
  <si>
    <t xml:space="preserve">L1670</t>
  </si>
  <si>
    <t xml:space="preserve">L1775</t>
  </si>
  <si>
    <t xml:space="preserve">L1814</t>
  </si>
  <si>
    <t xml:space="preserve">L2216</t>
  </si>
  <si>
    <t xml:space="preserve">L2218</t>
  </si>
  <si>
    <t xml:space="preserve">L2292</t>
  </si>
  <si>
    <t xml:space="preserve">L2407</t>
  </si>
  <si>
    <t xml:space="preserve">L2580</t>
  </si>
  <si>
    <t xml:space="preserve">L1081</t>
  </si>
  <si>
    <t xml:space="preserve">L1217</t>
  </si>
  <si>
    <t xml:space="preserve">L1445</t>
  </si>
  <si>
    <t xml:space="preserve">L1619</t>
  </si>
  <si>
    <t xml:space="preserve">L1199</t>
  </si>
  <si>
    <t xml:space="preserve">L1359</t>
  </si>
  <si>
    <t xml:space="preserve">L1506</t>
  </si>
  <si>
    <t xml:space="preserve">L1681</t>
  </si>
  <si>
    <t xml:space="preserve">L1740</t>
  </si>
  <si>
    <t xml:space="preserve">L1150</t>
  </si>
  <si>
    <t xml:space="preserve">L1502</t>
  </si>
  <si>
    <t xml:space="preserve">L1627</t>
  </si>
  <si>
    <t xml:space="preserve">L1631</t>
  </si>
  <si>
    <t xml:space="preserve">L1800</t>
  </si>
  <si>
    <t xml:space="preserve">L2180</t>
  </si>
  <si>
    <t xml:space="preserve">L2341</t>
  </si>
  <si>
    <t xml:space="preserve">L2394</t>
  </si>
  <si>
    <t xml:space="preserve">L2517</t>
  </si>
  <si>
    <t xml:space="preserve">L2551</t>
  </si>
  <si>
    <t xml:space="preserve">L1185</t>
  </si>
  <si>
    <t xml:space="preserve">L1357</t>
  </si>
  <si>
    <t xml:space="preserve">L1397</t>
  </si>
  <si>
    <t xml:space="preserve">L1575</t>
  </si>
  <si>
    <t xml:space="preserve">L1950</t>
  </si>
  <si>
    <t xml:space="preserve">L2031</t>
  </si>
  <si>
    <t xml:space="preserve">L2040</t>
  </si>
  <si>
    <t xml:space="preserve">L2141</t>
  </si>
  <si>
    <t xml:space="preserve">L2263</t>
  </si>
  <si>
    <t xml:space="preserve">L2408</t>
  </si>
  <si>
    <t xml:space="preserve">L2470</t>
  </si>
  <si>
    <t xml:space="preserve">L1504</t>
  </si>
  <si>
    <t xml:space="preserve">L1854</t>
  </si>
  <si>
    <t xml:space="preserve">L2209</t>
  </si>
  <si>
    <t xml:space="preserve">L2270</t>
  </si>
  <si>
    <t xml:space="preserve">L2278</t>
  </si>
  <si>
    <t xml:space="preserve">L2310</t>
  </si>
  <si>
    <t xml:space="preserve">L1010</t>
  </si>
  <si>
    <t xml:space="preserve">L1070</t>
  </si>
  <si>
    <t xml:space="preserve">L1110</t>
  </si>
  <si>
    <t xml:space="preserve">L1180</t>
  </si>
  <si>
    <t xml:space="preserve">L1331</t>
  </si>
  <si>
    <t xml:space="preserve">L1386</t>
  </si>
  <si>
    <t xml:space="preserve">L1811</t>
  </si>
  <si>
    <t xml:space="preserve">L1978</t>
  </si>
  <si>
    <t xml:space="preserve">L2140</t>
  </si>
  <si>
    <t xml:space="preserve">L2224</t>
  </si>
  <si>
    <t xml:space="preserve">L2541</t>
  </si>
  <si>
    <t xml:space="preserve">L2579</t>
  </si>
  <si>
    <t xml:space="preserve">L1042</t>
  </si>
  <si>
    <t xml:space="preserve">L1062</t>
  </si>
  <si>
    <t xml:space="preserve">L1152</t>
  </si>
  <si>
    <t xml:space="preserve">L1306</t>
  </si>
  <si>
    <t xml:space="preserve">L1438</t>
  </si>
  <si>
    <t xml:space="preserve">L1664</t>
  </si>
  <si>
    <t xml:space="preserve">L1830</t>
  </si>
  <si>
    <t xml:space="preserve">L2161</t>
  </si>
  <si>
    <t xml:space="preserve">L2384</t>
  </si>
  <si>
    <t xml:space="preserve">L2410</t>
  </si>
  <si>
    <t xml:space="preserve">L2576</t>
  </si>
  <si>
    <t xml:space="preserve">L1226</t>
  </si>
  <si>
    <t xml:space="preserve">L1407</t>
  </si>
  <si>
    <t xml:space="preserve">L1931</t>
  </si>
  <si>
    <t xml:space="preserve">L1979</t>
  </si>
  <si>
    <t xml:space="preserve">L2221</t>
  </si>
  <si>
    <t xml:space="preserve">L2599</t>
  </si>
  <si>
    <t xml:space="preserve">L1040</t>
  </si>
  <si>
    <t xml:space="preserve">L1327</t>
  </si>
  <si>
    <t xml:space="preserve">L2012</t>
  </si>
  <si>
    <t xml:space="preserve">L2088</t>
  </si>
  <si>
    <t xml:space="preserve">L2370</t>
  </si>
  <si>
    <t xml:space="preserve">L2520</t>
  </si>
  <si>
    <t xml:space="preserve">L2527</t>
  </si>
  <si>
    <t xml:space="preserve">L1030</t>
  </si>
  <si>
    <t xml:space="preserve">L1080</t>
  </si>
  <si>
    <t xml:space="preserve">L1125</t>
  </si>
  <si>
    <t xml:space="preserve">L1190</t>
  </si>
  <si>
    <t xml:space="preserve">L1705</t>
  </si>
  <si>
    <t xml:space="preserve">L2055</t>
  </si>
  <si>
    <t xml:space="preserve">L2198</t>
  </si>
  <si>
    <t xml:space="preserve">L2220</t>
  </si>
  <si>
    <t xml:space="preserve">L2589</t>
  </si>
  <si>
    <t xml:space="preserve">L1124</t>
  </si>
  <si>
    <t xml:space="preserve">L1475</t>
  </si>
  <si>
    <t xml:space="preserve">L1953</t>
  </si>
  <si>
    <t xml:space="preserve">L1971</t>
  </si>
  <si>
    <t xml:space="preserve">L1991</t>
  </si>
  <si>
    <t xml:space="preserve">L2096</t>
  </si>
  <si>
    <t xml:space="preserve">L2149</t>
  </si>
  <si>
    <t xml:space="preserve">L2167</t>
  </si>
  <si>
    <t xml:space="preserve">L2350</t>
  </si>
  <si>
    <t xml:space="preserve">L1018</t>
  </si>
  <si>
    <t xml:space="preserve">L1302</t>
  </si>
  <si>
    <t xml:space="preserve">L1859</t>
  </si>
  <si>
    <t xml:space="preserve">L1888</t>
  </si>
  <si>
    <t xml:space="preserve">L1909</t>
  </si>
  <si>
    <t xml:space="preserve">L2087</t>
  </si>
  <si>
    <t xml:space="preserve">L2107</t>
  </si>
  <si>
    <t xml:space="preserve">L1068</t>
  </si>
  <si>
    <t xml:space="preserve">L1630</t>
  </si>
  <si>
    <t xml:space="preserve">L2266</t>
  </si>
  <si>
    <t xml:space="preserve">L2357</t>
  </si>
  <si>
    <t xml:space="preserve">L2418</t>
  </si>
  <si>
    <t xml:space="preserve">L2567</t>
  </si>
  <si>
    <t xml:space="preserve">L2588</t>
  </si>
  <si>
    <t xml:space="preserve">L1005</t>
  </si>
  <si>
    <t xml:space="preserve">L1026</t>
  </si>
  <si>
    <t xml:space="preserve">L1112</t>
  </si>
  <si>
    <t xml:space="preserve">L1139</t>
  </si>
  <si>
    <t xml:space="preserve">L1378</t>
  </si>
  <si>
    <t xml:space="preserve">L1427</t>
  </si>
  <si>
    <t xml:space="preserve">L1677</t>
  </si>
  <si>
    <t xml:space="preserve">L1940</t>
  </si>
  <si>
    <t xml:space="preserve">L2258</t>
  </si>
  <si>
    <t xml:space="preserve">L2291</t>
  </si>
  <si>
    <t xml:space="preserve">L2552</t>
  </si>
  <si>
    <t xml:space="preserve">L1172</t>
  </si>
  <si>
    <t xml:space="preserve">L1525</t>
  </si>
  <si>
    <t xml:space="preserve">L1562</t>
  </si>
  <si>
    <t xml:space="preserve">L1640</t>
  </si>
  <si>
    <t xml:space="preserve">L2375</t>
  </si>
  <si>
    <t xml:space="preserve">L1123</t>
  </si>
  <si>
    <t xml:space="preserve">L1144</t>
  </si>
  <si>
    <t xml:space="preserve">L1165</t>
  </si>
  <si>
    <t xml:space="preserve">L1498</t>
  </si>
  <si>
    <t xml:space="preserve">L1928</t>
  </si>
  <si>
    <t xml:space="preserve">L2067</t>
  </si>
  <si>
    <t xml:space="preserve">L2103</t>
  </si>
  <si>
    <t xml:space="preserve">L2249</t>
  </si>
  <si>
    <t xml:space="preserve">L2307</t>
  </si>
  <si>
    <t xml:space="preserve">L2321</t>
  </si>
  <si>
    <t xml:space="preserve">L1200</t>
  </si>
  <si>
    <t xml:space="preserve">L1257</t>
  </si>
  <si>
    <t xml:space="preserve">L1279</t>
  </si>
  <si>
    <t xml:space="preserve">L1292</t>
  </si>
  <si>
    <t xml:space="preserve">L1548</t>
  </si>
  <si>
    <t xml:space="preserve">L1827</t>
  </si>
  <si>
    <t xml:space="preserve">L1947</t>
  </si>
  <si>
    <t xml:space="preserve">L1976</t>
  </si>
  <si>
    <t xml:space="preserve">L2056</t>
  </si>
  <si>
    <t xml:space="preserve">L2518</t>
  </si>
  <si>
    <t xml:space="preserve">L1035</t>
  </si>
  <si>
    <t xml:space="preserve">L1455</t>
  </si>
  <si>
    <t xml:space="preserve">L2052</t>
  </si>
  <si>
    <t xml:space="preserve">L2075</t>
  </si>
  <si>
    <t xml:space="preserve">L2116</t>
  </si>
  <si>
    <t xml:space="preserve">L1004</t>
  </si>
  <si>
    <t xml:space="preserve">L1142</t>
  </si>
  <si>
    <t xml:space="preserve">L1336</t>
  </si>
  <si>
    <t xml:space="preserve">L1371</t>
  </si>
  <si>
    <t xml:space="preserve">L1470</t>
  </si>
  <si>
    <t xml:space="preserve">L2274</t>
  </si>
  <si>
    <t xml:space="preserve">L1148</t>
  </si>
  <si>
    <t xml:space="preserve">L1471</t>
  </si>
  <si>
    <t xml:space="preserve">L1585</t>
  </si>
  <si>
    <t xml:space="preserve">L1648</t>
  </si>
  <si>
    <t xml:space="preserve">L1675</t>
  </si>
  <si>
    <t xml:space="preserve">L1707</t>
  </si>
  <si>
    <t xml:space="preserve">L1833</t>
  </si>
  <si>
    <t xml:space="preserve">L1848</t>
  </si>
  <si>
    <t xml:space="preserve">L1903</t>
  </si>
  <si>
    <t xml:space="preserve">L1939</t>
  </si>
  <si>
    <t xml:space="preserve">L2093</t>
  </si>
  <si>
    <t xml:space="preserve">L2191</t>
  </si>
  <si>
    <t xml:space="preserve">L2235</t>
  </si>
  <si>
    <t xml:space="preserve">L1239</t>
  </si>
  <si>
    <t xml:space="preserve">L1317</t>
  </si>
  <si>
    <t xml:space="preserve">L1323</t>
  </si>
  <si>
    <t xml:space="preserve">L1439</t>
  </si>
  <si>
    <t xml:space="preserve">L1440</t>
  </si>
  <si>
    <t xml:space="preserve">L1482</t>
  </si>
  <si>
    <t xml:space="preserve">L1710</t>
  </si>
  <si>
    <t xml:space="preserve">L1860</t>
  </si>
  <si>
    <t xml:space="preserve">L1893</t>
  </si>
  <si>
    <t xml:space="preserve">L1921</t>
  </si>
  <si>
    <t xml:space="preserve">L2021</t>
  </si>
  <si>
    <t xml:space="preserve">L2183</t>
  </si>
  <si>
    <t xml:space="preserve">L2498</t>
  </si>
  <si>
    <t xml:space="preserve">L1236</t>
  </si>
  <si>
    <t xml:space="preserve">L1280</t>
  </si>
  <si>
    <t xml:space="preserve">L1333</t>
  </si>
  <si>
    <t xml:space="preserve">L1366</t>
  </si>
  <si>
    <t xml:space="preserve">L1701</t>
  </si>
  <si>
    <t xml:space="preserve">L1970</t>
  </si>
  <si>
    <t xml:space="preserve">L2381</t>
  </si>
  <si>
    <t xml:space="preserve">L2531</t>
  </si>
  <si>
    <t xml:space="preserve">L2542</t>
  </si>
  <si>
    <t xml:space="preserve">L1052</t>
  </si>
  <si>
    <t xml:space="preserve">L1354</t>
  </si>
  <si>
    <t xml:space="preserve">L1403</t>
  </si>
  <si>
    <t xml:space="preserve">L1507</t>
  </si>
  <si>
    <t xml:space="preserve">L1604</t>
  </si>
  <si>
    <t xml:space="preserve">L1742</t>
  </si>
  <si>
    <t xml:space="preserve">L1797</t>
  </si>
  <si>
    <t xml:space="preserve">L1904</t>
  </si>
  <si>
    <t xml:space="preserve">L2013</t>
  </si>
  <si>
    <t xml:space="preserve">L2015</t>
  </si>
  <si>
    <t xml:space="preserve">L2077</t>
  </si>
  <si>
    <t xml:space="preserve">L2174</t>
  </si>
  <si>
    <t xml:space="preserve">L2353</t>
  </si>
  <si>
    <t xml:space="preserve">L2457</t>
  </si>
  <si>
    <t xml:space="preserve">L2464</t>
  </si>
  <si>
    <t xml:space="preserve">L2472</t>
  </si>
  <si>
    <t xml:space="preserve">L1392</t>
  </si>
  <si>
    <t xml:space="preserve">L1415</t>
  </si>
  <si>
    <t xml:space="preserve">L1590</t>
  </si>
  <si>
    <t xml:space="preserve">L1598</t>
  </si>
  <si>
    <t xml:space="preserve">L1642</t>
  </si>
  <si>
    <t xml:space="preserve">L1678</t>
  </si>
  <si>
    <t xml:space="preserve">L1855</t>
  </si>
  <si>
    <t xml:space="preserve">L1914</t>
  </si>
  <si>
    <t xml:space="preserve">L2148</t>
  </si>
  <si>
    <t xml:space="preserve">L2192</t>
  </si>
  <si>
    <t xml:space="preserve">L1104</t>
  </si>
  <si>
    <t xml:space="preserve">L1308</t>
  </si>
  <si>
    <t xml:space="preserve">L1394</t>
  </si>
  <si>
    <t xml:space="preserve">L1804</t>
  </si>
  <si>
    <t xml:space="preserve">L2092</t>
  </si>
  <si>
    <t xml:space="preserve">L2186</t>
  </si>
  <si>
    <t xml:space="preserve">L2197</t>
  </si>
  <si>
    <t xml:space="preserve">L2268</t>
  </si>
  <si>
    <t xml:space="preserve">L2284</t>
  </si>
  <si>
    <t xml:space="preserve">L2343</t>
  </si>
  <si>
    <t xml:space="preserve">L2358</t>
  </si>
  <si>
    <t xml:space="preserve">L2499</t>
  </si>
  <si>
    <t xml:space="preserve">L1240</t>
  </si>
  <si>
    <t xml:space="preserve">L1509</t>
  </si>
  <si>
    <t xml:space="preserve">L1553</t>
  </si>
  <si>
    <t xml:space="preserve">L1624</t>
  </si>
  <si>
    <t xml:space="preserve">L1891</t>
  </si>
  <si>
    <t xml:space="preserve">L2000</t>
  </si>
  <si>
    <t xml:space="preserve">L2202</t>
  </si>
  <si>
    <t xml:space="preserve">L1017</t>
  </si>
  <si>
    <t xml:space="preserve">L1158</t>
  </si>
  <si>
    <t xml:space="preserve">L1309</t>
  </si>
  <si>
    <t xml:space="preserve">L1565</t>
  </si>
  <si>
    <t xml:space="preserve">L1694</t>
  </si>
  <si>
    <t xml:space="preserve">L1806</t>
  </si>
  <si>
    <t xml:space="preserve">L1832</t>
  </si>
  <si>
    <t xml:space="preserve">L2060</t>
  </si>
  <si>
    <t xml:space="preserve">L2264</t>
  </si>
  <si>
    <t xml:space="preserve">L2417</t>
  </si>
  <si>
    <t xml:space="preserve">L2459</t>
  </si>
  <si>
    <t xml:space="preserve">L2481</t>
  </si>
  <si>
    <t xml:space="preserve">L2592</t>
  </si>
  <si>
    <t xml:space="preserve">L1072</t>
  </si>
  <si>
    <t xml:space="preserve">L1736</t>
  </si>
  <si>
    <t xml:space="preserve">L1853</t>
  </si>
  <si>
    <t xml:space="preserve">L1887</t>
  </si>
  <si>
    <t xml:space="preserve">L1962</t>
  </si>
  <si>
    <t xml:space="preserve">L2082</t>
  </si>
  <si>
    <t xml:space="preserve">L2118</t>
  </si>
  <si>
    <t xml:space="preserve">L2147</t>
  </si>
  <si>
    <t xml:space="preserve">L2160</t>
  </si>
  <si>
    <t xml:space="preserve">L2239</t>
  </si>
  <si>
    <t xml:space="preserve">L2347</t>
  </si>
  <si>
    <t xml:space="preserve">L1053</t>
  </si>
  <si>
    <t xml:space="preserve">L1225</t>
  </si>
  <si>
    <t xml:space="preserve">L1263</t>
  </si>
  <si>
    <t xml:space="preserve">L1385</t>
  </si>
  <si>
    <t xml:space="preserve">L1467</t>
  </si>
  <si>
    <t xml:space="preserve">L1955</t>
  </si>
  <si>
    <t xml:space="preserve">L2439</t>
  </si>
  <si>
    <t xml:space="preserve">L2451</t>
  </si>
  <si>
    <t xml:space="preserve">L2453</t>
  </si>
  <si>
    <t xml:space="preserve">L1025</t>
  </si>
  <si>
    <t xml:space="preserve">L1193</t>
  </si>
  <si>
    <t xml:space="preserve">L1214</t>
  </si>
  <si>
    <t xml:space="preserve">L1275</t>
  </si>
  <si>
    <t xml:space="preserve">L1617</t>
  </si>
  <si>
    <t xml:space="preserve">L1654</t>
  </si>
  <si>
    <t xml:space="preserve">L2201</t>
  </si>
  <si>
    <t xml:space="preserve">L2485</t>
  </si>
  <si>
    <t xml:space="preserve">L1029</t>
  </si>
  <si>
    <t xml:space="preserve">L1162</t>
  </si>
  <si>
    <t xml:space="preserve">L1221</t>
  </si>
  <si>
    <t xml:space="preserve">L1294</t>
  </si>
  <si>
    <t xml:space="preserve">L1591</t>
  </si>
  <si>
    <t xml:space="preserve">L1688</t>
  </si>
  <si>
    <t xml:space="preserve">L1915</t>
  </si>
  <si>
    <t xml:space="preserve">L1930</t>
  </si>
  <si>
    <t xml:space="preserve">L1951</t>
  </si>
  <si>
    <t xml:space="preserve">L2046</t>
  </si>
  <si>
    <t xml:space="preserve">L2151</t>
  </si>
  <si>
    <t xml:space="preserve">L1022</t>
  </si>
  <si>
    <t xml:space="preserve">L1038</t>
  </si>
  <si>
    <t xml:space="preserve">L1058</t>
  </si>
  <si>
    <t xml:space="preserve">L1291</t>
  </si>
  <si>
    <t xml:space="preserve">L1422</t>
  </si>
  <si>
    <t xml:space="preserve">L1511</t>
  </si>
  <si>
    <t xml:space="preserve">L1842</t>
  </si>
  <si>
    <t xml:space="preserve">L1881</t>
  </si>
  <si>
    <t xml:space="preserve">L2293</t>
  </si>
  <si>
    <t xml:space="preserve">L2344</t>
  </si>
  <si>
    <t xml:space="preserve">L2385</t>
  </si>
  <si>
    <t xml:space="preserve">L2490</t>
  </si>
  <si>
    <t xml:space="preserve">L2514</t>
  </si>
  <si>
    <t xml:space="preserve">L1046</t>
  </si>
  <si>
    <t xml:space="preserve">L1054</t>
  </si>
  <si>
    <t xml:space="preserve">L1235</t>
  </si>
  <si>
    <t xml:space="preserve">L1328</t>
  </si>
  <si>
    <t xml:space="preserve">L1488</t>
  </si>
  <si>
    <t xml:space="preserve">L2127</t>
  </si>
  <si>
    <t xml:space="preserve">L2244</t>
  </si>
  <si>
    <t xml:space="preserve">L2476</t>
  </si>
  <si>
    <t xml:space="preserve">L2496</t>
  </si>
  <si>
    <t xml:space="preserve">L2503</t>
  </si>
  <si>
    <t xml:space="preserve">L1003</t>
  </si>
  <si>
    <t xml:space="preserve">L1129</t>
  </si>
  <si>
    <t xml:space="preserve">L1170</t>
  </si>
  <si>
    <t xml:space="preserve">L1222</t>
  </si>
  <si>
    <t xml:space="preserve">L1338</t>
  </si>
  <si>
    <t xml:space="preserve">L2225</t>
  </si>
  <si>
    <t xml:space="preserve">L2247</t>
  </si>
  <si>
    <t xml:space="preserve">L2574</t>
  </si>
  <si>
    <t xml:space="preserve">L1444</t>
  </si>
  <si>
    <t xml:space="preserve">L1484</t>
  </si>
  <si>
    <t xml:space="preserve">L2286</t>
  </si>
  <si>
    <t xml:space="preserve">L2405</t>
  </si>
  <si>
    <t xml:space="preserve">L2492</t>
  </si>
  <si>
    <t xml:space="preserve">L1063</t>
  </si>
  <si>
    <t xml:space="preserve">L1087</t>
  </si>
  <si>
    <t xml:space="preserve">L1196</t>
  </si>
  <si>
    <t xml:space="preserve">L1247</t>
  </si>
  <si>
    <t xml:space="preserve">L1374</t>
  </si>
  <si>
    <t xml:space="preserve">L1682</t>
  </si>
  <si>
    <t xml:space="preserve">L2409</t>
  </si>
  <si>
    <t xml:space="preserve">L2600</t>
  </si>
  <si>
    <t xml:space="preserve">L1296</t>
  </si>
  <si>
    <t xml:space="preserve">L1358</t>
  </si>
  <si>
    <t xml:space="preserve">L1383</t>
  </si>
  <si>
    <t xml:space="preserve">L1442</t>
  </si>
  <si>
    <t xml:space="preserve">L1512</t>
  </si>
  <si>
    <t xml:space="preserve">L1517</t>
  </si>
  <si>
    <t xml:space="preserve">L1566</t>
  </si>
  <si>
    <t xml:space="preserve">L1653</t>
  </si>
  <si>
    <t xml:space="preserve">L1847</t>
  </si>
  <si>
    <t xml:space="preserve">L1880</t>
  </si>
  <si>
    <t xml:space="preserve">L1937</t>
  </si>
  <si>
    <t xml:space="preserve">L2130</t>
  </si>
  <si>
    <t xml:space="preserve">L2414</t>
  </si>
  <si>
    <t xml:space="preserve">L2437</t>
  </si>
  <si>
    <t xml:space="preserve">L2538</t>
  </si>
  <si>
    <t xml:space="preserve">L2555</t>
  </si>
  <si>
    <t xml:space="preserve">L1244</t>
  </si>
  <si>
    <t xml:space="preserve">L1792</t>
  </si>
  <si>
    <t xml:space="preserve">L1793</t>
  </si>
  <si>
    <t xml:space="preserve">L1922</t>
  </si>
  <si>
    <t xml:space="preserve">L2113</t>
  </si>
  <si>
    <t xml:space="preserve">L2422</t>
  </si>
  <si>
    <t xml:space="preserve">L1055</t>
  </si>
  <si>
    <t xml:space="preserve">L1083</t>
  </si>
  <si>
    <t xml:space="preserve">L1704</t>
  </si>
  <si>
    <t xml:space="preserve">L1774</t>
  </si>
  <si>
    <t xml:space="preserve">L1262</t>
  </si>
  <si>
    <t xml:space="preserve">L1546</t>
  </si>
  <si>
    <t xml:space="preserve">L1709</t>
  </si>
  <si>
    <t xml:space="preserve">L1730</t>
  </si>
  <si>
    <t xml:space="preserve">L1746</t>
  </si>
  <si>
    <t xml:space="preserve">L1749</t>
  </si>
  <si>
    <t xml:space="preserve">L1763</t>
  </si>
  <si>
    <t xml:space="preserve">L2101</t>
  </si>
  <si>
    <t xml:space="preserve">L2119</t>
  </si>
  <si>
    <t xml:space="preserve">L2139</t>
  </si>
  <si>
    <t xml:space="preserve">L2259</t>
  </si>
  <si>
    <t xml:space="preserve">L2346</t>
  </si>
  <si>
    <t xml:space="preserve">L2425</t>
  </si>
  <si>
    <t xml:space="preserve">L1061</t>
  </si>
  <si>
    <t xml:space="preserve">L1120</t>
  </si>
  <si>
    <t xml:space="preserve">L1318</t>
  </si>
  <si>
    <t xml:space="preserve">L1346</t>
  </si>
  <si>
    <t xml:space="preserve">L1360</t>
  </si>
  <si>
    <t xml:space="preserve">L1537</t>
  </si>
  <si>
    <t xml:space="preserve">L2237</t>
  </si>
  <si>
    <t xml:space="preserve">L2260</t>
  </si>
  <si>
    <t xml:space="preserve">L1224</t>
  </si>
  <si>
    <t xml:space="preserve">L1270</t>
  </si>
  <si>
    <t xml:space="preserve">L1299</t>
  </si>
  <si>
    <t xml:space="preserve">L1685</t>
  </si>
  <si>
    <t xml:space="preserve">L1766</t>
  </si>
  <si>
    <t xml:space="preserve">L1790</t>
  </si>
  <si>
    <t xml:space="preserve">L2016</t>
  </si>
  <si>
    <t xml:space="preserve">L2178</t>
  </si>
  <si>
    <t xml:space="preserve">L1021</t>
  </si>
  <si>
    <t xml:space="preserve">L1559</t>
  </si>
  <si>
    <t xml:space="preserve">L1577</t>
  </si>
  <si>
    <t xml:space="preserve">L1663</t>
  </si>
  <si>
    <t xml:space="preserve">L1015</t>
  </si>
  <si>
    <t xml:space="preserve">L1267</t>
  </si>
  <si>
    <t xml:space="preserve">L1382</t>
  </si>
  <si>
    <t xml:space="preserve">L1661</t>
  </si>
  <si>
    <t xml:space="preserve">L1716</t>
  </si>
  <si>
    <t xml:space="preserve">L1876</t>
  </si>
  <si>
    <t xml:space="preserve">L2257</t>
  </si>
  <si>
    <t xml:space="preserve">L2338</t>
  </si>
  <si>
    <t xml:space="preserve">L1313</t>
  </si>
  <si>
    <t xml:space="preserve">L1347</t>
  </si>
  <si>
    <t xml:space="preserve">L1464</t>
  </si>
  <si>
    <t xml:space="preserve">L1492</t>
  </si>
  <si>
    <t xml:space="preserve">L1549</t>
  </si>
  <si>
    <t xml:space="preserve">L1560</t>
  </si>
  <si>
    <t xml:space="preserve">L1603</t>
  </si>
  <si>
    <t xml:space="preserve">L1698</t>
  </si>
  <si>
    <t xml:space="preserve">L1967</t>
  </si>
  <si>
    <t xml:space="preserve">L2171</t>
  </si>
  <si>
    <t xml:space="preserve">L1289</t>
  </si>
  <si>
    <t xml:space="preserve">L1304</t>
  </si>
  <si>
    <t xml:space="preserve">L1325</t>
  </si>
  <si>
    <t xml:space="preserve">L1515</t>
  </si>
  <si>
    <t xml:space="preserve">L1601</t>
  </si>
  <si>
    <t xml:space="preserve">L1606</t>
  </si>
  <si>
    <t xml:space="preserve">L1731</t>
  </si>
  <si>
    <t xml:space="preserve">L2184</t>
  </si>
  <si>
    <t xml:space="preserve">L2337</t>
  </si>
  <si>
    <t xml:space="preserve">L2591</t>
  </si>
  <si>
    <t xml:space="preserve">L1089</t>
  </si>
  <si>
    <t xml:space="preserve">L1153</t>
  </si>
  <si>
    <t xml:space="preserve">L1646</t>
  </si>
  <si>
    <t xml:space="preserve">L1784</t>
  </si>
  <si>
    <t xml:space="preserve">L1841</t>
  </si>
  <si>
    <t xml:space="preserve">L2054</t>
  </si>
  <si>
    <t xml:space="preserve">L2362</t>
  </si>
  <si>
    <t xml:space="preserve">L2448</t>
  </si>
  <si>
    <t xml:space="preserve">L1047</t>
  </si>
  <si>
    <t xml:space="preserve">L1057</t>
  </si>
  <si>
    <t xml:space="preserve">L1173</t>
  </si>
  <si>
    <t xml:space="preserve">L1212</t>
  </si>
  <si>
    <t xml:space="preserve">L1307</t>
  </si>
  <si>
    <t xml:space="preserve">L1418</t>
  </si>
  <si>
    <t xml:space="preserve">L1420</t>
  </si>
  <si>
    <t xml:space="preserve">L1497</t>
  </si>
  <si>
    <t xml:space="preserve">L1519</t>
  </si>
  <si>
    <t xml:space="preserve">L1776</t>
  </si>
  <si>
    <t xml:space="preserve">L1778</t>
  </si>
  <si>
    <t xml:space="preserve">L1870</t>
  </si>
  <si>
    <t xml:space="preserve">L1983</t>
  </si>
  <si>
    <t xml:space="preserve">L2043</t>
  </si>
  <si>
    <t xml:space="preserve">L2133</t>
  </si>
  <si>
    <t xml:space="preserve">L2137</t>
  </si>
  <si>
    <t xml:space="preserve">L2231</t>
  </si>
  <si>
    <t xml:space="preserve">L2240</t>
  </si>
  <si>
    <t xml:space="preserve">L2251</t>
  </si>
  <si>
    <t xml:space="preserve">L2329</t>
  </si>
  <si>
    <t xml:space="preserve">L2461</t>
  </si>
  <si>
    <t xml:space="preserve">L2502</t>
  </si>
  <si>
    <t xml:space="preserve">L1071</t>
  </si>
  <si>
    <t xml:space="preserve">L1118</t>
  </si>
  <si>
    <t xml:space="preserve">L1130</t>
  </si>
  <si>
    <t xml:space="preserve">L1192</t>
  </si>
  <si>
    <t xml:space="preserve">L1462</t>
  </si>
  <si>
    <t xml:space="preserve">L1674</t>
  </si>
  <si>
    <t xml:space="preserve">L1864</t>
  </si>
  <si>
    <t xml:space="preserve">L2042</t>
  </si>
  <si>
    <t xml:space="preserve">L2399</t>
  </si>
  <si>
    <t xml:space="preserve">L1037</t>
  </si>
  <si>
    <t xml:space="preserve">L1097</t>
  </si>
  <si>
    <t xml:space="preserve">L1227</t>
  </si>
  <si>
    <t xml:space="preserve">L1229</t>
  </si>
  <si>
    <t xml:space="preserve">L1524</t>
  </si>
  <si>
    <t xml:space="preserve">L1541</t>
  </si>
  <si>
    <t xml:space="preserve">L1708</t>
  </si>
  <si>
    <t xml:space="preserve">L1890</t>
  </si>
  <si>
    <t xml:space="preserve">L1929</t>
  </si>
  <si>
    <t xml:space="preserve">L1954</t>
  </si>
  <si>
    <t xml:space="preserve">L2004</t>
  </si>
  <si>
    <t xml:space="preserve">L2083</t>
  </si>
  <si>
    <t xml:space="preserve">L2226</t>
  </si>
  <si>
    <t xml:space="preserve">L2535</t>
  </si>
  <si>
    <t xml:space="preserve">L1260</t>
  </si>
  <si>
    <t xml:space="preserve">L1574</t>
  </si>
  <si>
    <t xml:space="preserve">L2024</t>
  </si>
  <si>
    <t xml:space="preserve">L2213</t>
  </si>
  <si>
    <t xml:space="preserve">L1161</t>
  </si>
  <si>
    <t xml:space="preserve">L1234</t>
  </si>
  <si>
    <t xml:space="preserve">L1856</t>
  </si>
  <si>
    <t xml:space="preserve">L2326</t>
  </si>
  <si>
    <t xml:space="preserve">L1050</t>
  </si>
  <si>
    <t xml:space="preserve">L1194</t>
  </si>
  <si>
    <t xml:space="preserve">L1632</t>
  </si>
  <si>
    <t xml:space="preserve">L1770</t>
  </si>
  <si>
    <t xml:space="preserve">L1875</t>
  </si>
  <si>
    <t xml:space="preserve">L1975</t>
  </si>
  <si>
    <t xml:space="preserve">L2047</t>
  </si>
  <si>
    <t xml:space="preserve">L2489</t>
  </si>
  <si>
    <t xml:space="preserve">L1088</t>
  </si>
  <si>
    <t xml:space="preserve">L1255</t>
  </si>
  <si>
    <t xml:space="preserve">L1423</t>
  </si>
  <si>
    <t xml:space="preserve">L1450</t>
  </si>
  <si>
    <t xml:space="preserve">L1584</t>
  </si>
  <si>
    <t xml:space="preserve">L1729</t>
  </si>
  <si>
    <t xml:space="preserve">L1925</t>
  </si>
  <si>
    <t xml:space="preserve">L2109</t>
  </si>
  <si>
    <t xml:space="preserve">L2271</t>
  </si>
  <si>
    <t xml:space="preserve">L2295</t>
  </si>
  <si>
    <t xml:space="preserve">L1034</t>
  </si>
  <si>
    <t xml:space="preserve">L1051</t>
  </si>
  <si>
    <t xml:space="preserve">L1186</t>
  </si>
  <si>
    <t xml:space="preserve">L1634</t>
  </si>
  <si>
    <t xml:space="preserve">L1684</t>
  </si>
  <si>
    <t xml:space="preserve">L1764</t>
  </si>
  <si>
    <t xml:space="preserve">L1826</t>
  </si>
  <si>
    <t xml:space="preserve">L1901</t>
  </si>
  <si>
    <t xml:space="preserve">L1996</t>
  </si>
  <si>
    <t xml:space="preserve">L2170</t>
  </si>
  <si>
    <t xml:space="preserve">L2546</t>
  </si>
  <si>
    <t xml:space="preserve">L1219</t>
  </si>
  <si>
    <t xml:space="preserve">L1276</t>
  </si>
  <si>
    <t xml:space="preserve">L1399</t>
  </si>
  <si>
    <t xml:space="preserve">L1491</t>
  </si>
  <si>
    <t xml:space="preserve">L1518</t>
  </si>
  <si>
    <t xml:space="preserve">L1872</t>
  </si>
  <si>
    <t xml:space="preserve">L1919</t>
  </si>
  <si>
    <t xml:space="preserve">L2032</t>
  </si>
  <si>
    <t xml:space="preserve">L2336</t>
  </si>
  <si>
    <t xml:space="preserve">L2365</t>
  </si>
  <si>
    <t xml:space="preserve">L2390</t>
  </si>
  <si>
    <t xml:space="preserve">L2539</t>
  </si>
  <si>
    <t xml:space="preserve">L1076</t>
  </si>
  <si>
    <t xml:space="preserve">L1107</t>
  </si>
  <si>
    <t xml:space="preserve">L1109</t>
  </si>
  <si>
    <t xml:space="preserve">L1393</t>
  </si>
  <si>
    <t xml:space="preserve">L1892</t>
  </si>
  <si>
    <t xml:space="preserve">L2158</t>
  </si>
  <si>
    <t xml:space="preserve">L2185</t>
  </si>
  <si>
    <t xml:space="preserve">L2471</t>
  </si>
  <si>
    <t xml:space="preserve">L1086</t>
  </si>
  <si>
    <t xml:space="preserve">L1389</t>
  </si>
  <si>
    <t xml:space="preserve">L1431</t>
  </si>
  <si>
    <t xml:space="preserve">L1449</t>
  </si>
  <si>
    <t xml:space="preserve">L1609</t>
  </si>
  <si>
    <t xml:space="preserve">L1616</t>
  </si>
  <si>
    <t xml:space="preserve">L1692</t>
  </si>
  <si>
    <t xml:space="preserve">L1733</t>
  </si>
  <si>
    <t xml:space="preserve">L1745</t>
  </si>
  <si>
    <t xml:space="preserve">L1851</t>
  </si>
  <si>
    <t xml:space="preserve">L2017</t>
  </si>
  <si>
    <t xml:space="preserve">L2374</t>
  </si>
  <si>
    <t xml:space="preserve">L2475</t>
  </si>
  <si>
    <t xml:space="preserve">L2566</t>
  </si>
  <si>
    <t xml:space="preserve">L2577</t>
  </si>
  <si>
    <t xml:space="preserve">L1400</t>
  </si>
  <si>
    <t xml:space="preserve">L1540</t>
  </si>
  <si>
    <t xml:space="preserve">L1586</t>
  </si>
  <si>
    <t xml:space="preserve">L1773</t>
  </si>
  <si>
    <t xml:space="preserve">L1840</t>
  </si>
  <si>
    <t xml:space="preserve">L1862</t>
  </si>
  <si>
    <t xml:space="preserve">L2086</t>
  </si>
  <si>
    <t xml:space="preserve">L2582</t>
  </si>
  <si>
    <t xml:space="preserve">L1028</t>
  </si>
  <si>
    <t xml:space="preserve">L1100</t>
  </si>
  <si>
    <t xml:space="preserve">L1103</t>
  </si>
  <si>
    <t xml:space="preserve">L1141</t>
  </si>
  <si>
    <t xml:space="preserve">L1555</t>
  </si>
  <si>
    <t xml:space="preserve">L1557</t>
  </si>
  <si>
    <t xml:space="preserve">L1592</t>
  </si>
  <si>
    <t xml:space="preserve">L1689</t>
  </si>
  <si>
    <t xml:space="preserve">L1873</t>
  </si>
  <si>
    <t xml:space="preserve">L2070</t>
  </si>
  <si>
    <t xml:space="preserve">L2313</t>
  </si>
  <si>
    <t xml:space="preserve">L1113</t>
  </si>
  <si>
    <t xml:space="preserve">L1155</t>
  </si>
  <si>
    <t xml:space="preserve">L1223</t>
  </si>
  <si>
    <t xml:space="preserve">L1361</t>
  </si>
  <si>
    <t xml:space="preserve">L1738</t>
  </si>
  <si>
    <t xml:space="preserve">L1990</t>
  </si>
  <si>
    <t xml:space="preserve">L2034</t>
  </si>
  <si>
    <t xml:space="preserve">L2377</t>
  </si>
  <si>
    <t xml:space="preserve">L2446</t>
  </si>
  <si>
    <t xml:space="preserve">L1121</t>
  </si>
  <si>
    <t xml:space="preserve">L1127</t>
  </si>
  <si>
    <t xml:space="preserve">L1136</t>
  </si>
  <si>
    <t xml:space="preserve">L1202</t>
  </si>
  <si>
    <t xml:space="preserve">L1238</t>
  </si>
  <si>
    <t xml:space="preserve">L1344</t>
  </si>
  <si>
    <t xml:space="preserve">L1380</t>
  </si>
  <si>
    <t xml:space="preserve">L1568</t>
  </si>
  <si>
    <t xml:space="preserve">L1718</t>
  </si>
  <si>
    <t xml:space="preserve">L1781</t>
  </si>
  <si>
    <t xml:space="preserve">L1899</t>
  </si>
  <si>
    <t xml:space="preserve">L2106</t>
  </si>
  <si>
    <t xml:space="preserve">L2189</t>
  </si>
  <si>
    <t xml:space="preserve">L1023</t>
  </si>
  <si>
    <t xml:space="preserve">L1195</t>
  </si>
  <si>
    <t xml:space="preserve">L1828</t>
  </si>
  <si>
    <t xml:space="preserve">L2392</t>
  </si>
  <si>
    <t xml:space="preserve">L2509</t>
  </si>
  <si>
    <t xml:space="preserve">L1009</t>
  </si>
  <si>
    <t xml:space="preserve">L1056</t>
  </si>
  <si>
    <t xml:space="preserve">L1082</t>
  </si>
  <si>
    <t xml:space="preserve">L1111</t>
  </si>
  <si>
    <t xml:space="preserve">L1265</t>
  </si>
  <si>
    <t xml:space="preserve">L1472</t>
  </si>
  <si>
    <t xml:space="preserve">L1526</t>
  </si>
  <si>
    <t xml:space="preserve">L1839</t>
  </si>
  <si>
    <t xml:space="preserve">L2027</t>
  </si>
  <si>
    <t xml:space="preserve">L2152</t>
  </si>
  <si>
    <t xml:space="preserve">L2172</t>
  </si>
  <si>
    <t xml:space="preserve">L2175</t>
  </si>
  <si>
    <t xml:space="preserve">L2299</t>
  </si>
  <si>
    <t xml:space="preserve">L2401</t>
  </si>
  <si>
    <t xml:space="preserve">L2450</t>
  </si>
  <si>
    <t xml:space="preserve">L2587</t>
  </si>
  <si>
    <t xml:space="preserve">L2596</t>
  </si>
  <si>
    <t xml:space="preserve">L1013</t>
  </si>
  <si>
    <t xml:space="preserve">L1095</t>
  </si>
  <si>
    <t xml:space="preserve">L1096</t>
  </si>
  <si>
    <t xml:space="preserve">L1454</t>
  </si>
  <si>
    <t xml:space="preserve">L1573</t>
  </si>
  <si>
    <t xml:space="preserve">L1610</t>
  </si>
  <si>
    <t xml:space="preserve">L1732</t>
  </si>
  <si>
    <t xml:space="preserve">L1980</t>
  </si>
  <si>
    <t xml:space="preserve">L2204</t>
  </si>
  <si>
    <t xml:space="preserve">L2296</t>
  </si>
  <si>
    <t xml:space="preserve">L2315</t>
  </si>
  <si>
    <t xml:space="preserve">L2427</t>
  </si>
  <si>
    <t xml:space="preserve">L2433</t>
  </si>
  <si>
    <t xml:space="preserve">L1002</t>
  </si>
  <si>
    <t xml:space="preserve">L1569</t>
  </si>
  <si>
    <t xml:space="preserve">L1861</t>
  </si>
  <si>
    <t xml:space="preserve">L2039</t>
  </si>
  <si>
    <t xml:space="preserve">L2415</t>
  </si>
  <si>
    <t xml:space="preserve">L1189</t>
  </si>
  <si>
    <t xml:space="preserve">L1356</t>
  </si>
  <si>
    <t xml:space="preserve">L1395</t>
  </si>
  <si>
    <t xml:space="preserve">L1406</t>
  </si>
  <si>
    <t xml:space="preserve">L1581</t>
  </si>
  <si>
    <t xml:space="preserve">L1722</t>
  </si>
  <si>
    <t xml:space="preserve">L1941</t>
  </si>
  <si>
    <t xml:space="preserve">L1982</t>
  </si>
  <si>
    <t xml:space="preserve">L2057</t>
  </si>
  <si>
    <t xml:space="preserve">L2129</t>
  </si>
  <si>
    <t xml:space="preserve">L2254</t>
  </si>
  <si>
    <t xml:space="preserve">L2280</t>
  </si>
  <si>
    <t xml:space="preserve">L2282</t>
  </si>
  <si>
    <t xml:space="preserve">L2334</t>
  </si>
  <si>
    <t xml:space="preserve">L2445</t>
  </si>
  <si>
    <t xml:space="preserve">L2528</t>
  </si>
  <si>
    <t xml:space="preserve">L2562</t>
  </si>
  <si>
    <t xml:space="preserve">L2581</t>
  </si>
  <si>
    <t xml:space="preserve">L1069</t>
  </si>
  <si>
    <t xml:space="preserve">L1181</t>
  </si>
  <si>
    <t xml:space="preserve">L1300</t>
  </si>
  <si>
    <t xml:space="preserve">L1334</t>
  </si>
  <si>
    <t xml:space="preserve">L1335</t>
  </si>
  <si>
    <t xml:space="preserve">L1441</t>
  </si>
  <si>
    <t xml:space="preserve">L1662</t>
  </si>
  <si>
    <t xml:space="preserve">L1719</t>
  </si>
  <si>
    <t xml:space="preserve">L2019</t>
  </si>
  <si>
    <t xml:space="preserve">L2058</t>
  </si>
  <si>
    <t xml:space="preserve">L2121</t>
  </si>
  <si>
    <t xml:space="preserve">L2276</t>
  </si>
  <si>
    <t xml:space="preserve">L2324</t>
  </si>
  <si>
    <t xml:space="preserve">L2583</t>
  </si>
  <si>
    <t xml:space="preserve">L1352</t>
  </si>
  <si>
    <t xml:space="preserve">L1468</t>
  </si>
  <si>
    <t xml:space="preserve">L1521</t>
  </si>
  <si>
    <t xml:space="preserve">L1539</t>
  </si>
  <si>
    <t xml:space="preserve">L1728</t>
  </si>
  <si>
    <t xml:space="preserve">L1822</t>
  </si>
  <si>
    <t xml:space="preserve">L1932</t>
  </si>
  <si>
    <t xml:space="preserve">L1938</t>
  </si>
  <si>
    <t xml:space="preserve">L1966</t>
  </si>
  <si>
    <t xml:space="preserve">L2115</t>
  </si>
  <si>
    <t xml:space="preserve">L2138</t>
  </si>
  <si>
    <t xml:space="preserve">L2146</t>
  </si>
  <si>
    <t xml:space="preserve">L2388</t>
  </si>
  <si>
    <t xml:space="preserve">L2463</t>
  </si>
  <si>
    <t xml:space="preserve">L1041</t>
  </si>
  <si>
    <t xml:space="preserve">L1137</t>
  </si>
  <si>
    <t xml:space="preserve">L1140</t>
  </si>
  <si>
    <t xml:space="preserve">L1182</t>
  </si>
  <si>
    <t xml:space="preserve">L1274</t>
  </si>
  <si>
    <t xml:space="preserve">L1414</t>
  </si>
  <si>
    <t xml:space="preserve">L1458</t>
  </si>
  <si>
    <t xml:space="preserve">L1494</t>
  </si>
  <si>
    <t xml:space="preserve">L1614</t>
  </si>
  <si>
    <t xml:space="preserve">L1638</t>
  </si>
  <si>
    <t xml:space="preserve">L1699</t>
  </si>
  <si>
    <t xml:space="preserve">L1994</t>
  </si>
  <si>
    <t xml:space="preserve">L2005</t>
  </si>
  <si>
    <t xml:space="preserve">L2150</t>
  </si>
  <si>
    <t xml:space="preserve">L2206</t>
  </si>
  <si>
    <t xml:space="preserve">L2382</t>
  </si>
  <si>
    <t xml:space="preserve">L2544</t>
  </si>
  <si>
    <t xml:space="preserve">L2554</t>
  </si>
  <si>
    <t xml:space="preserve">L1889</t>
  </si>
  <si>
    <t xml:space="preserve">L1943</t>
  </si>
  <si>
    <t xml:space="preserve">L2011</t>
  </si>
  <si>
    <t xml:space="preserve">L2155</t>
  </si>
  <si>
    <t xml:space="preserve">L2319</t>
  </si>
  <si>
    <t xml:space="preserve">L2403</t>
  </si>
  <si>
    <t xml:space="preserve">L2423</t>
  </si>
  <si>
    <t xml:space="preserve">L2452</t>
  </si>
  <si>
    <t xml:space="preserve">L1049</t>
  </si>
  <si>
    <t xml:space="preserve">L1132</t>
  </si>
  <si>
    <t xml:space="preserve">L1396</t>
  </si>
  <si>
    <t xml:space="preserve">L1571</t>
  </si>
  <si>
    <t xml:space="preserve">L1700</t>
  </si>
  <si>
    <t xml:space="preserve">L1782</t>
  </si>
  <si>
    <t xml:space="preserve">L1802</t>
  </si>
  <si>
    <t xml:space="preserve">L1936</t>
  </si>
  <si>
    <t xml:space="preserve">L2262</t>
  </si>
  <si>
    <t xml:space="preserve">L2287</t>
  </si>
  <si>
    <t xml:space="preserve">L2345</t>
  </si>
  <si>
    <t xml:space="preserve">L2526</t>
  </si>
  <si>
    <t xml:space="preserve">L2569</t>
  </si>
  <si>
    <t xml:space="preserve">L2597</t>
  </si>
  <si>
    <t xml:space="preserve">L1284</t>
  </si>
  <si>
    <t xml:space="preserve">L1531</t>
  </si>
  <si>
    <t xml:space="preserve">L1580</t>
  </si>
  <si>
    <t xml:space="preserve">L1625</t>
  </si>
  <si>
    <t xml:space="preserve">L1626</t>
  </si>
  <si>
    <t xml:space="preserve">L1637</t>
  </si>
  <si>
    <t xml:space="preserve">L1743</t>
  </si>
  <si>
    <t xml:space="preserve">L1845</t>
  </si>
  <si>
    <t xml:space="preserve">L1858</t>
  </si>
  <si>
    <t xml:space="preserve">L1882</t>
  </si>
  <si>
    <t xml:space="preserve">L1926</t>
  </si>
  <si>
    <t xml:space="preserve">L2003</t>
  </si>
  <si>
    <t xml:space="preserve">L2120</t>
  </si>
  <si>
    <t xml:space="preserve">L2153</t>
  </si>
  <si>
    <t xml:space="preserve">L2210</t>
  </si>
  <si>
    <t xml:space="preserve">L2227</t>
  </si>
  <si>
    <t xml:space="preserve">L2378</t>
  </si>
  <si>
    <t xml:space="preserve">L2396</t>
  </si>
  <si>
    <t xml:space="preserve">L2398</t>
  </si>
  <si>
    <t xml:space="preserve">L2524</t>
  </si>
  <si>
    <t xml:space="preserve">L2564</t>
  </si>
  <si>
    <t xml:space="preserve">L2575</t>
  </si>
  <si>
    <t xml:space="preserve">L1044</t>
  </si>
  <si>
    <t xml:space="preserve">L1324</t>
  </si>
  <si>
    <t xml:space="preserve">L1408</t>
  </si>
  <si>
    <t xml:space="preserve">L1751</t>
  </si>
  <si>
    <t xml:space="preserve">L1898</t>
  </si>
  <si>
    <t xml:space="preserve">L2030</t>
  </si>
  <si>
    <t xml:space="preserve">L2063</t>
  </si>
  <si>
    <t xml:space="preserve">L2065</t>
  </si>
  <si>
    <t xml:space="preserve">L2114</t>
  </si>
  <si>
    <t xml:space="preserve">L2193</t>
  </si>
  <si>
    <t xml:space="preserve">L2289</t>
  </si>
  <si>
    <t xml:space="preserve">L2361</t>
  </si>
  <si>
    <t xml:space="preserve">L1201</t>
  </si>
  <si>
    <t xml:space="preserve">L1256</t>
  </si>
  <si>
    <t xml:space="preserve">L1281</t>
  </si>
  <si>
    <t xml:space="preserve">L1290</t>
  </si>
  <si>
    <t xml:space="preserve">L1295</t>
  </si>
  <si>
    <t xml:space="preserve">L1437</t>
  </si>
  <si>
    <t xml:space="preserve">L1564</t>
  </si>
  <si>
    <t xml:space="preserve">L1597</t>
  </si>
  <si>
    <t xml:space="preserve">L1673</t>
  </si>
  <si>
    <t xml:space="preserve">L2208</t>
  </si>
  <si>
    <t xml:space="preserve">L2250</t>
  </si>
  <si>
    <t xml:space="preserve">L2285</t>
  </si>
  <si>
    <t xml:space="preserve">L1264</t>
  </si>
  <si>
    <t xml:space="preserve">L1364</t>
  </si>
  <si>
    <t xml:space="preserve">L1447</t>
  </si>
  <si>
    <t xml:space="preserve">L1543</t>
  </si>
  <si>
    <t xml:space="preserve">L1545</t>
  </si>
  <si>
    <t xml:space="preserve">L1725</t>
  </si>
  <si>
    <t xml:space="preserve">L1760</t>
  </si>
  <si>
    <t xml:space="preserve">L1779</t>
  </si>
  <si>
    <t xml:space="preserve">L1807</t>
  </si>
  <si>
    <t xml:space="preserve">L1878</t>
  </si>
  <si>
    <t xml:space="preserve">L1884</t>
  </si>
  <si>
    <t xml:space="preserve">L2145</t>
  </si>
  <si>
    <t xml:space="preserve">L2298</t>
  </si>
  <si>
    <t xml:space="preserve">L2533</t>
  </si>
  <si>
    <t xml:space="preserve">L2594</t>
  </si>
  <si>
    <t xml:space="preserve">L1014</t>
  </si>
  <si>
    <t xml:space="preserve">L1160</t>
  </si>
  <si>
    <t xml:space="preserve">L1204</t>
  </si>
  <si>
    <t xml:space="preserve">L1241</t>
  </si>
  <si>
    <t xml:space="preserve">L1287</t>
  </si>
  <si>
    <t xml:space="preserve">L1391</t>
  </si>
  <si>
    <t xml:space="preserve">L1410</t>
  </si>
  <si>
    <t xml:space="preserve">L1621</t>
  </si>
  <si>
    <t xml:space="preserve">L1683</t>
  </si>
  <si>
    <t xml:space="preserve">L1697</t>
  </si>
  <si>
    <t xml:space="preserve">L1717</t>
  </si>
  <si>
    <t xml:space="preserve">L1772</t>
  </si>
  <si>
    <t xml:space="preserve">L1777</t>
  </si>
  <si>
    <t xml:space="preserve">L1796</t>
  </si>
  <si>
    <t xml:space="preserve">L1801</t>
  </si>
  <si>
    <t xml:space="preserve">L1867</t>
  </si>
  <si>
    <t xml:space="preserve">L1871</t>
  </si>
  <si>
    <t xml:space="preserve">L2044</t>
  </si>
  <si>
    <t xml:space="preserve">L2105</t>
  </si>
  <si>
    <t xml:space="preserve">L2177</t>
  </si>
  <si>
    <t xml:space="preserve">L2223</t>
  </si>
  <si>
    <t xml:space="preserve">L2283</t>
  </si>
  <si>
    <t xml:space="preserve">L2559</t>
  </si>
  <si>
    <t xml:space="preserve">L2571</t>
  </si>
  <si>
    <t xml:space="preserve">L1164</t>
  </si>
  <si>
    <t xml:space="preserve">L1205</t>
  </si>
  <si>
    <t xml:space="preserve">L1206</t>
  </si>
  <si>
    <t xml:space="preserve">L1695</t>
  </si>
  <si>
    <t xml:space="preserve">L1865</t>
  </si>
  <si>
    <t xml:space="preserve">L2102</t>
  </si>
  <si>
    <t xml:space="preserve">L2188</t>
  </si>
  <si>
    <t xml:space="preserve">L2359</t>
  </si>
  <si>
    <t xml:space="preserve">L1133</t>
  </si>
  <si>
    <t xml:space="preserve">L1350</t>
  </si>
  <si>
    <t xml:space="preserve">L1493</t>
  </si>
  <si>
    <t xml:space="preserve">L1602</t>
  </si>
  <si>
    <t xml:space="preserve">L1817</t>
  </si>
  <si>
    <t xml:space="preserve">L1961</t>
  </si>
  <si>
    <t xml:space="preserve">L2182</t>
  </si>
  <si>
    <t xml:space="preserve">L1326</t>
  </si>
  <si>
    <t xml:space="preserve">L1345</t>
  </si>
  <si>
    <t xml:space="preserve">L1363</t>
  </si>
  <si>
    <t xml:space="preserve">L1535</t>
  </si>
  <si>
    <t xml:space="preserve">L1824</t>
  </si>
  <si>
    <t xml:space="preserve">L1900</t>
  </si>
  <si>
    <t xml:space="preserve">L2090</t>
  </si>
  <si>
    <t xml:space="preserve">L2234</t>
  </si>
  <si>
    <t xml:space="preserve">L2241</t>
  </si>
  <si>
    <t xml:space="preserve">L2372</t>
  </si>
  <si>
    <t xml:space="preserve">L1073</t>
  </si>
  <si>
    <t xml:space="preserve">L1105</t>
  </si>
  <si>
    <t xml:space="preserve">L1187</t>
  </si>
  <si>
    <t xml:space="preserve">L1301</t>
  </si>
  <si>
    <t xml:space="preserve">L1417</t>
  </si>
  <si>
    <t xml:space="preserve">L1628</t>
  </si>
  <si>
    <t xml:space="preserve">L1693</t>
  </si>
  <si>
    <t xml:space="preserve">L1757</t>
  </si>
  <si>
    <t xml:space="preserve">L1803</t>
  </si>
  <si>
    <t xml:space="preserve">L1895</t>
  </si>
  <si>
    <t xml:space="preserve">L1920</t>
  </si>
  <si>
    <t xml:space="preserve">L1957</t>
  </si>
  <si>
    <t xml:space="preserve">L2229</t>
  </si>
  <si>
    <t xml:space="preserve">L2356</t>
  </si>
  <si>
    <t xml:space="preserve">L2360</t>
  </si>
  <si>
    <t xml:space="preserve">L2491</t>
  </si>
  <si>
    <t xml:space="preserve">L2525</t>
  </si>
  <si>
    <t xml:space="preserve">L1128</t>
  </si>
  <si>
    <t xml:space="preserve">L1443</t>
  </si>
  <si>
    <t xml:space="preserve">L1495</t>
  </si>
  <si>
    <t xml:space="preserve">L1496</t>
  </si>
  <si>
    <t xml:space="preserve">L1510</t>
  </si>
  <si>
    <t xml:space="preserve">L1605</t>
  </si>
  <si>
    <t xml:space="preserve">L1726</t>
  </si>
  <si>
    <t xml:space="preserve">L2134</t>
  </si>
  <si>
    <t xml:space="preserve">L2242</t>
  </si>
  <si>
    <t xml:space="preserve">L2400</t>
  </si>
  <si>
    <t xml:space="preserve">L2458</t>
  </si>
  <si>
    <t xml:space="preserve">L2500</t>
  </si>
  <si>
    <t xml:space="preserve">L2504</t>
  </si>
  <si>
    <t xml:space="preserve">L2507</t>
  </si>
  <si>
    <t xml:space="preserve">L1006</t>
  </si>
  <si>
    <t xml:space="preserve">L1157</t>
  </si>
  <si>
    <t xml:space="preserve">L1322</t>
  </si>
  <si>
    <t xml:space="preserve">L1398</t>
  </si>
  <si>
    <t xml:space="preserve">L1477</t>
  </si>
  <si>
    <t xml:space="preserve">L1623</t>
  </si>
  <si>
    <t xml:space="preserve">L1649</t>
  </si>
  <si>
    <t xml:space="preserve">L1686</t>
  </si>
  <si>
    <t xml:space="preserve">L1741</t>
  </si>
  <si>
    <t xml:space="preserve">L1798</t>
  </si>
  <si>
    <t xml:space="preserve">L1849</t>
  </si>
  <si>
    <t xml:space="preserve">L2097</t>
  </si>
  <si>
    <t xml:space="preserve">L2376</t>
  </si>
  <si>
    <t xml:space="preserve">L2402</t>
  </si>
  <si>
    <t xml:space="preserve">L2547</t>
  </si>
  <si>
    <t xml:space="preserve">L1094</t>
  </si>
  <si>
    <t xml:space="preserve">L1101</t>
  </si>
  <si>
    <t xml:space="preserve">L1330</t>
  </si>
  <si>
    <t xml:space="preserve">L1622</t>
  </si>
  <si>
    <t xml:space="preserve">L1997</t>
  </si>
  <si>
    <t xml:space="preserve">L2036</t>
  </si>
  <si>
    <t xml:space="preserve">L2332</t>
  </si>
  <si>
    <t xml:space="preserve">L1476</t>
  </si>
  <si>
    <t xml:space="preserve">L1618</t>
  </si>
  <si>
    <t xml:space="preserve">L1672</t>
  </si>
  <si>
    <t xml:space="preserve">L1786</t>
  </si>
  <si>
    <t xml:space="preserve">L1818</t>
  </si>
  <si>
    <t xml:space="preserve">L1896</t>
  </si>
  <si>
    <t xml:space="preserve">L1972</t>
  </si>
  <si>
    <t xml:space="preserve">L2074</t>
  </si>
  <si>
    <t xml:space="preserve">L2256</t>
  </si>
  <si>
    <t xml:space="preserve">L2478</t>
  </si>
  <si>
    <t xml:space="preserve">L2505</t>
  </si>
  <si>
    <t xml:space="preserve">L1033</t>
  </si>
  <si>
    <t xml:space="preserve">L1179</t>
  </si>
  <si>
    <t xml:space="preserve">L1337</t>
  </si>
  <si>
    <t xml:space="preserve">L1373</t>
  </si>
  <si>
    <t xml:space="preserve">L1424</t>
  </si>
  <si>
    <t xml:space="preserve">L1641</t>
  </si>
  <si>
    <t xml:space="preserve">L1651</t>
  </si>
  <si>
    <t xml:space="preserve">L1913</t>
  </si>
  <si>
    <t xml:space="preserve">L2061</t>
  </si>
  <si>
    <t xml:space="preserve">L2066</t>
  </si>
  <si>
    <t xml:space="preserve">L2099</t>
  </si>
  <si>
    <t xml:space="preserve">L2267</t>
  </si>
  <si>
    <t xml:space="preserve">L2465</t>
  </si>
  <si>
    <t xml:space="preserve">L2494</t>
  </si>
  <si>
    <t xml:space="preserve">L2590</t>
  </si>
  <si>
    <t xml:space="preserve">L1613</t>
  </si>
  <si>
    <t xml:space="preserve">L1747</t>
  </si>
  <si>
    <t xml:space="preserve">L1787</t>
  </si>
  <si>
    <t xml:space="preserve">L1986</t>
  </si>
  <si>
    <t xml:space="preserve">L1993</t>
  </si>
  <si>
    <t xml:space="preserve">L2009</t>
  </si>
  <si>
    <t xml:space="preserve">L2196</t>
  </si>
  <si>
    <t xml:space="preserve">L2222</t>
  </si>
  <si>
    <t xml:space="preserve">L1016</t>
  </si>
  <si>
    <t xml:space="preserve">L1060</t>
  </si>
  <si>
    <t xml:space="preserve">L1973</t>
  </si>
  <si>
    <t xml:space="preserve">L2001</t>
  </si>
  <si>
    <t xml:space="preserve">L2062</t>
  </si>
  <si>
    <t xml:space="preserve">L2064</t>
  </si>
  <si>
    <t xml:space="preserve">L2269</t>
  </si>
  <si>
    <t xml:space="preserve">L2479</t>
  </si>
  <si>
    <t xml:space="preserve">L1367</t>
  </si>
  <si>
    <t xml:space="preserve">L1696</t>
  </si>
  <si>
    <t xml:space="preserve">L1759</t>
  </si>
  <si>
    <t xml:space="preserve">L1857</t>
  </si>
  <si>
    <t xml:space="preserve">L2104</t>
  </si>
  <si>
    <t xml:space="preserve">L2112</t>
  </si>
  <si>
    <t xml:space="preserve">L2142</t>
  </si>
  <si>
    <t xml:space="preserve">L2173</t>
  </si>
  <si>
    <t xml:space="preserve">L2243</t>
  </si>
  <si>
    <t xml:space="preserve">L2595</t>
  </si>
  <si>
    <t xml:space="preserve">L1554</t>
  </si>
  <si>
    <t xml:space="preserve">L1721</t>
  </si>
  <si>
    <t xml:space="preserve">L2045</t>
  </si>
  <si>
    <t xml:space="preserve">L2143</t>
  </si>
  <si>
    <t xml:space="preserve">L2318</t>
  </si>
  <si>
    <t xml:space="preserve">L2395</t>
  </si>
  <si>
    <t xml:space="preserve">L2412</t>
  </si>
  <si>
    <t xml:space="preserve">L2429</t>
  </si>
  <si>
    <t xml:space="preserve">L1138</t>
  </si>
  <si>
    <t xml:space="preserve">L1177</t>
  </si>
  <si>
    <t xml:space="preserve">L1183</t>
  </si>
  <si>
    <t xml:space="preserve">L1233</t>
  </si>
  <si>
    <t xml:space="preserve">L1269</t>
  </si>
  <si>
    <t xml:space="preserve">L1315</t>
  </si>
  <si>
    <t xml:space="preserve">L1430</t>
  </si>
  <si>
    <t xml:space="preserve">L1480</t>
  </si>
  <si>
    <t xml:space="preserve">L1501</t>
  </si>
  <si>
    <t xml:space="preserve">L1588</t>
  </si>
  <si>
    <t xml:space="preserve">L1687</t>
  </si>
  <si>
    <t xml:space="preserve">L1753</t>
  </si>
  <si>
    <t xml:space="preserve">L2072</t>
  </si>
  <si>
    <t xml:space="preserve">L2311</t>
  </si>
  <si>
    <t xml:space="preserve">L2316</t>
  </si>
  <si>
    <t xml:space="preserve">L2364</t>
  </si>
  <si>
    <t xml:space="preserve">L2389</t>
  </si>
  <si>
    <t xml:space="preserve">L1122</t>
  </si>
  <si>
    <t xml:space="preserve">L1134</t>
  </si>
  <si>
    <t xml:space="preserve">L1312</t>
  </si>
  <si>
    <t xml:space="preserve">L1412</t>
  </si>
  <si>
    <t xml:space="preserve">L1474</t>
  </si>
  <si>
    <t xml:space="preserve">L1550</t>
  </si>
  <si>
    <t xml:space="preserve">L1551</t>
  </si>
  <si>
    <t xml:space="preserve">L1615</t>
  </si>
  <si>
    <t xml:space="preserve">L1837</t>
  </si>
  <si>
    <t xml:space="preserve">L1883</t>
  </si>
  <si>
    <t xml:space="preserve">L1918</t>
  </si>
  <si>
    <t xml:space="preserve">L2419</t>
  </si>
  <si>
    <t xml:space="preserve">L2424</t>
  </si>
  <si>
    <t xml:space="preserve">L2493</t>
  </si>
  <si>
    <t xml:space="preserve">L2529</t>
  </si>
  <si>
    <t xml:space="preserve">L1032</t>
  </si>
  <si>
    <t xml:space="preserve">L1075</t>
  </si>
  <si>
    <t xml:space="preserve">L1230</t>
  </si>
  <si>
    <t xml:space="preserve">L1285</t>
  </si>
  <si>
    <t xml:space="preserve">L1286</t>
  </si>
  <si>
    <t xml:space="preserve">L1461</t>
  </si>
  <si>
    <t xml:space="preserve">L1478</t>
  </si>
  <si>
    <t xml:space="preserve">L1489</t>
  </si>
  <si>
    <t xml:space="preserve">L1633</t>
  </si>
  <si>
    <t xml:space="preserve">L1758</t>
  </si>
  <si>
    <t xml:space="preserve">L1829</t>
  </si>
  <si>
    <t xml:space="preserve">L1894</t>
  </si>
  <si>
    <t xml:space="preserve">L2014</t>
  </si>
  <si>
    <t xml:space="preserve">L2022</t>
  </si>
  <si>
    <t xml:space="preserve">L2131</t>
  </si>
  <si>
    <t xml:space="preserve">L2301</t>
  </si>
  <si>
    <t xml:space="preserve">L2386</t>
  </si>
  <si>
    <t xml:space="preserve">L2513</t>
  </si>
  <si>
    <t xml:space="preserve">L2584</t>
  </si>
  <si>
    <t xml:space="preserve">L1314</t>
  </si>
  <si>
    <t xml:space="preserve">L1321</t>
  </si>
  <si>
    <t xml:space="preserve">L1332</t>
  </si>
  <si>
    <t xml:space="preserve">L1532</t>
  </si>
  <si>
    <t xml:space="preserve">L1783</t>
  </si>
  <si>
    <t xml:space="preserve">L2035</t>
  </si>
  <si>
    <t xml:space="preserve">L2111</t>
  </si>
  <si>
    <t xml:space="preserve">L1108</t>
  </si>
  <si>
    <t xml:space="preserve">L1210</t>
  </si>
  <si>
    <t xml:space="preserve">L1542</t>
  </si>
  <si>
    <t xml:space="preserve">L1556</t>
  </si>
  <si>
    <t xml:space="preserve">L1750</t>
  </si>
  <si>
    <t xml:space="preserve">L1808</t>
  </si>
  <si>
    <t xml:space="preserve">L1812</t>
  </si>
  <si>
    <t xml:space="preserve">L2219</t>
  </si>
  <si>
    <t xml:space="preserve">L2253</t>
  </si>
  <si>
    <t xml:space="preserve">L2432</t>
  </si>
  <si>
    <t xml:space="preserve">L2483</t>
  </si>
  <si>
    <t xml:space="preserve">L2523</t>
  </si>
  <si>
    <t xml:space="preserve">L2532</t>
  </si>
  <si>
    <t xml:space="preserve">L1090</t>
  </si>
  <si>
    <t xml:space="preserve">L1293</t>
  </si>
  <si>
    <t xml:space="preserve">L1365</t>
  </si>
  <si>
    <t xml:space="preserve">L1457</t>
  </si>
  <si>
    <t xml:space="preserve">L1503</t>
  </si>
  <si>
    <t xml:space="preserve">L1570</t>
  </si>
  <si>
    <t xml:space="preserve">L1636</t>
  </si>
  <si>
    <t xml:space="preserve">L1657</t>
  </si>
  <si>
    <t xml:space="preserve">L2128</t>
  </si>
  <si>
    <t xml:space="preserve">L2245</t>
  </si>
  <si>
    <t xml:space="preserve">L2303</t>
  </si>
  <si>
    <t xml:space="preserve">L2320</t>
  </si>
  <si>
    <t xml:space="preserve">L2444</t>
  </si>
  <si>
    <t xml:space="preserve">L1341</t>
  </si>
  <si>
    <t xml:space="preserve">L1434</t>
  </si>
  <si>
    <t xml:space="preserve">L1522</t>
  </si>
  <si>
    <t xml:space="preserve">L1924</t>
  </si>
  <si>
    <t xml:space="preserve">L1981</t>
  </si>
  <si>
    <t xml:space="preserve">L2041</t>
  </si>
  <si>
    <t xml:space="preserve">L2166</t>
  </si>
  <si>
    <t xml:space="preserve">L2168</t>
  </si>
  <si>
    <t xml:space="preserve">L2322</t>
  </si>
  <si>
    <t xml:space="preserve">L2325</t>
  </si>
  <si>
    <t xml:space="preserve">L2383</t>
  </si>
  <si>
    <t xml:space="preserve">L2469</t>
  </si>
  <si>
    <t xml:space="preserve">L2530</t>
  </si>
  <si>
    <t xml:space="preserve">L1065</t>
  </si>
  <si>
    <t xml:space="preserve">L1151</t>
  </si>
  <si>
    <t xml:space="preserve">L1209</t>
  </si>
  <si>
    <t xml:space="preserve">L1258</t>
  </si>
  <si>
    <t xml:space="preserve">L1611</t>
  </si>
  <si>
    <t xml:space="preserve">L1660</t>
  </si>
  <si>
    <t xml:space="preserve">L1690</t>
  </si>
  <si>
    <t xml:space="preserve">L1714</t>
  </si>
  <si>
    <t xml:space="preserve">L2123</t>
  </si>
  <si>
    <t xml:space="preserve">L2304</t>
  </si>
  <si>
    <t xml:space="preserve">L2331</t>
  </si>
  <si>
    <t xml:space="preserve">L1039</t>
  </si>
  <si>
    <t xml:space="preserve">L1091</t>
  </si>
  <si>
    <t xml:space="preserve">L1098</t>
  </si>
  <si>
    <t xml:space="preserve">L1254</t>
  </si>
  <si>
    <t xml:space="preserve">L1329</t>
  </si>
  <si>
    <t xml:space="preserve">L1342</t>
  </si>
  <si>
    <t xml:space="preserve">L1599</t>
  </si>
  <si>
    <t xml:space="preserve">L1652</t>
  </si>
  <si>
    <t xml:space="preserve">L1723</t>
  </si>
  <si>
    <t xml:space="preserve">L1771</t>
  </si>
  <si>
    <t xml:space="preserve">L1908</t>
  </si>
  <si>
    <t xml:space="preserve">L1988</t>
  </si>
  <si>
    <t xml:space="preserve">L2050</t>
  </si>
  <si>
    <t xml:space="preserve">L2053</t>
  </si>
  <si>
    <t xml:space="preserve">L2275</t>
  </si>
  <si>
    <t xml:space="preserve">L1093</t>
  </si>
  <si>
    <t xml:space="preserve">L1175</t>
  </si>
  <si>
    <t xml:space="preserve">L1218</t>
  </si>
  <si>
    <t xml:space="preserve">L1272</t>
  </si>
  <si>
    <t xml:space="preserve">L1523</t>
  </si>
  <si>
    <t xml:space="preserve">L1561</t>
  </si>
  <si>
    <t xml:space="preserve">L1607</t>
  </si>
  <si>
    <t xml:space="preserve">L1647</t>
  </si>
  <si>
    <t xml:space="preserve">L1658</t>
  </si>
  <si>
    <t xml:space="preserve">L1668</t>
  </si>
  <si>
    <t xml:space="preserve">L1906</t>
  </si>
  <si>
    <t xml:space="preserve">L1923</t>
  </si>
  <si>
    <t xml:space="preserve">L1969</t>
  </si>
  <si>
    <t xml:space="preserve">L2369</t>
  </si>
  <si>
    <t xml:space="preserve">L1012</t>
  </si>
  <si>
    <t xml:space="preserve">L1388</t>
  </si>
  <si>
    <t xml:space="preserve">L1413</t>
  </si>
  <si>
    <t xml:space="preserve">L1463</t>
  </si>
  <si>
    <t xml:space="preserve">L1761</t>
  </si>
  <si>
    <t xml:space="preserve">L1820</t>
  </si>
  <si>
    <t xml:space="preserve">L1846</t>
  </si>
  <si>
    <t xml:space="preserve">L2309</t>
  </si>
  <si>
    <t xml:space="preserve">L2366</t>
  </si>
  <si>
    <t xml:space="preserve">L2449</t>
  </si>
  <si>
    <t xml:space="preserve">L2548</t>
  </si>
  <si>
    <t xml:space="preserve">L2572</t>
  </si>
  <si>
    <t xml:space="preserve">L2585</t>
  </si>
  <si>
    <t xml:space="preserve">L1007</t>
  </si>
  <si>
    <t xml:space="preserve">L1197</t>
  </si>
  <si>
    <t xml:space="preserve">L1340</t>
  </si>
  <si>
    <t xml:space="preserve">L1377</t>
  </si>
  <si>
    <t xml:space="preserve">L1429</t>
  </si>
  <si>
    <t xml:space="preserve">L1530</t>
  </si>
  <si>
    <t xml:space="preserve">L1655</t>
  </si>
  <si>
    <t xml:space="preserve">L1762</t>
  </si>
  <si>
    <t xml:space="preserve">L1768</t>
  </si>
  <si>
    <t xml:space="preserve">L1809</t>
  </si>
  <si>
    <t xml:space="preserve">L1934</t>
  </si>
  <si>
    <t xml:space="preserve">L1992</t>
  </si>
  <si>
    <t xml:space="preserve">L2049</t>
  </si>
  <si>
    <t xml:space="preserve">L2091</t>
  </si>
  <si>
    <t xml:space="preserve">L2246</t>
  </si>
  <si>
    <t xml:space="preserve">L2333</t>
  </si>
  <si>
    <t xml:space="preserve">L2430</t>
  </si>
  <si>
    <t xml:space="preserve">L2456</t>
  </si>
  <si>
    <t xml:space="preserve">L2512</t>
  </si>
  <si>
    <t xml:space="preserve">L1145</t>
  </si>
  <si>
    <t xml:space="preserve">L1228</t>
  </si>
  <si>
    <t xml:space="preserve">L1243</t>
  </si>
  <si>
    <t xml:space="preserve">L1527</t>
  </si>
  <si>
    <t xml:space="preserve">L1528</t>
  </si>
  <si>
    <t xml:space="preserve">L1593</t>
  </si>
  <si>
    <t xml:space="preserve">L1669</t>
  </si>
  <si>
    <t xml:space="preserve">L1765</t>
  </si>
  <si>
    <t xml:space="preserve">L1780</t>
  </si>
  <si>
    <t xml:space="preserve">L1852</t>
  </si>
  <si>
    <t xml:space="preserve">L1902</t>
  </si>
  <si>
    <t xml:space="preserve">L1965</t>
  </si>
  <si>
    <t xml:space="preserve">L2029</t>
  </si>
  <si>
    <t xml:space="preserve">L2081</t>
  </si>
  <si>
    <t xml:space="preserve">L2232</t>
  </si>
  <si>
    <t xml:space="preserve">L2261</t>
  </si>
  <si>
    <t xml:space="preserve">L2371</t>
  </si>
  <si>
    <t xml:space="preserve">L1066</t>
  </si>
  <si>
    <t xml:space="preserve">L1078</t>
  </si>
  <si>
    <t xml:space="preserve">L1131</t>
  </si>
  <si>
    <t xml:space="preserve">L1273</t>
  </si>
  <si>
    <t xml:space="preserve">L1369</t>
  </si>
  <si>
    <t xml:space="preserve">L1513</t>
  </si>
  <si>
    <t xml:space="preserve">L1567</t>
  </si>
  <si>
    <t xml:space="preserve">L1712</t>
  </si>
  <si>
    <t xml:space="preserve">L1910</t>
  </si>
  <si>
    <t xml:space="preserve">L1942</t>
  </si>
  <si>
    <t xml:space="preserve">L1949</t>
  </si>
  <si>
    <t xml:space="preserve">L2007</t>
  </si>
  <si>
    <t xml:space="preserve">L2477</t>
  </si>
  <si>
    <t xml:space="preserve">L1167</t>
  </si>
  <si>
    <t xml:space="preserve">L1184</t>
  </si>
  <si>
    <t xml:space="preserve">L1259</t>
  </si>
  <si>
    <t xml:space="preserve">L1339</t>
  </si>
  <si>
    <t xml:space="preserve">L1635</t>
  </si>
  <si>
    <t xml:space="preserve">L1659</t>
  </si>
  <si>
    <t xml:space="preserve">L1989</t>
  </si>
  <si>
    <t xml:space="preserve">L2135</t>
  </si>
  <si>
    <t xml:space="preserve">L2212</t>
  </si>
  <si>
    <t xml:space="preserve">L2312</t>
  </si>
  <si>
    <t xml:space="preserve">L2447</t>
  </si>
  <si>
    <t xml:space="preserve">L1671</t>
  </si>
  <si>
    <t xml:space="preserve">L1703</t>
  </si>
  <si>
    <t xml:space="preserve">L1788</t>
  </si>
  <si>
    <t xml:space="preserve">L2281</t>
  </si>
  <si>
    <t xml:space="preserve">L2426</t>
  </si>
  <si>
    <t xml:space="preserve">L2428</t>
  </si>
  <si>
    <t xml:space="preserve">L1251</t>
  </si>
  <si>
    <t xml:space="preserve">L1261</t>
  </si>
  <si>
    <t xml:space="preserve">L1375</t>
  </si>
  <si>
    <t xml:space="preserve">L1486</t>
  </si>
  <si>
    <t xml:space="preserve">L1572</t>
  </si>
  <si>
    <t xml:space="preserve">L1813</t>
  </si>
  <si>
    <t xml:space="preserve">L1831</t>
  </si>
  <si>
    <t xml:space="preserve">L1977</t>
  </si>
  <si>
    <t xml:space="preserve">L2211</t>
  </si>
  <si>
    <t xml:space="preserve">L2302</t>
  </si>
  <si>
    <t xml:space="preserve">L2305</t>
  </si>
  <si>
    <t xml:space="preserve">L2488</t>
  </si>
  <si>
    <t xml:space="preserve">L1011</t>
  </si>
  <si>
    <t xml:space="preserve">L1036</t>
  </si>
  <si>
    <t xml:space="preserve">L1074</t>
  </si>
  <si>
    <t xml:space="preserve">L1174</t>
  </si>
  <si>
    <t xml:space="preserve">L1288</t>
  </si>
  <si>
    <t xml:space="preserve">L1451</t>
  </si>
  <si>
    <t xml:space="preserve">L1516</t>
  </si>
  <si>
    <t xml:space="preserve">L1534</t>
  </si>
  <si>
    <t xml:space="preserve">L1665</t>
  </si>
  <si>
    <t xml:space="preserve">L1724</t>
  </si>
  <si>
    <t xml:space="preserve">L1739</t>
  </si>
  <si>
    <t xml:space="preserve">L1795</t>
  </si>
  <si>
    <t xml:space="preserve">L2020</t>
  </si>
  <si>
    <t xml:space="preserve">L2132</t>
  </si>
  <si>
    <t xml:space="preserve">L2154</t>
  </si>
  <si>
    <t xml:space="preserve">L2203</t>
  </si>
  <si>
    <t xml:space="preserve">L2300</t>
  </si>
  <si>
    <t xml:space="preserve">L2306</t>
  </si>
  <si>
    <t xml:space="preserve">L1242</t>
  </si>
  <si>
    <t xml:space="preserve">L1629</t>
  </si>
  <si>
    <t xml:space="preserve">L1727</t>
  </si>
  <si>
    <t xml:space="preserve">L1810</t>
  </si>
  <si>
    <t xml:space="preserve">L1897</t>
  </si>
  <si>
    <t xml:space="preserve">L1958</t>
  </si>
  <si>
    <t xml:space="preserve">L2187</t>
  </si>
  <si>
    <t xml:space="preserve">L2328</t>
  </si>
  <si>
    <t xml:space="preserve">Flag</t>
  </si>
  <si>
    <t xml:space="preserve">Records</t>
  </si>
  <si>
    <t xml:space="preserve">% of raw rows</t>
  </si>
  <si>
    <t xml:space="preserve">Rule</t>
  </si>
  <si>
    <t xml:space="preserve">OK</t>
  </si>
  <si>
    <t xml:space="preserve">Used in every dashboard number</t>
  </si>
  <si>
    <t xml:space="preserve">Duplicate ID</t>
  </si>
  <si>
    <t xml:space="preserve">lead_id already appeared on an earlier row (first occurrence kept)</t>
  </si>
  <si>
    <t xml:space="preserve">Missing source</t>
  </si>
  <si>
    <t xml:space="preserve">Lead source is blank, so it cannot be attributed to a channel</t>
  </si>
  <si>
    <t xml:space="preserve">Date error</t>
  </si>
  <si>
    <t xml:space="preserve">A stage date is earlier than the stage before it (e.g. application before lead creation)</t>
  </si>
  <si>
    <t xml:space="preserve">Excluded (total)</t>
  </si>
  <si>
    <t xml:space="preserve">Records removed from the dashboard pending review</t>
  </si>
  <si>
    <t xml:space="preserve">Raw rows</t>
  </si>
  <si>
    <t xml:space="preserve">All rows in the Data sheet</t>
  </si>
  <si>
    <t xml:space="preserve">Check</t>
  </si>
  <si>
    <t xml:space="preserve">OK + excluded must equal raw rows</t>
  </si>
  <si>
    <t xml:space="preserve">To review flagged rows: Data sheet &gt; filter column N (dq_flag) &gt; uncheck OK.</t>
  </si>
  <si>
    <t xml:space="preserve">Enrollment Funnel Dashboard (Excel)</t>
  </si>
  <si>
    <t xml:space="preserve">Purpose: portfolio project built for a Data Analyst application in a university enrollment team. Tracks lead → contacted → applied → admitted → enrolled.</t>
  </si>
  <si>
    <t xml:space="preserve">DATA</t>
  </si>
  <si>
    <t xml:space="preserve">• Fully SYNTHETIC: generated with a fixed random seed. No real students, schools or university records. Do not present it as real enrollment data.</t>
  </si>
  <si>
    <t xml:space="preserve">• 1,605 raw rows (1,600 leads + 5 deliberately duplicated rows) with 3 missing sources and 4 date errors injected to demonstrate data-quality handling.</t>
  </si>
  <si>
    <t xml:space="preserve">• Source-level conversion rates, counselor speeds and program admit rates are assumptions of the generator, chosen to look plausible. Findings describe this synthetic dataset only.</t>
  </si>
  <si>
    <t xml:space="preserve">• Snapshot date 30-Aug-2026: stage dates after this are blank, so recent leads have not had time to convert.</t>
  </si>
  <si>
    <t xml:space="preserve">DEFINITIONS</t>
  </si>
  <si>
    <t xml:space="preserve">• Lead → App % = applications / leads · App → Enrolled % = enrolled / applications · Lead → Enrolled % = enrolled / leads.</t>
  </si>
  <si>
    <t xml:space="preserve">• Days to first contact = first_contact_date − created_date (contacted leads only).</t>
  </si>
  <si>
    <t xml:space="preserve">• Stage (Data!L) = furthest stage reached, derived from which date columns are filled.</t>
  </si>
  <si>
    <t xml:space="preserve">HOW IT WORKS</t>
  </si>
  <si>
    <t xml:space="preserve">• Data sheet: raw columns A–K + three formula columns (stage, days_to_first_contact, dq_flag). Add rows below and copy the formulas down (formulas read up to row 5,000).</t>
  </si>
  <si>
    <t xml:space="preserve">• Dashboard / Weekly / Monthly / Data_Quality: COUNTIFS / AVERAGEIFS / FORECAST formulas on valid records only; nothing is hardcoded except the two blue start dates.</t>
  </si>
  <si>
    <t xml:space="preserve">• Forecast is a naive linear trend for illustration; it does not model seasonality.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</si>
</sst>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0%"/>
    <numFmt numFmtId="169" formatCode="dd\-mmm\-yy"/>
    <numFmt numFmtId="170" formatCode="mmm\-yyyy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Funnel: leads to enrolled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Leads</c:v>
                </c:pt>
                <c:pt idx="1">
                  <c:v>Contacted</c:v>
                </c:pt>
                <c:pt idx="2">
                  <c:v>Applied</c:v>
                </c:pt>
                <c:pt idx="3">
                  <c:v>Admitted</c:v>
                </c:pt>
                <c:pt idx="4">
                  <c:v>Enrolled</c:v>
                </c:pt>
              </c:strCache>
            </c:strRef>
          </c:cat>
          <c:val>
            <c:numRef>
              <c:f>Dashboard!$C$9:$C$13</c:f>
              <c:numCache>
                <c:formatCode>#,##0</c:formatCode>
                <c:ptCount val="5"/>
                <c:pt idx="0">
                  <c:v>1593</c:v>
                </c:pt>
                <c:pt idx="1">
                  <c:v>1454</c:v>
                </c:pt>
                <c:pt idx="2">
                  <c:v>284</c:v>
                </c:pt>
                <c:pt idx="3">
                  <c:v>217</c:v>
                </c:pt>
                <c:pt idx="4">
                  <c:v>117</c:v>
                </c:pt>
              </c:numCache>
            </c:numRef>
          </c:val>
        </c:ser>
        <c:gapWidth val="150"/>
        <c:overlap val="0"/>
        <c:axId val="68634402"/>
        <c:axId val="55461594"/>
      </c:barChart>
      <c:catAx>
        <c:axId val="686344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1594"/>
        <c:crosses val="autoZero"/>
        <c:auto val="1"/>
        <c:lblAlgn val="ctr"/>
        <c:lblOffset val="100"/>
        <c:noMultiLvlLbl val="0"/>
      </c:catAx>
      <c:valAx>
        <c:axId val="55461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344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→ Enrolled %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Dashboard!H16</c:f>
              <c:strCache>
                <c:ptCount val="1"/>
                <c:pt idx="0">
                  <c:v>Lead → Enrolled %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Dashboard!$B$17:$B$23</c:f>
              <c:strCache>
                <c:ptCount val="7"/>
                <c:pt idx="0">
                  <c:v>Walk-in</c:v>
                </c:pt>
                <c:pt idx="1">
                  <c:v>Referral</c:v>
                </c:pt>
                <c:pt idx="2">
                  <c:v>School Visit</c:v>
                </c:pt>
                <c:pt idx="3">
                  <c:v>Education Fair</c:v>
                </c:pt>
                <c:pt idx="4">
                  <c:v>Google Ads</c:v>
                </c:pt>
                <c:pt idx="5">
                  <c:v>Meta Ads</c:v>
                </c:pt>
                <c:pt idx="6">
                  <c:v>Website Organic</c:v>
                </c:pt>
              </c:strCache>
            </c:strRef>
          </c:cat>
          <c:val>
            <c:numRef>
              <c:f>Dashboard!$H$17:$H$23</c:f>
              <c:numCache>
                <c:formatCode>0.0%</c:formatCode>
                <c:ptCount val="7"/>
                <c:pt idx="0">
                  <c:v>0.153153153153153</c:v>
                </c:pt>
                <c:pt idx="1">
                  <c:v>0.147959183673469</c:v>
                </c:pt>
                <c:pt idx="2">
                  <c:v>0.0796812749003984</c:v>
                </c:pt>
                <c:pt idx="3">
                  <c:v>0.0758620689655172</c:v>
                </c:pt>
                <c:pt idx="4">
                  <c:v>0.0553359683794466</c:v>
                </c:pt>
                <c:pt idx="5">
                  <c:v>0.043778801843318</c:v>
                </c:pt>
                <c:pt idx="6">
                  <c:v>0.0344827586206897</c:v>
                </c:pt>
              </c:numCache>
            </c:numRef>
          </c:val>
        </c:ser>
        <c:gapWidth val="150"/>
        <c:overlap val="0"/>
        <c:axId val="66703776"/>
        <c:axId val="20134052"/>
      </c:barChart>
      <c:catAx>
        <c:axId val="667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34052"/>
        <c:crosses val="autoZero"/>
        <c:auto val="1"/>
        <c:lblAlgn val="ctr"/>
        <c:lblOffset val="100"/>
        <c:noMultiLvlLbl val="0"/>
      </c:catAx>
      <c:valAx>
        <c:axId val="20134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03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leads and applications (with 4-week trend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Weekly!C1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Weekly!$B$2:$B$31</c:f>
              <c:strCache>
                <c:ptCount val="30"/>
                <c:pt idx="0">
                  <c:v>02-Mar-26</c:v>
                </c:pt>
                <c:pt idx="1">
                  <c:v>09-Mar-26</c:v>
                </c:pt>
                <c:pt idx="2">
                  <c:v>16-Mar-26</c:v>
                </c:pt>
                <c:pt idx="3">
                  <c:v>23-Mar-26</c:v>
                </c:pt>
                <c:pt idx="4">
                  <c:v>30-Mar-26</c:v>
                </c:pt>
                <c:pt idx="5">
                  <c:v>06-Apr-26</c:v>
                </c:pt>
                <c:pt idx="6">
                  <c:v>13-Apr-26</c:v>
                </c:pt>
                <c:pt idx="7">
                  <c:v>20-Apr-26</c:v>
                </c:pt>
                <c:pt idx="8">
                  <c:v>27-Apr-26</c:v>
                </c:pt>
                <c:pt idx="9">
                  <c:v>04-May-26</c:v>
                </c:pt>
                <c:pt idx="10">
                  <c:v>11-May-26</c:v>
                </c:pt>
                <c:pt idx="11">
                  <c:v>18-May-26</c:v>
                </c:pt>
                <c:pt idx="12">
                  <c:v>25-May-26</c:v>
                </c:pt>
                <c:pt idx="13">
                  <c:v>01-Jun-26</c:v>
                </c:pt>
                <c:pt idx="14">
                  <c:v>08-Jun-26</c:v>
                </c:pt>
                <c:pt idx="15">
                  <c:v>15-Jun-26</c:v>
                </c:pt>
                <c:pt idx="16">
                  <c:v>22-Jun-26</c:v>
                </c:pt>
                <c:pt idx="17">
                  <c:v>29-Jun-26</c:v>
                </c:pt>
                <c:pt idx="18">
                  <c:v>06-Jul-26</c:v>
                </c:pt>
                <c:pt idx="19">
                  <c:v>13-Jul-26</c:v>
                </c:pt>
                <c:pt idx="20">
                  <c:v>20-Jul-26</c:v>
                </c:pt>
                <c:pt idx="21">
                  <c:v>27-Jul-26</c:v>
                </c:pt>
                <c:pt idx="22">
                  <c:v>03-Aug-26</c:v>
                </c:pt>
                <c:pt idx="23">
                  <c:v>10-Aug-26</c:v>
                </c:pt>
                <c:pt idx="24">
                  <c:v>17-Aug-26</c:v>
                </c:pt>
                <c:pt idx="25">
                  <c:v>24-Aug-26</c:v>
                </c:pt>
                <c:pt idx="26">
                  <c:v>31-Aug-26</c:v>
                </c:pt>
                <c:pt idx="27">
                  <c:v>07-Sep-26</c:v>
                </c:pt>
                <c:pt idx="28">
                  <c:v>14-Sep-26</c:v>
                </c:pt>
                <c:pt idx="29">
                  <c:v>21-Sep-26</c:v>
                </c:pt>
              </c:strCache>
            </c:strRef>
          </c:cat>
          <c:val>
            <c:numRef>
              <c:f>Weekly!$C$2:$C$31</c:f>
              <c:numCache>
                <c:formatCode>General</c:formatCode>
                <c:ptCount val="30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47</c:v>
                </c:pt>
                <c:pt idx="5">
                  <c:v>49</c:v>
                </c:pt>
                <c:pt idx="6">
                  <c:v>49</c:v>
                </c:pt>
                <c:pt idx="7">
                  <c:v>36</c:v>
                </c:pt>
                <c:pt idx="8">
                  <c:v>61</c:v>
                </c:pt>
                <c:pt idx="9">
                  <c:v>37</c:v>
                </c:pt>
                <c:pt idx="10">
                  <c:v>52</c:v>
                </c:pt>
                <c:pt idx="11">
                  <c:v>60</c:v>
                </c:pt>
                <c:pt idx="12">
                  <c:v>55</c:v>
                </c:pt>
                <c:pt idx="13">
                  <c:v>79</c:v>
                </c:pt>
                <c:pt idx="14">
                  <c:v>72</c:v>
                </c:pt>
                <c:pt idx="15">
                  <c:v>56</c:v>
                </c:pt>
                <c:pt idx="16">
                  <c:v>61</c:v>
                </c:pt>
                <c:pt idx="17">
                  <c:v>69</c:v>
                </c:pt>
                <c:pt idx="18">
                  <c:v>75</c:v>
                </c:pt>
                <c:pt idx="19">
                  <c:v>78</c:v>
                </c:pt>
                <c:pt idx="20">
                  <c:v>102</c:v>
                </c:pt>
                <c:pt idx="21">
                  <c:v>93</c:v>
                </c:pt>
                <c:pt idx="22">
                  <c:v>77</c:v>
                </c:pt>
                <c:pt idx="23">
                  <c:v>89</c:v>
                </c:pt>
                <c:pt idx="24">
                  <c:v>98</c:v>
                </c:pt>
                <c:pt idx="25">
                  <c:v>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Weekly!D1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Weekly!$B$2:$B$31</c:f>
              <c:strCache>
                <c:ptCount val="30"/>
                <c:pt idx="0">
                  <c:v>02-Mar-26</c:v>
                </c:pt>
                <c:pt idx="1">
                  <c:v>09-Mar-26</c:v>
                </c:pt>
                <c:pt idx="2">
                  <c:v>16-Mar-26</c:v>
                </c:pt>
                <c:pt idx="3">
                  <c:v>23-Mar-26</c:v>
                </c:pt>
                <c:pt idx="4">
                  <c:v>30-Mar-26</c:v>
                </c:pt>
                <c:pt idx="5">
                  <c:v>06-Apr-26</c:v>
                </c:pt>
                <c:pt idx="6">
                  <c:v>13-Apr-26</c:v>
                </c:pt>
                <c:pt idx="7">
                  <c:v>20-Apr-26</c:v>
                </c:pt>
                <c:pt idx="8">
                  <c:v>27-Apr-26</c:v>
                </c:pt>
                <c:pt idx="9">
                  <c:v>04-May-26</c:v>
                </c:pt>
                <c:pt idx="10">
                  <c:v>11-May-26</c:v>
                </c:pt>
                <c:pt idx="11">
                  <c:v>18-May-26</c:v>
                </c:pt>
                <c:pt idx="12">
                  <c:v>25-May-26</c:v>
                </c:pt>
                <c:pt idx="13">
                  <c:v>01-Jun-26</c:v>
                </c:pt>
                <c:pt idx="14">
                  <c:v>08-Jun-26</c:v>
                </c:pt>
                <c:pt idx="15">
                  <c:v>15-Jun-26</c:v>
                </c:pt>
                <c:pt idx="16">
                  <c:v>22-Jun-26</c:v>
                </c:pt>
                <c:pt idx="17">
                  <c:v>29-Jun-26</c:v>
                </c:pt>
                <c:pt idx="18">
                  <c:v>06-Jul-26</c:v>
                </c:pt>
                <c:pt idx="19">
                  <c:v>13-Jul-26</c:v>
                </c:pt>
                <c:pt idx="20">
                  <c:v>20-Jul-26</c:v>
                </c:pt>
                <c:pt idx="21">
                  <c:v>27-Jul-26</c:v>
                </c:pt>
                <c:pt idx="22">
                  <c:v>03-Aug-26</c:v>
                </c:pt>
                <c:pt idx="23">
                  <c:v>10-Aug-26</c:v>
                </c:pt>
                <c:pt idx="24">
                  <c:v>17-Aug-26</c:v>
                </c:pt>
                <c:pt idx="25">
                  <c:v>24-Aug-26</c:v>
                </c:pt>
                <c:pt idx="26">
                  <c:v>31-Aug-26</c:v>
                </c:pt>
                <c:pt idx="27">
                  <c:v>07-Sep-26</c:v>
                </c:pt>
                <c:pt idx="28">
                  <c:v>14-Sep-26</c:v>
                </c:pt>
                <c:pt idx="29">
                  <c:v>21-Sep-26</c:v>
                </c:pt>
              </c:strCache>
            </c:strRef>
          </c:cat>
          <c:val>
            <c:numRef>
              <c:f>Weekly!$D$2:$D$31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7</c:v>
                </c:pt>
                <c:pt idx="11">
                  <c:v>10</c:v>
                </c:pt>
                <c:pt idx="12">
                  <c:v>14</c:v>
                </c:pt>
                <c:pt idx="13">
                  <c:v>14</c:v>
                </c:pt>
                <c:pt idx="14">
                  <c:v>10</c:v>
                </c:pt>
                <c:pt idx="15">
                  <c:v>17</c:v>
                </c:pt>
                <c:pt idx="16">
                  <c:v>17</c:v>
                </c:pt>
                <c:pt idx="17">
                  <c:v>12</c:v>
                </c:pt>
                <c:pt idx="18">
                  <c:v>16</c:v>
                </c:pt>
                <c:pt idx="19">
                  <c:v>13</c:v>
                </c:pt>
                <c:pt idx="20">
                  <c:v>20</c:v>
                </c:pt>
                <c:pt idx="21">
                  <c:v>14</c:v>
                </c:pt>
                <c:pt idx="22">
                  <c:v>27</c:v>
                </c:pt>
                <c:pt idx="23">
                  <c:v>9</c:v>
                </c:pt>
                <c:pt idx="24">
                  <c:v>18</c:v>
                </c:pt>
                <c:pt idx="25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Weekly!F1</c:f>
              <c:strCache>
                <c:ptCount val="1"/>
                <c:pt idx="0">
                  <c:v>Forecast: Leads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Weekly!$B$2:$B$31</c:f>
              <c:strCache>
                <c:ptCount val="30"/>
                <c:pt idx="0">
                  <c:v>02-Mar-26</c:v>
                </c:pt>
                <c:pt idx="1">
                  <c:v>09-Mar-26</c:v>
                </c:pt>
                <c:pt idx="2">
                  <c:v>16-Mar-26</c:v>
                </c:pt>
                <c:pt idx="3">
                  <c:v>23-Mar-26</c:v>
                </c:pt>
                <c:pt idx="4">
                  <c:v>30-Mar-26</c:v>
                </c:pt>
                <c:pt idx="5">
                  <c:v>06-Apr-26</c:v>
                </c:pt>
                <c:pt idx="6">
                  <c:v>13-Apr-26</c:v>
                </c:pt>
                <c:pt idx="7">
                  <c:v>20-Apr-26</c:v>
                </c:pt>
                <c:pt idx="8">
                  <c:v>27-Apr-26</c:v>
                </c:pt>
                <c:pt idx="9">
                  <c:v>04-May-26</c:v>
                </c:pt>
                <c:pt idx="10">
                  <c:v>11-May-26</c:v>
                </c:pt>
                <c:pt idx="11">
                  <c:v>18-May-26</c:v>
                </c:pt>
                <c:pt idx="12">
                  <c:v>25-May-26</c:v>
                </c:pt>
                <c:pt idx="13">
                  <c:v>01-Jun-26</c:v>
                </c:pt>
                <c:pt idx="14">
                  <c:v>08-Jun-26</c:v>
                </c:pt>
                <c:pt idx="15">
                  <c:v>15-Jun-26</c:v>
                </c:pt>
                <c:pt idx="16">
                  <c:v>22-Jun-26</c:v>
                </c:pt>
                <c:pt idx="17">
                  <c:v>29-Jun-26</c:v>
                </c:pt>
                <c:pt idx="18">
                  <c:v>06-Jul-26</c:v>
                </c:pt>
                <c:pt idx="19">
                  <c:v>13-Jul-26</c:v>
                </c:pt>
                <c:pt idx="20">
                  <c:v>20-Jul-26</c:v>
                </c:pt>
                <c:pt idx="21">
                  <c:v>27-Jul-26</c:v>
                </c:pt>
                <c:pt idx="22">
                  <c:v>03-Aug-26</c:v>
                </c:pt>
                <c:pt idx="23">
                  <c:v>10-Aug-26</c:v>
                </c:pt>
                <c:pt idx="24">
                  <c:v>17-Aug-26</c:v>
                </c:pt>
                <c:pt idx="25">
                  <c:v>24-Aug-26</c:v>
                </c:pt>
                <c:pt idx="26">
                  <c:v>31-Aug-26</c:v>
                </c:pt>
                <c:pt idx="27">
                  <c:v>07-Sep-26</c:v>
                </c:pt>
                <c:pt idx="28">
                  <c:v>14-Sep-26</c:v>
                </c:pt>
                <c:pt idx="29">
                  <c:v>21-Sep-26</c:v>
                </c:pt>
              </c:strCache>
            </c:strRef>
          </c:cat>
          <c:val>
            <c:numRef>
              <c:f>Weekly!$F$2:$F$31</c:f>
              <c:numCache>
                <c:formatCode>General</c:formatCode>
                <c:ptCount val="30"/>
                <c:pt idx="25">
                  <c:v>85</c:v>
                </c:pt>
                <c:pt idx="26">
                  <c:v>98</c:v>
                </c:pt>
                <c:pt idx="27">
                  <c:v>101</c:v>
                </c:pt>
                <c:pt idx="28">
                  <c:v>103</c:v>
                </c:pt>
                <c:pt idx="29">
                  <c:v>106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Weekly!G1</c:f>
              <c:strCache>
                <c:ptCount val="1"/>
                <c:pt idx="0">
                  <c:v>Forecast: Applications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Weekly!$B$2:$B$31</c:f>
              <c:strCache>
                <c:ptCount val="30"/>
                <c:pt idx="0">
                  <c:v>02-Mar-26</c:v>
                </c:pt>
                <c:pt idx="1">
                  <c:v>09-Mar-26</c:v>
                </c:pt>
                <c:pt idx="2">
                  <c:v>16-Mar-26</c:v>
                </c:pt>
                <c:pt idx="3">
                  <c:v>23-Mar-26</c:v>
                </c:pt>
                <c:pt idx="4">
                  <c:v>30-Mar-26</c:v>
                </c:pt>
                <c:pt idx="5">
                  <c:v>06-Apr-26</c:v>
                </c:pt>
                <c:pt idx="6">
                  <c:v>13-Apr-26</c:v>
                </c:pt>
                <c:pt idx="7">
                  <c:v>20-Apr-26</c:v>
                </c:pt>
                <c:pt idx="8">
                  <c:v>27-Apr-26</c:v>
                </c:pt>
                <c:pt idx="9">
                  <c:v>04-May-26</c:v>
                </c:pt>
                <c:pt idx="10">
                  <c:v>11-May-26</c:v>
                </c:pt>
                <c:pt idx="11">
                  <c:v>18-May-26</c:v>
                </c:pt>
                <c:pt idx="12">
                  <c:v>25-May-26</c:v>
                </c:pt>
                <c:pt idx="13">
                  <c:v>01-Jun-26</c:v>
                </c:pt>
                <c:pt idx="14">
                  <c:v>08-Jun-26</c:v>
                </c:pt>
                <c:pt idx="15">
                  <c:v>15-Jun-26</c:v>
                </c:pt>
                <c:pt idx="16">
                  <c:v>22-Jun-26</c:v>
                </c:pt>
                <c:pt idx="17">
                  <c:v>29-Jun-26</c:v>
                </c:pt>
                <c:pt idx="18">
                  <c:v>06-Jul-26</c:v>
                </c:pt>
                <c:pt idx="19">
                  <c:v>13-Jul-26</c:v>
                </c:pt>
                <c:pt idx="20">
                  <c:v>20-Jul-26</c:v>
                </c:pt>
                <c:pt idx="21">
                  <c:v>27-Jul-26</c:v>
                </c:pt>
                <c:pt idx="22">
                  <c:v>03-Aug-26</c:v>
                </c:pt>
                <c:pt idx="23">
                  <c:v>10-Aug-26</c:v>
                </c:pt>
                <c:pt idx="24">
                  <c:v>17-Aug-26</c:v>
                </c:pt>
                <c:pt idx="25">
                  <c:v>24-Aug-26</c:v>
                </c:pt>
                <c:pt idx="26">
                  <c:v>31-Aug-26</c:v>
                </c:pt>
                <c:pt idx="27">
                  <c:v>07-Sep-26</c:v>
                </c:pt>
                <c:pt idx="28">
                  <c:v>14-Sep-26</c:v>
                </c:pt>
                <c:pt idx="29">
                  <c:v>21-Sep-26</c:v>
                </c:pt>
              </c:strCache>
            </c:strRef>
          </c:cat>
          <c:val>
            <c:numRef>
              <c:f>Weekly!$G$2:$G$31</c:f>
              <c:numCache>
                <c:formatCode>General</c:formatCode>
                <c:ptCount val="30"/>
                <c:pt idx="25">
                  <c:v>17</c:v>
                </c:pt>
                <c:pt idx="26">
                  <c:v>21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365515"/>
        <c:axId val="60085272"/>
      </c:lineChart>
      <c:catAx>
        <c:axId val="44365515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85272"/>
        <c:crosses val="autoZero"/>
        <c:auto val="1"/>
        <c:lblAlgn val="ctr"/>
        <c:lblOffset val="100"/>
        <c:noMultiLvlLbl val="0"/>
      </c:catAx>
      <c:valAx>
        <c:axId val="60085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655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101160</xdr:rowOff>
    </xdr:from>
    <xdr:to>
      <xdr:col>18</xdr:col>
      <xdr:colOff>507600</xdr:colOff>
      <xdr:row>13</xdr:row>
      <xdr:rowOff>35280</xdr:rowOff>
    </xdr:to>
    <xdr:graphicFrame>
      <xdr:nvGraphicFramePr>
        <xdr:cNvPr id="0" name="Chart 1"/>
        <xdr:cNvGraphicFramePr/>
      </xdr:nvGraphicFramePr>
      <xdr:xfrm>
        <a:off x="9867960" y="57168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100800</xdr:rowOff>
    </xdr:from>
    <xdr:to>
      <xdr:col>18</xdr:col>
      <xdr:colOff>507600</xdr:colOff>
      <xdr:row>30</xdr:row>
      <xdr:rowOff>169560</xdr:rowOff>
    </xdr:to>
    <xdr:graphicFrame>
      <xdr:nvGraphicFramePr>
        <xdr:cNvPr id="1" name="Chart 2"/>
        <xdr:cNvGraphicFramePr/>
      </xdr:nvGraphicFramePr>
      <xdr:xfrm>
        <a:off x="9867960" y="4181400"/>
        <a:ext cx="53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33</xdr:row>
      <xdr:rowOff>100800</xdr:rowOff>
    </xdr:from>
    <xdr:to>
      <xdr:col>18</xdr:col>
      <xdr:colOff>507600</xdr:colOff>
      <xdr:row>47</xdr:row>
      <xdr:rowOff>4680</xdr:rowOff>
    </xdr:to>
    <xdr:graphicFrame>
      <xdr:nvGraphicFramePr>
        <xdr:cNvPr id="2" name="Chart 3"/>
        <xdr:cNvGraphicFramePr/>
      </xdr:nvGraphicFramePr>
      <xdr:xfrm>
        <a:off x="9867960" y="7419960"/>
        <a:ext cx="53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9" min="3" style="0" width="15"/>
    <col collapsed="false" customWidth="true" hidden="false" outlineLevel="0" max="10" min="10" style="0" width="3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5.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33.75" hidden="false" customHeight="true" outlineLevel="0" collapsed="false">
      <c r="B5" s="4" t="n">
        <f aca="false">C9</f>
        <v>1593</v>
      </c>
      <c r="C5" s="5" t="n">
        <f aca="false">E10</f>
        <v>0.912743251726303</v>
      </c>
      <c r="D5" s="4" t="n">
        <f aca="false">C11</f>
        <v>284</v>
      </c>
      <c r="E5" s="4" t="n">
        <f aca="false">C12</f>
        <v>217</v>
      </c>
      <c r="F5" s="4" t="n">
        <f aca="false">C13</f>
        <v>117</v>
      </c>
      <c r="G5" s="5" t="n">
        <f aca="false">D13</f>
        <v>0.0734463276836158</v>
      </c>
      <c r="H5" s="6" t="n">
        <f aca="false">IFERROR(AVERAGEIFS(Data!$M$2:$M$5000,Data!$N$2:$N$5000,"OK"),0)</f>
        <v>1.57359009628611</v>
      </c>
    </row>
    <row r="7" customFormat="false" ht="15" hidden="false" customHeight="false" outlineLevel="0" collapsed="false">
      <c r="B7" s="7" t="s">
        <v>9</v>
      </c>
      <c r="C7" s="7"/>
      <c r="D7" s="7"/>
      <c r="E7" s="7"/>
      <c r="F7" s="7"/>
      <c r="G7" s="7"/>
      <c r="H7" s="7"/>
      <c r="I7" s="7"/>
    </row>
    <row r="8" customFormat="false" ht="30" hidden="false" customHeight="true" outlineLevel="0" collapsed="false">
      <c r="B8" s="8" t="s">
        <v>10</v>
      </c>
      <c r="C8" s="8" t="s">
        <v>11</v>
      </c>
      <c r="D8" s="8" t="s">
        <v>12</v>
      </c>
      <c r="E8" s="8" t="s">
        <v>13</v>
      </c>
    </row>
    <row r="9" customFormat="false" ht="15" hidden="false" customHeight="false" outlineLevel="0" collapsed="false">
      <c r="B9" s="9" t="s">
        <v>14</v>
      </c>
      <c r="C9" s="10" t="n">
        <f aca="false">COUNTIFS(Data!$N$2:$N$5000,"OK")</f>
        <v>1593</v>
      </c>
      <c r="D9" s="11" t="n">
        <f aca="false">IFERROR(C9/$C$9,0)</f>
        <v>1</v>
      </c>
      <c r="E9" s="11"/>
    </row>
    <row r="10" customFormat="false" ht="15" hidden="false" customHeight="false" outlineLevel="0" collapsed="false">
      <c r="B10" s="9" t="s">
        <v>15</v>
      </c>
      <c r="C10" s="10" t="n">
        <f aca="false">COUNTIFS(Data!$N$2:$N$5000,"OK",Data!$G$2:$G$5000,"&lt;&gt;")</f>
        <v>1454</v>
      </c>
      <c r="D10" s="11" t="n">
        <f aca="false">IFERROR(C10/$C$9,0)</f>
        <v>0.912743251726303</v>
      </c>
      <c r="E10" s="11" t="n">
        <f aca="false">IFERROR(C10/C9,0)</f>
        <v>0.912743251726303</v>
      </c>
    </row>
    <row r="11" customFormat="false" ht="15" hidden="false" customHeight="false" outlineLevel="0" collapsed="false">
      <c r="B11" s="9" t="s">
        <v>16</v>
      </c>
      <c r="C11" s="10" t="n">
        <f aca="false">COUNTIFS(Data!$N$2:$N$5000,"OK",Data!$H$2:$H$5000,"&lt;&gt;")</f>
        <v>284</v>
      </c>
      <c r="D11" s="11" t="n">
        <f aca="false">IFERROR(C11/$C$9,0)</f>
        <v>0.178279974890144</v>
      </c>
      <c r="E11" s="11" t="n">
        <f aca="false">IFERROR(C11/C10,0)</f>
        <v>0.195323246217332</v>
      </c>
    </row>
    <row r="12" customFormat="false" ht="15" hidden="false" customHeight="false" outlineLevel="0" collapsed="false">
      <c r="B12" s="9" t="s">
        <v>5</v>
      </c>
      <c r="C12" s="10" t="n">
        <f aca="false">COUNTIFS(Data!$N$2:$N$5000,"OK",Data!$I$2:$I$5000,"&lt;&gt;")</f>
        <v>217</v>
      </c>
      <c r="D12" s="11" t="n">
        <f aca="false">IFERROR(C12/$C$9,0)</f>
        <v>0.136220966729441</v>
      </c>
      <c r="E12" s="11" t="n">
        <f aca="false">IFERROR(C12/C11,0)</f>
        <v>0.764084507042254</v>
      </c>
    </row>
    <row r="13" customFormat="false" ht="15" hidden="false" customHeight="false" outlineLevel="0" collapsed="false">
      <c r="B13" s="9" t="s">
        <v>6</v>
      </c>
      <c r="C13" s="10" t="n">
        <f aca="false">COUNTIFS(Data!$N$2:$N$5000,"OK",Data!$J$2:$J$5000,"&lt;&gt;")</f>
        <v>117</v>
      </c>
      <c r="D13" s="11" t="n">
        <f aca="false">IFERROR(C13/$C$9,0)</f>
        <v>0.0734463276836158</v>
      </c>
      <c r="E13" s="11" t="n">
        <f aca="false">IFERROR(C13/C12,0)</f>
        <v>0.539170506912442</v>
      </c>
    </row>
    <row r="15" customFormat="false" ht="15" hidden="false" customHeight="false" outlineLevel="0" collapsed="false">
      <c r="B15" s="7" t="s">
        <v>17</v>
      </c>
      <c r="C15" s="7"/>
      <c r="D15" s="7"/>
      <c r="E15" s="7"/>
      <c r="F15" s="7"/>
      <c r="G15" s="7"/>
      <c r="H15" s="7"/>
      <c r="I15" s="7"/>
    </row>
    <row r="16" customFormat="false" ht="30" hidden="false" customHeight="true" outlineLevel="0" collapsed="false">
      <c r="B16" s="8" t="s">
        <v>18</v>
      </c>
      <c r="C16" s="8" t="s">
        <v>14</v>
      </c>
      <c r="D16" s="8" t="s">
        <v>4</v>
      </c>
      <c r="E16" s="8" t="s">
        <v>6</v>
      </c>
      <c r="F16" s="8" t="s">
        <v>19</v>
      </c>
      <c r="G16" s="8" t="s">
        <v>20</v>
      </c>
      <c r="H16" s="8" t="s">
        <v>7</v>
      </c>
      <c r="I16" s="8" t="s">
        <v>8</v>
      </c>
    </row>
    <row r="17" customFormat="false" ht="15" hidden="false" customHeight="false" outlineLevel="0" collapsed="false">
      <c r="B17" s="9" t="s">
        <v>21</v>
      </c>
      <c r="C17" s="10" t="n">
        <f aca="false">COUNTIFS(Data!$N$2:$N$5000,"OK",Data!$C$2:$C$5000,$B17)</f>
        <v>111</v>
      </c>
      <c r="D17" s="10" t="n">
        <f aca="false">COUNTIFS(Data!$N$2:$N$5000,"OK",Data!$C$2:$C$5000,$B17,Data!$H$2:$H$5000,"&lt;&gt;")</f>
        <v>42</v>
      </c>
      <c r="E17" s="10" t="n">
        <f aca="false">COUNTIFS(Data!$N$2:$N$5000,"OK",Data!$C$2:$C$5000,$B17,Data!$J$2:$J$5000,"&lt;&gt;")</f>
        <v>17</v>
      </c>
      <c r="F17" s="11" t="n">
        <f aca="false">IFERROR(D17/C17,0)</f>
        <v>0.378378378378378</v>
      </c>
      <c r="G17" s="11" t="n">
        <f aca="false">IFERROR(E17/D17,0)</f>
        <v>0.404761904761905</v>
      </c>
      <c r="H17" s="11" t="n">
        <f aca="false">IFERROR(E17/C17,0)</f>
        <v>0.153153153153153</v>
      </c>
      <c r="I17" s="12" t="n">
        <f aca="false">IFERROR(AVERAGEIFS(Data!$M$2:$M$5000,Data!$N$2:$N$5000,"OK",Data!$C$2:$C$5000,$B17),0)</f>
        <v>1.61320754716981</v>
      </c>
    </row>
    <row r="18" customFormat="false" ht="15" hidden="false" customHeight="false" outlineLevel="0" collapsed="false">
      <c r="B18" s="9" t="s">
        <v>22</v>
      </c>
      <c r="C18" s="10" t="n">
        <f aca="false">COUNTIFS(Data!$N$2:$N$5000,"OK",Data!$C$2:$C$5000,$B18)</f>
        <v>196</v>
      </c>
      <c r="D18" s="10" t="n">
        <f aca="false">COUNTIFS(Data!$N$2:$N$5000,"OK",Data!$C$2:$C$5000,$B18,Data!$H$2:$H$5000,"&lt;&gt;")</f>
        <v>56</v>
      </c>
      <c r="E18" s="10" t="n">
        <f aca="false">COUNTIFS(Data!$N$2:$N$5000,"OK",Data!$C$2:$C$5000,$B18,Data!$J$2:$J$5000,"&lt;&gt;")</f>
        <v>29</v>
      </c>
      <c r="F18" s="11" t="n">
        <f aca="false">IFERROR(D18/C18,0)</f>
        <v>0.285714285714286</v>
      </c>
      <c r="G18" s="11" t="n">
        <f aca="false">IFERROR(E18/D18,0)</f>
        <v>0.517857142857143</v>
      </c>
      <c r="H18" s="11" t="n">
        <f aca="false">IFERROR(E18/C18,0)</f>
        <v>0.147959183673469</v>
      </c>
      <c r="I18" s="12" t="n">
        <f aca="false">IFERROR(AVERAGEIFS(Data!$M$2:$M$5000,Data!$N$2:$N$5000,"OK",Data!$C$2:$C$5000,$B18),0)</f>
        <v>1.51977401129944</v>
      </c>
    </row>
    <row r="19" customFormat="false" ht="15" hidden="false" customHeight="false" outlineLevel="0" collapsed="false">
      <c r="B19" s="9" t="s">
        <v>23</v>
      </c>
      <c r="C19" s="10" t="n">
        <f aca="false">COUNTIFS(Data!$N$2:$N$5000,"OK",Data!$C$2:$C$5000,$B19)</f>
        <v>251</v>
      </c>
      <c r="D19" s="10" t="n">
        <f aca="false">COUNTIFS(Data!$N$2:$N$5000,"OK",Data!$C$2:$C$5000,$B19,Data!$H$2:$H$5000,"&lt;&gt;")</f>
        <v>54</v>
      </c>
      <c r="E19" s="10" t="n">
        <f aca="false">COUNTIFS(Data!$N$2:$N$5000,"OK",Data!$C$2:$C$5000,$B19,Data!$J$2:$J$5000,"&lt;&gt;")</f>
        <v>20</v>
      </c>
      <c r="F19" s="11" t="n">
        <f aca="false">IFERROR(D19/C19,0)</f>
        <v>0.215139442231076</v>
      </c>
      <c r="G19" s="11" t="n">
        <f aca="false">IFERROR(E19/D19,0)</f>
        <v>0.37037037037037</v>
      </c>
      <c r="H19" s="11" t="n">
        <f aca="false">IFERROR(E19/C19,0)</f>
        <v>0.0796812749003984</v>
      </c>
      <c r="I19" s="12" t="n">
        <f aca="false">IFERROR(AVERAGEIFS(Data!$M$2:$M$5000,Data!$N$2:$N$5000,"OK",Data!$C$2:$C$5000,$B19),0)</f>
        <v>1.63713080168776</v>
      </c>
    </row>
    <row r="20" customFormat="false" ht="15" hidden="false" customHeight="false" outlineLevel="0" collapsed="false">
      <c r="B20" s="9" t="s">
        <v>24</v>
      </c>
      <c r="C20" s="10" t="n">
        <f aca="false">COUNTIFS(Data!$N$2:$N$5000,"OK",Data!$C$2:$C$5000,$B20)</f>
        <v>145</v>
      </c>
      <c r="D20" s="10" t="n">
        <f aca="false">COUNTIFS(Data!$N$2:$N$5000,"OK",Data!$C$2:$C$5000,$B20,Data!$H$2:$H$5000,"&lt;&gt;")</f>
        <v>30</v>
      </c>
      <c r="E20" s="10" t="n">
        <f aca="false">COUNTIFS(Data!$N$2:$N$5000,"OK",Data!$C$2:$C$5000,$B20,Data!$J$2:$J$5000,"&lt;&gt;")</f>
        <v>11</v>
      </c>
      <c r="F20" s="11" t="n">
        <f aca="false">IFERROR(D20/C20,0)</f>
        <v>0.206896551724138</v>
      </c>
      <c r="G20" s="11" t="n">
        <f aca="false">IFERROR(E20/D20,0)</f>
        <v>0.366666666666667</v>
      </c>
      <c r="H20" s="11" t="n">
        <f aca="false">IFERROR(E20/C20,0)</f>
        <v>0.0758620689655172</v>
      </c>
      <c r="I20" s="12" t="n">
        <f aca="false">IFERROR(AVERAGEIFS(Data!$M$2:$M$5000,Data!$N$2:$N$5000,"OK",Data!$C$2:$C$5000,$B20),0)</f>
        <v>1.71223021582734</v>
      </c>
    </row>
    <row r="21" customFormat="false" ht="15" hidden="false" customHeight="false" outlineLevel="0" collapsed="false">
      <c r="B21" s="9" t="s">
        <v>25</v>
      </c>
      <c r="C21" s="10" t="n">
        <f aca="false">COUNTIFS(Data!$N$2:$N$5000,"OK",Data!$C$2:$C$5000,$B21)</f>
        <v>253</v>
      </c>
      <c r="D21" s="10" t="n">
        <f aca="false">COUNTIFS(Data!$N$2:$N$5000,"OK",Data!$C$2:$C$5000,$B21,Data!$H$2:$H$5000,"&lt;&gt;")</f>
        <v>28</v>
      </c>
      <c r="E21" s="10" t="n">
        <f aca="false">COUNTIFS(Data!$N$2:$N$5000,"OK",Data!$C$2:$C$5000,$B21,Data!$J$2:$J$5000,"&lt;&gt;")</f>
        <v>14</v>
      </c>
      <c r="F21" s="11" t="n">
        <f aca="false">IFERROR(D21/C21,0)</f>
        <v>0.110671936758893</v>
      </c>
      <c r="G21" s="11" t="n">
        <f aca="false">IFERROR(E21/D21,0)</f>
        <v>0.5</v>
      </c>
      <c r="H21" s="11" t="n">
        <f aca="false">IFERROR(E21/C21,0)</f>
        <v>0.0553359683794466</v>
      </c>
      <c r="I21" s="12" t="n">
        <f aca="false">IFERROR(AVERAGEIFS(Data!$M$2:$M$5000,Data!$N$2:$N$5000,"OK",Data!$C$2:$C$5000,$B21),0)</f>
        <v>1.48085106382979</v>
      </c>
    </row>
    <row r="22" customFormat="false" ht="15" hidden="false" customHeight="false" outlineLevel="0" collapsed="false">
      <c r="B22" s="9" t="s">
        <v>26</v>
      </c>
      <c r="C22" s="10" t="n">
        <f aca="false">COUNTIFS(Data!$N$2:$N$5000,"OK",Data!$C$2:$C$5000,$B22)</f>
        <v>434</v>
      </c>
      <c r="D22" s="10" t="n">
        <f aca="false">COUNTIFS(Data!$N$2:$N$5000,"OK",Data!$C$2:$C$5000,$B22,Data!$H$2:$H$5000,"&lt;&gt;")</f>
        <v>49</v>
      </c>
      <c r="E22" s="10" t="n">
        <f aca="false">COUNTIFS(Data!$N$2:$N$5000,"OK",Data!$C$2:$C$5000,$B22,Data!$J$2:$J$5000,"&lt;&gt;")</f>
        <v>19</v>
      </c>
      <c r="F22" s="11" t="n">
        <f aca="false">IFERROR(D22/C22,0)</f>
        <v>0.112903225806452</v>
      </c>
      <c r="G22" s="11" t="n">
        <f aca="false">IFERROR(E22/D22,0)</f>
        <v>0.387755102040816</v>
      </c>
      <c r="H22" s="11" t="n">
        <f aca="false">IFERROR(E22/C22,0)</f>
        <v>0.043778801843318</v>
      </c>
      <c r="I22" s="12" t="n">
        <f aca="false">IFERROR(AVERAGEIFS(Data!$M$2:$M$5000,Data!$N$2:$N$5000,"OK",Data!$C$2:$C$5000,$B22),0)</f>
        <v>1.41239892183288</v>
      </c>
    </row>
    <row r="23" customFormat="false" ht="15" hidden="false" customHeight="false" outlineLevel="0" collapsed="false">
      <c r="B23" s="9" t="s">
        <v>27</v>
      </c>
      <c r="C23" s="10" t="n">
        <f aca="false">COUNTIFS(Data!$N$2:$N$5000,"OK",Data!$C$2:$C$5000,$B23)</f>
        <v>203</v>
      </c>
      <c r="D23" s="10" t="n">
        <f aca="false">COUNTIFS(Data!$N$2:$N$5000,"OK",Data!$C$2:$C$5000,$B23,Data!$H$2:$H$5000,"&lt;&gt;")</f>
        <v>25</v>
      </c>
      <c r="E23" s="10" t="n">
        <f aca="false">COUNTIFS(Data!$N$2:$N$5000,"OK",Data!$C$2:$C$5000,$B23,Data!$J$2:$J$5000,"&lt;&gt;")</f>
        <v>7</v>
      </c>
      <c r="F23" s="11" t="n">
        <f aca="false">IFERROR(D23/C23,0)</f>
        <v>0.123152709359606</v>
      </c>
      <c r="G23" s="11" t="n">
        <f aca="false">IFERROR(E23/D23,0)</f>
        <v>0.28</v>
      </c>
      <c r="H23" s="11" t="n">
        <f aca="false">IFERROR(E23/C23,0)</f>
        <v>0.0344827586206897</v>
      </c>
      <c r="I23" s="12" t="n">
        <f aca="false">IFERROR(AVERAGEIFS(Data!$M$2:$M$5000,Data!$N$2:$N$5000,"OK",Data!$C$2:$C$5000,$B23),0)</f>
        <v>1.85185185185185</v>
      </c>
    </row>
    <row r="24" customFormat="false" ht="15" hidden="false" customHeight="false" outlineLevel="0" collapsed="false">
      <c r="B24" s="13" t="s">
        <v>28</v>
      </c>
      <c r="C24" s="14" t="n">
        <f aca="false">SUM(C17:C23)</f>
        <v>1593</v>
      </c>
      <c r="D24" s="14" t="n">
        <f aca="false">SUM(D17:D23)</f>
        <v>284</v>
      </c>
      <c r="E24" s="14" t="n">
        <f aca="false">SUM(E17:E23)</f>
        <v>117</v>
      </c>
      <c r="F24" s="15" t="n">
        <f aca="false">IFERROR(D24/C24,0)</f>
        <v>0.178279974890144</v>
      </c>
      <c r="G24" s="15" t="n">
        <f aca="false">IFERROR(E24/D24,0)</f>
        <v>0.411971830985916</v>
      </c>
      <c r="H24" s="15" t="n">
        <f aca="false">IFERROR(E24/C24,0)</f>
        <v>0.0734463276836158</v>
      </c>
      <c r="I24" s="16" t="n">
        <f aca="false">IFERROR(AVERAGEIFS(Data!$M$2:$M$5000,Data!$N$2:$N$5000,"OK"),0)</f>
        <v>1.57359009628611</v>
      </c>
    </row>
    <row r="26" customFormat="false" ht="15" hidden="false" customHeight="false" outlineLevel="0" collapsed="false">
      <c r="B26" s="7" t="s">
        <v>29</v>
      </c>
      <c r="C26" s="7"/>
      <c r="D26" s="7"/>
      <c r="E26" s="7"/>
      <c r="F26" s="7"/>
      <c r="G26" s="7"/>
      <c r="H26" s="7"/>
      <c r="I26" s="7"/>
    </row>
    <row r="27" customFormat="false" ht="30" hidden="false" customHeight="true" outlineLevel="0" collapsed="false">
      <c r="B27" s="8" t="s">
        <v>30</v>
      </c>
      <c r="C27" s="8" t="s">
        <v>14</v>
      </c>
      <c r="D27" s="8" t="s">
        <v>4</v>
      </c>
      <c r="E27" s="8" t="s">
        <v>5</v>
      </c>
      <c r="F27" s="8" t="s">
        <v>6</v>
      </c>
      <c r="G27" s="8" t="s">
        <v>19</v>
      </c>
      <c r="H27" s="8" t="s">
        <v>31</v>
      </c>
      <c r="I27" s="8" t="s">
        <v>7</v>
      </c>
    </row>
    <row r="28" customFormat="false" ht="15" hidden="false" customHeight="false" outlineLevel="0" collapsed="false">
      <c r="B28" s="9" t="s">
        <v>32</v>
      </c>
      <c r="C28" s="10" t="n">
        <f aca="false">COUNTIFS(Data!$N$2:$N$5000,"OK",Data!$D$2:$D$5000,$B28)</f>
        <v>376</v>
      </c>
      <c r="D28" s="10" t="n">
        <f aca="false">COUNTIFS(Data!$N$2:$N$5000,"OK",Data!$D$2:$D$5000,$B28,Data!$H$2:$H$5000,"&lt;&gt;")</f>
        <v>76</v>
      </c>
      <c r="E28" s="10" t="n">
        <f aca="false">COUNTIFS(Data!$N$2:$N$5000,"OK",Data!$D$2:$D$5000,$B28,Data!$I$2:$I$5000,"&lt;&gt;")</f>
        <v>59</v>
      </c>
      <c r="F28" s="10" t="n">
        <f aca="false">COUNTIFS(Data!$N$2:$N$5000,"OK",Data!$D$2:$D$5000,$B28,Data!$J$2:$J$5000,"&lt;&gt;")</f>
        <v>33</v>
      </c>
      <c r="G28" s="11" t="n">
        <f aca="false">IFERROR(D28/C28,0)</f>
        <v>0.202127659574468</v>
      </c>
      <c r="H28" s="11" t="n">
        <f aca="false">IFERROR(E28/D28,0)</f>
        <v>0.776315789473684</v>
      </c>
      <c r="I28" s="11" t="n">
        <f aca="false">IFERROR(F28/C28,0)</f>
        <v>0.0877659574468085</v>
      </c>
    </row>
    <row r="29" customFormat="false" ht="15" hidden="false" customHeight="false" outlineLevel="0" collapsed="false">
      <c r="B29" s="9" t="s">
        <v>33</v>
      </c>
      <c r="C29" s="10" t="n">
        <f aca="false">COUNTIFS(Data!$N$2:$N$5000,"OK",Data!$D$2:$D$5000,$B29)</f>
        <v>390</v>
      </c>
      <c r="D29" s="10" t="n">
        <f aca="false">COUNTIFS(Data!$N$2:$N$5000,"OK",Data!$D$2:$D$5000,$B29,Data!$H$2:$H$5000,"&lt;&gt;")</f>
        <v>69</v>
      </c>
      <c r="E29" s="10" t="n">
        <f aca="false">COUNTIFS(Data!$N$2:$N$5000,"OK",Data!$D$2:$D$5000,$B29,Data!$I$2:$I$5000,"&lt;&gt;")</f>
        <v>60</v>
      </c>
      <c r="F29" s="10" t="n">
        <f aca="false">COUNTIFS(Data!$N$2:$N$5000,"OK",Data!$D$2:$D$5000,$B29,Data!$J$2:$J$5000,"&lt;&gt;")</f>
        <v>33</v>
      </c>
      <c r="G29" s="11" t="n">
        <f aca="false">IFERROR(D29/C29,0)</f>
        <v>0.176923076923077</v>
      </c>
      <c r="H29" s="11" t="n">
        <f aca="false">IFERROR(E29/D29,0)</f>
        <v>0.869565217391304</v>
      </c>
      <c r="I29" s="11" t="n">
        <f aca="false">IFERROR(F29/C29,0)</f>
        <v>0.0846153846153846</v>
      </c>
    </row>
    <row r="30" customFormat="false" ht="15" hidden="false" customHeight="false" outlineLevel="0" collapsed="false">
      <c r="B30" s="9" t="s">
        <v>34</v>
      </c>
      <c r="C30" s="10" t="n">
        <f aca="false">COUNTIFS(Data!$N$2:$N$5000,"OK",Data!$D$2:$D$5000,$B30)</f>
        <v>203</v>
      </c>
      <c r="D30" s="10" t="n">
        <f aca="false">COUNTIFS(Data!$N$2:$N$5000,"OK",Data!$D$2:$D$5000,$B30,Data!$H$2:$H$5000,"&lt;&gt;")</f>
        <v>40</v>
      </c>
      <c r="E30" s="10" t="n">
        <f aca="false">COUNTIFS(Data!$N$2:$N$5000,"OK",Data!$D$2:$D$5000,$B30,Data!$I$2:$I$5000,"&lt;&gt;")</f>
        <v>28</v>
      </c>
      <c r="F30" s="10" t="n">
        <f aca="false">COUNTIFS(Data!$N$2:$N$5000,"OK",Data!$D$2:$D$5000,$B30,Data!$J$2:$J$5000,"&lt;&gt;")</f>
        <v>15</v>
      </c>
      <c r="G30" s="11" t="n">
        <f aca="false">IFERROR(D30/C30,0)</f>
        <v>0.197044334975369</v>
      </c>
      <c r="H30" s="11" t="n">
        <f aca="false">IFERROR(E30/D30,0)</f>
        <v>0.7</v>
      </c>
      <c r="I30" s="11" t="n">
        <f aca="false">IFERROR(F30/C30,0)</f>
        <v>0.0738916256157636</v>
      </c>
    </row>
    <row r="31" customFormat="false" ht="15" hidden="false" customHeight="false" outlineLevel="0" collapsed="false">
      <c r="B31" s="9" t="s">
        <v>35</v>
      </c>
      <c r="C31" s="10" t="n">
        <f aca="false">COUNTIFS(Data!$N$2:$N$5000,"OK",Data!$D$2:$D$5000,$B31)</f>
        <v>235</v>
      </c>
      <c r="D31" s="10" t="n">
        <f aca="false">COUNTIFS(Data!$N$2:$N$5000,"OK",Data!$D$2:$D$5000,$B31,Data!$H$2:$H$5000,"&lt;&gt;")</f>
        <v>37</v>
      </c>
      <c r="E31" s="10" t="n">
        <f aca="false">COUNTIFS(Data!$N$2:$N$5000,"OK",Data!$D$2:$D$5000,$B31,Data!$I$2:$I$5000,"&lt;&gt;")</f>
        <v>24</v>
      </c>
      <c r="F31" s="10" t="n">
        <f aca="false">COUNTIFS(Data!$N$2:$N$5000,"OK",Data!$D$2:$D$5000,$B31,Data!$J$2:$J$5000,"&lt;&gt;")</f>
        <v>14</v>
      </c>
      <c r="G31" s="11" t="n">
        <f aca="false">IFERROR(D31/C31,0)</f>
        <v>0.157446808510638</v>
      </c>
      <c r="H31" s="11" t="n">
        <f aca="false">IFERROR(E31/D31,0)</f>
        <v>0.648648648648649</v>
      </c>
      <c r="I31" s="11" t="n">
        <f aca="false">IFERROR(F31/C31,0)</f>
        <v>0.0595744680851064</v>
      </c>
    </row>
    <row r="32" customFormat="false" ht="15" hidden="false" customHeight="false" outlineLevel="0" collapsed="false">
      <c r="B32" s="9" t="s">
        <v>36</v>
      </c>
      <c r="C32" s="10" t="n">
        <f aca="false">COUNTIFS(Data!$N$2:$N$5000,"OK",Data!$D$2:$D$5000,$B32)</f>
        <v>389</v>
      </c>
      <c r="D32" s="10" t="n">
        <f aca="false">COUNTIFS(Data!$N$2:$N$5000,"OK",Data!$D$2:$D$5000,$B32,Data!$H$2:$H$5000,"&lt;&gt;")</f>
        <v>62</v>
      </c>
      <c r="E32" s="10" t="n">
        <f aca="false">COUNTIFS(Data!$N$2:$N$5000,"OK",Data!$D$2:$D$5000,$B32,Data!$I$2:$I$5000,"&lt;&gt;")</f>
        <v>46</v>
      </c>
      <c r="F32" s="10" t="n">
        <f aca="false">COUNTIFS(Data!$N$2:$N$5000,"OK",Data!$D$2:$D$5000,$B32,Data!$J$2:$J$5000,"&lt;&gt;")</f>
        <v>22</v>
      </c>
      <c r="G32" s="11" t="n">
        <f aca="false">IFERROR(D32/C32,0)</f>
        <v>0.159383033419023</v>
      </c>
      <c r="H32" s="11" t="n">
        <f aca="false">IFERROR(E32/D32,0)</f>
        <v>0.741935483870968</v>
      </c>
      <c r="I32" s="11" t="n">
        <f aca="false">IFERROR(F32/C32,0)</f>
        <v>0.0565552699228792</v>
      </c>
    </row>
    <row r="34" customFormat="false" ht="15" hidden="false" customHeight="false" outlineLevel="0" collapsed="false">
      <c r="B34" s="7" t="s">
        <v>37</v>
      </c>
      <c r="C34" s="7"/>
      <c r="D34" s="7"/>
      <c r="E34" s="7"/>
      <c r="F34" s="7"/>
      <c r="G34" s="7"/>
      <c r="H34" s="7"/>
      <c r="I34" s="7"/>
    </row>
    <row r="35" customFormat="false" ht="30" hidden="false" customHeight="true" outlineLevel="0" collapsed="false">
      <c r="B35" s="8" t="s">
        <v>38</v>
      </c>
      <c r="C35" s="8" t="s">
        <v>14</v>
      </c>
      <c r="D35" s="8" t="s">
        <v>8</v>
      </c>
      <c r="E35" s="8" t="s">
        <v>39</v>
      </c>
      <c r="F35" s="8" t="s">
        <v>19</v>
      </c>
      <c r="G35" s="8" t="s">
        <v>7</v>
      </c>
    </row>
    <row r="36" customFormat="false" ht="15" hidden="false" customHeight="false" outlineLevel="0" collapsed="false">
      <c r="B36" s="9" t="s">
        <v>40</v>
      </c>
      <c r="C36" s="10" t="n">
        <f aca="false">COUNTIFS(Data!$N$2:$N$5000,"OK",Data!$F$2:$F$5000,$B36)</f>
        <v>253</v>
      </c>
      <c r="D36" s="12" t="n">
        <f aca="false">IFERROR(AVERAGEIFS(Data!$M$2:$M$5000,Data!$N$2:$N$5000,"OK",Data!$F$2:$F$5000,$B36),0)</f>
        <v>0.454935622317597</v>
      </c>
      <c r="E36" s="12" t="n">
        <f aca="false">IFERROR(AVERAGEIFS(Data!$K$2:$K$5000,Data!$N$2:$N$5000,"OK",Data!$F$2:$F$5000,$B36,Data!$G$2:$G$5000,"&lt;&gt;"),0)</f>
        <v>2.84978540772532</v>
      </c>
      <c r="F36" s="11" t="n">
        <f aca="false">IFERROR(COUNTIFS(Data!$N$2:$N$5000,"OK",Data!$F$2:$F$5000,$B36,Data!$H$2:$H$5000,"&lt;&gt;")/C36,0)</f>
        <v>0.181818181818182</v>
      </c>
      <c r="G36" s="11" t="n">
        <f aca="false">IFERROR(COUNTIFS(Data!$N$2:$N$5000,"OK",Data!$F$2:$F$5000,$B36,Data!$J$2:$J$5000,"&lt;&gt;")/C36,0)</f>
        <v>0.0790513833992095</v>
      </c>
    </row>
    <row r="37" customFormat="false" ht="15" hidden="false" customHeight="false" outlineLevel="0" collapsed="false">
      <c r="B37" s="9" t="s">
        <v>41</v>
      </c>
      <c r="C37" s="10" t="n">
        <f aca="false">COUNTIFS(Data!$N$2:$N$5000,"OK",Data!$F$2:$F$5000,$B37)</f>
        <v>277</v>
      </c>
      <c r="D37" s="12" t="n">
        <f aca="false">IFERROR(AVERAGEIFS(Data!$M$2:$M$5000,Data!$N$2:$N$5000,"OK",Data!$F$2:$F$5000,$B37),0)</f>
        <v>1.00395256916996</v>
      </c>
      <c r="E37" s="12" t="n">
        <f aca="false">IFERROR(AVERAGEIFS(Data!$K$2:$K$5000,Data!$N$2:$N$5000,"OK",Data!$F$2:$F$5000,$B37,Data!$G$2:$G$5000,"&lt;&gt;"),0)</f>
        <v>2.89328063241107</v>
      </c>
      <c r="F37" s="11" t="n">
        <f aca="false">IFERROR(COUNTIFS(Data!$N$2:$N$5000,"OK",Data!$F$2:$F$5000,$B37,Data!$H$2:$H$5000,"&lt;&gt;")/C37,0)</f>
        <v>0.202166064981949</v>
      </c>
      <c r="G37" s="11" t="n">
        <f aca="false">IFERROR(COUNTIFS(Data!$N$2:$N$5000,"OK",Data!$F$2:$F$5000,$B37,Data!$J$2:$J$5000,"&lt;&gt;")/C37,0)</f>
        <v>0.111913357400722</v>
      </c>
    </row>
    <row r="38" customFormat="false" ht="15" hidden="false" customHeight="false" outlineLevel="0" collapsed="false">
      <c r="B38" s="9" t="s">
        <v>42</v>
      </c>
      <c r="C38" s="10" t="n">
        <f aca="false">COUNTIFS(Data!$N$2:$N$5000,"OK",Data!$F$2:$F$5000,$B38)</f>
        <v>323</v>
      </c>
      <c r="D38" s="12" t="n">
        <f aca="false">IFERROR(AVERAGEIFS(Data!$M$2:$M$5000,Data!$N$2:$N$5000,"OK",Data!$F$2:$F$5000,$B38),0)</f>
        <v>1.27852348993289</v>
      </c>
      <c r="E38" s="12" t="n">
        <f aca="false">IFERROR(AVERAGEIFS(Data!$K$2:$K$5000,Data!$N$2:$N$5000,"OK",Data!$F$2:$F$5000,$B38,Data!$G$2:$G$5000,"&lt;&gt;"),0)</f>
        <v>2.80536912751678</v>
      </c>
      <c r="F38" s="11" t="n">
        <f aca="false">IFERROR(COUNTIFS(Data!$N$2:$N$5000,"OK",Data!$F$2:$F$5000,$B38,Data!$H$2:$H$5000,"&lt;&gt;")/C38,0)</f>
        <v>0.164086687306502</v>
      </c>
      <c r="G38" s="11" t="n">
        <f aca="false">IFERROR(COUNTIFS(Data!$N$2:$N$5000,"OK",Data!$F$2:$F$5000,$B38,Data!$J$2:$J$5000,"&lt;&gt;")/C38,0)</f>
        <v>0.0557275541795666</v>
      </c>
    </row>
    <row r="39" customFormat="false" ht="15" hidden="false" customHeight="false" outlineLevel="0" collapsed="false">
      <c r="B39" s="9" t="s">
        <v>43</v>
      </c>
      <c r="C39" s="10" t="n">
        <f aca="false">COUNTIFS(Data!$N$2:$N$5000,"OK",Data!$F$2:$F$5000,$B39)</f>
        <v>246</v>
      </c>
      <c r="D39" s="12" t="n">
        <f aca="false">IFERROR(AVERAGEIFS(Data!$M$2:$M$5000,Data!$N$2:$N$5000,"OK",Data!$F$2:$F$5000,$B39),0)</f>
        <v>2</v>
      </c>
      <c r="E39" s="12" t="n">
        <f aca="false">IFERROR(AVERAGEIFS(Data!$K$2:$K$5000,Data!$N$2:$N$5000,"OK",Data!$F$2:$F$5000,$B39,Data!$G$2:$G$5000,"&lt;&gt;"),0)</f>
        <v>2.8</v>
      </c>
      <c r="F39" s="11" t="n">
        <f aca="false">IFERROR(COUNTIFS(Data!$N$2:$N$5000,"OK",Data!$F$2:$F$5000,$B39,Data!$H$2:$H$5000,"&lt;&gt;")/C39,0)</f>
        <v>0.199186991869919</v>
      </c>
      <c r="G39" s="11" t="n">
        <f aca="false">IFERROR(COUNTIFS(Data!$N$2:$N$5000,"OK",Data!$F$2:$F$5000,$B39,Data!$J$2:$J$5000,"&lt;&gt;")/C39,0)</f>
        <v>0.0894308943089431</v>
      </c>
    </row>
    <row r="40" customFormat="false" ht="15" hidden="false" customHeight="false" outlineLevel="0" collapsed="false">
      <c r="B40" s="9" t="s">
        <v>44</v>
      </c>
      <c r="C40" s="10" t="n">
        <f aca="false">COUNTIFS(Data!$N$2:$N$5000,"OK",Data!$F$2:$F$5000,$B40)</f>
        <v>240</v>
      </c>
      <c r="D40" s="12" t="n">
        <f aca="false">IFERROR(AVERAGEIFS(Data!$M$2:$M$5000,Data!$N$2:$N$5000,"OK",Data!$F$2:$F$5000,$B40),0)</f>
        <v>3.09004739336493</v>
      </c>
      <c r="E40" s="12" t="n">
        <f aca="false">IFERROR(AVERAGEIFS(Data!$K$2:$K$5000,Data!$N$2:$N$5000,"OK",Data!$F$2:$F$5000,$B40,Data!$G$2:$G$5000,"&lt;&gt;"),0)</f>
        <v>2.88625592417062</v>
      </c>
      <c r="F40" s="11" t="n">
        <f aca="false">IFERROR(COUNTIFS(Data!$N$2:$N$5000,"OK",Data!$F$2:$F$5000,$B40,Data!$H$2:$H$5000,"&lt;&gt;")/C40,0)</f>
        <v>0.170833333333333</v>
      </c>
      <c r="G40" s="11" t="n">
        <f aca="false">IFERROR(COUNTIFS(Data!$N$2:$N$5000,"OK",Data!$F$2:$F$5000,$B40,Data!$J$2:$J$5000,"&lt;&gt;")/C40,0)</f>
        <v>0.0541666666666667</v>
      </c>
    </row>
    <row r="41" customFormat="false" ht="15" hidden="false" customHeight="false" outlineLevel="0" collapsed="false">
      <c r="B41" s="9" t="s">
        <v>45</v>
      </c>
      <c r="C41" s="10" t="n">
        <f aca="false">COUNTIFS(Data!$N$2:$N$5000,"OK",Data!$F$2:$F$5000,$B41)</f>
        <v>254</v>
      </c>
      <c r="D41" s="12" t="n">
        <f aca="false">IFERROR(AVERAGEIFS(Data!$M$2:$M$5000,Data!$N$2:$N$5000,"OK",Data!$F$2:$F$5000,$B41),0)</f>
        <v>1.89956331877729</v>
      </c>
      <c r="E41" s="12" t="n">
        <f aca="false">IFERROR(AVERAGEIFS(Data!$K$2:$K$5000,Data!$N$2:$N$5000,"OK",Data!$F$2:$F$5000,$B41,Data!$G$2:$G$5000,"&lt;&gt;"),0)</f>
        <v>2.65502183406114</v>
      </c>
      <c r="F41" s="11" t="n">
        <f aca="false">IFERROR(COUNTIFS(Data!$N$2:$N$5000,"OK",Data!$F$2:$F$5000,$B41,Data!$H$2:$H$5000,"&lt;&gt;")/C41,0)</f>
        <v>0.153543307086614</v>
      </c>
      <c r="G41" s="11" t="n">
        <f aca="false">IFERROR(COUNTIFS(Data!$N$2:$N$5000,"OK",Data!$F$2:$F$5000,$B41,Data!$J$2:$J$5000,"&lt;&gt;")/C41,0)</f>
        <v>0.0511811023622047</v>
      </c>
    </row>
    <row r="43" customFormat="false" ht="15" hidden="false" customHeight="false" outlineLevel="0" collapsed="false">
      <c r="B43" s="7" t="s">
        <v>46</v>
      </c>
      <c r="C43" s="7"/>
      <c r="D43" s="7"/>
      <c r="E43" s="7"/>
      <c r="F43" s="7"/>
      <c r="G43" s="7"/>
      <c r="H43" s="7"/>
      <c r="I43" s="7"/>
    </row>
    <row r="44" customFormat="false" ht="30" hidden="false" customHeight="true" outlineLevel="0" collapsed="false">
      <c r="B44" s="8" t="s">
        <v>47</v>
      </c>
      <c r="C44" s="8" t="s">
        <v>14</v>
      </c>
      <c r="D44" s="8" t="s">
        <v>4</v>
      </c>
      <c r="E44" s="8" t="s">
        <v>19</v>
      </c>
      <c r="F44" s="8" t="s">
        <v>6</v>
      </c>
      <c r="G44" s="8" t="s">
        <v>7</v>
      </c>
    </row>
    <row r="45" customFormat="false" ht="15" hidden="false" customHeight="false" outlineLevel="0" collapsed="false">
      <c r="B45" s="9" t="s">
        <v>48</v>
      </c>
      <c r="C45" s="10" t="n">
        <f aca="false">COUNTIFS(Data!$N$2:$N$5000,"OK",Data!$M$2:$M$5000,"&lt;=2")</f>
        <v>1153</v>
      </c>
      <c r="D45" s="10" t="n">
        <f aca="false">COUNTIFS(Data!$N$2:$N$5000,"OK",Data!$M$2:$M$5000,"&lt;=2",Data!$H$2:$H$5000,"&lt;&gt;")</f>
        <v>238</v>
      </c>
      <c r="E45" s="11" t="n">
        <f aca="false">IFERROR(D45/C45,0)</f>
        <v>0.206418039895924</v>
      </c>
      <c r="F45" s="10" t="n">
        <f aca="false">COUNTIFS(Data!$N$2:$N$5000,"OK",Data!$M$2:$M$5000,"&lt;=2",Data!$J$2:$J$5000,"&lt;&gt;")</f>
        <v>98</v>
      </c>
      <c r="G45" s="11" t="n">
        <f aca="false">IFERROR(F45/C45,0)</f>
        <v>0.0849956634865568</v>
      </c>
    </row>
    <row r="46" customFormat="false" ht="15" hidden="false" customHeight="false" outlineLevel="0" collapsed="false">
      <c r="B46" s="9" t="s">
        <v>49</v>
      </c>
      <c r="C46" s="10" t="n">
        <f aca="false">COUNTIFS(Data!$N$2:$N$5000,"OK",Data!$M$2:$M$5000,"&gt;2")</f>
        <v>301</v>
      </c>
      <c r="D46" s="10" t="n">
        <f aca="false">COUNTIFS(Data!$N$2:$N$5000,"OK",Data!$M$2:$M$5000,"&gt;2",Data!$H$2:$H$5000,"&lt;&gt;")</f>
        <v>46</v>
      </c>
      <c r="E46" s="11" t="n">
        <f aca="false">IFERROR(D46/C46,0)</f>
        <v>0.152823920265781</v>
      </c>
      <c r="F46" s="10" t="n">
        <f aca="false">COUNTIFS(Data!$N$2:$N$5000,"OK",Data!$M$2:$M$5000,"&gt;2",Data!$J$2:$J$5000,"&lt;&gt;")</f>
        <v>19</v>
      </c>
      <c r="G46" s="11" t="n">
        <f aca="false">IFERROR(F46/C46,0)</f>
        <v>0.0631229235880399</v>
      </c>
    </row>
    <row r="48" customFormat="false" ht="15" hidden="false" customHeight="false" outlineLevel="0" collapsed="false">
      <c r="B48" s="7" t="s">
        <v>50</v>
      </c>
      <c r="C48" s="7"/>
      <c r="D48" s="7"/>
      <c r="E48" s="7"/>
      <c r="F48" s="7"/>
      <c r="G48" s="7"/>
      <c r="H48" s="7"/>
      <c r="I48" s="7"/>
    </row>
    <row r="49" customFormat="false" ht="30" hidden="false" customHeight="true" outlineLevel="0" collapsed="false">
      <c r="B49" s="17" t="str">
        <f aca="false">"Source quality: "&amp;INDEX($B$17:$B$23,MATCH(MAX($H$17:$H$23),$H$17:$H$23,0))&amp;" converts "&amp;TEXT(MAX($H$17:$H$23),"0.0%")&amp;" of leads to enrollment vs "&amp;TEXT(MIN($H$17:$H$23),"0.0%")&amp;" for "&amp;INDEX($B$17:$B$23,MATCH(MIN($H$17:$H$23),$H$17:$H$23,0))&amp;". Prioritise counselor follow-up on high-converting sources and review spend on the weakest."</f>
        <v>Source quality: Walk-in converts 15.3% of leads to enrollment vs 3.4% for Website Organic. Prioritise counselor follow-up on high-converting sources and review spend on the weakest.</v>
      </c>
      <c r="C49" s="17"/>
      <c r="D49" s="17"/>
      <c r="E49" s="17"/>
      <c r="F49" s="17"/>
      <c r="G49" s="17"/>
      <c r="H49" s="17"/>
      <c r="I49" s="17"/>
    </row>
    <row r="50" customFormat="false" ht="30" hidden="false" customHeight="true" outlineLevel="0" collapsed="false">
      <c r="B50" s="17" t="str">
        <f aca="false">"Volume vs yield: the largest source is "&amp;INDEX($B$17:$B$23,MATCH(MAX($C$17:$C$23),$C$17:$C$23,0))&amp;" ("&amp;TEXT(MAX($C$17:$C$23),"#,##0")&amp;" leads) but it converts at "&amp;TEXT(INDEX($H$17:$H$23,MATCH(MAX($C$17:$C$23),$C$17:$C$23,0)),"0.0%")&amp;" vs "&amp;TEXT($H$24,"0.0%")&amp;" overall."</f>
        <v>Volume vs yield: the largest source is Meta Ads (434 leads) but it converts at 4.4% vs 7.3% overall.</v>
      </c>
      <c r="C50" s="17"/>
      <c r="D50" s="17"/>
      <c r="E50" s="17"/>
      <c r="F50" s="17"/>
      <c r="G50" s="17"/>
      <c r="H50" s="17"/>
      <c r="I50" s="17"/>
    </row>
    <row r="51" customFormat="false" ht="30" hidden="false" customHeight="true" outlineLevel="0" collapsed="false">
      <c r="B51" s="17" t="str">
        <f aca="false">"Speed matters: leads contacted within 2 days apply at "&amp;TEXT($E$45,"0.0%")&amp;" vs "&amp;TEXT($E$46,"0.0%")&amp;" when contact takes longer."</f>
        <v>Speed matters: leads contacted within 2 days apply at 20.6% vs 15.3% when contact takes longer.</v>
      </c>
      <c r="C51" s="17"/>
      <c r="D51" s="17"/>
      <c r="E51" s="17"/>
      <c r="F51" s="17"/>
      <c r="G51" s="17"/>
      <c r="H51" s="17"/>
      <c r="I51" s="17"/>
    </row>
    <row r="52" customFormat="false" ht="30" hidden="false" customHeight="true" outlineLevel="0" collapsed="false">
      <c r="B52" s="17" t="str">
        <f aca="false">"Counselor follow-up: fastest average first contact is "&amp;INDEX($B$36:$B$41,MATCH(MIN($D$36:$D$41),$D$36:$D$41,0))&amp;" ("&amp;TEXT(MIN($D$36:$D$41),"0.0")&amp;" days) vs slowest "&amp;INDEX($B$36:$B$41,MATCH(MAX($D$36:$D$41),$D$36:$D$41,0))&amp;" ("&amp;TEXT(MAX($D$36:$D$41),"0.0")&amp;" days)."</f>
        <v>Counselor follow-up: fastest average first contact is Counselor A (0.5 days) vs slowest Counselor E (3.1 days).</v>
      </c>
      <c r="C52" s="17"/>
      <c r="D52" s="17"/>
      <c r="E52" s="17"/>
      <c r="F52" s="17"/>
      <c r="G52" s="17"/>
      <c r="H52" s="17"/>
      <c r="I52" s="17"/>
    </row>
    <row r="53" customFormat="false" ht="30" hidden="false" customHeight="true" outlineLevel="0" collapsed="false">
      <c r="B53" s="17" t="str">
        <f aca="false">"Programs: "&amp;INDEX($B$28:$B$32,MATCH(MAX($I$28:$I$32),$I$28:$I$32,0))&amp;" has the highest lead-to-enrolled rate ("&amp;TEXT(MAX($I$28:$I$32),"0.0%")&amp;"); "&amp;INDEX($B$28:$B$32,MATCH(MIN($I$28:$I$32),$I$28:$I$32,0))&amp;" the lowest ("&amp;TEXT(MIN($I$28:$I$32),"0.0%")&amp;")."</f>
        <v>Programs: Computer Science has the highest lead-to-enrolled rate (8.8%); Engineering the lowest (5.7%).</v>
      </c>
      <c r="C53" s="17"/>
      <c r="D53" s="17"/>
      <c r="E53" s="17"/>
      <c r="F53" s="17"/>
      <c r="G53" s="17"/>
      <c r="H53" s="17"/>
      <c r="I53" s="17"/>
    </row>
    <row r="54" customFormat="false" ht="30" hidden="false" customHeight="true" outlineLevel="0" collapsed="false">
      <c r="B54" s="17" t="str">
        <f aca="false">"Data accuracy: "&amp;TEXT(Data_Quality!$B$7,"#,##0")&amp;" of "&amp;TEXT(Data_Quality!$B$8,"#,##0")&amp;" raw records were excluded (duplicates, missing source, date errors) - see Data_Quality."</f>
        <v>Data accuracy: 12 of 1,605 raw records were excluded (duplicates, missing source, date errors) - see Data_Quality.</v>
      </c>
      <c r="C54" s="17"/>
      <c r="D54" s="17"/>
      <c r="E54" s="17"/>
      <c r="F54" s="17"/>
      <c r="G54" s="17"/>
      <c r="H54" s="17"/>
      <c r="I54" s="17"/>
    </row>
  </sheetData>
  <mergeCells count="12">
    <mergeCell ref="B7:I7"/>
    <mergeCell ref="B15:I15"/>
    <mergeCell ref="B26:I26"/>
    <mergeCell ref="B34:I34"/>
    <mergeCell ref="B43:I43"/>
    <mergeCell ref="B48:I48"/>
    <mergeCell ref="B49:I49"/>
    <mergeCell ref="B50:I50"/>
    <mergeCell ref="B51:I51"/>
    <mergeCell ref="B52:I52"/>
    <mergeCell ref="B53:I53"/>
    <mergeCell ref="B54:I54"/>
  </mergeCells>
  <conditionalFormatting sqref="H17:H23">
    <cfRule type="colorScale" priority="2">
      <colorScale>
        <cfvo type="min" val="0"/>
        <cfvo type="percentile" val="50"/>
        <cfvo type="max" val="0"/>
        <color rgb="FFF8CBAD"/>
        <color rgb="FFFFFFFF"/>
        <color rgb="FFC6E0B4"/>
      </colorScale>
    </cfRule>
  </conditionalFormatting>
  <conditionalFormatting sqref="I28:I32">
    <cfRule type="colorScale" priority="3">
      <colorScale>
        <cfvo type="min" val="0"/>
        <cfvo type="percentile" val="50"/>
        <cfvo type="max" val="0"/>
        <color rgb="FFF8CBAD"/>
        <color rgb="FFFFFFFF"/>
        <color rgb="FFC6E0B4"/>
      </colorScale>
    </cfRule>
  </conditionalFormatting>
  <conditionalFormatting sqref="G36:G41">
    <cfRule type="colorScale" priority="4">
      <colorScale>
        <cfvo type="min" val="0"/>
        <cfvo type="percentile" val="50"/>
        <cfvo type="max" val="0"/>
        <color rgb="FFF8CBAD"/>
        <color rgb="FFFFFFFF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5" min="3" style="0" width="14"/>
    <col collapsed="false" customWidth="true" hidden="false" outlineLevel="0" max="7" min="6" style="0" width="22"/>
  </cols>
  <sheetData>
    <row r="1" customFormat="false" ht="30" hidden="false" customHeight="true" outlineLevel="0" collapsed="false">
      <c r="A1" s="8" t="s">
        <v>51</v>
      </c>
      <c r="B1" s="8" t="s">
        <v>52</v>
      </c>
      <c r="C1" s="8" t="s">
        <v>14</v>
      </c>
      <c r="D1" s="8" t="s">
        <v>4</v>
      </c>
      <c r="E1" s="8" t="s">
        <v>6</v>
      </c>
      <c r="F1" s="8" t="s">
        <v>53</v>
      </c>
      <c r="G1" s="8" t="s">
        <v>54</v>
      </c>
    </row>
    <row r="2" customFormat="false" ht="15" hidden="false" customHeight="false" outlineLevel="0" collapsed="false">
      <c r="A2" s="18" t="n">
        <v>1</v>
      </c>
      <c r="B2" s="19" t="n">
        <v>46083</v>
      </c>
      <c r="C2" s="18" t="n">
        <f aca="false">COUNTIFS(Data!$N$2:$N$5000,"OK",Data!$B$2:$B$5000,"&gt;="&amp;$B2,Data!$B$2:$B$5000,"&lt;"&amp;$B2+7)</f>
        <v>26</v>
      </c>
      <c r="D2" s="18" t="n">
        <f aca="false">COUNTIFS(Data!$N$2:$N$5000,"OK",Data!$H$2:$H$5000,"&gt;="&amp;$B2,Data!$H$2:$H$5000,"&lt;"&amp;$B2+7)</f>
        <v>0</v>
      </c>
      <c r="E2" s="18" t="n">
        <f aca="false">COUNTIFS(Data!$N$2:$N$5000,"OK",Data!$J$2:$J$5000,"&gt;="&amp;$B2,Data!$J$2:$J$5000,"&lt;"&amp;$B2+7)</f>
        <v>0</v>
      </c>
      <c r="F2" s="18"/>
      <c r="G2" s="18"/>
    </row>
    <row r="3" customFormat="false" ht="15" hidden="false" customHeight="false" outlineLevel="0" collapsed="false">
      <c r="A3" s="18" t="n">
        <v>2</v>
      </c>
      <c r="B3" s="20" t="n">
        <f aca="false">B2+7</f>
        <v>46090</v>
      </c>
      <c r="C3" s="18" t="n">
        <f aca="false">COUNTIFS(Data!$N$2:$N$5000,"OK",Data!$B$2:$B$5000,"&gt;="&amp;$B3,Data!$B$2:$B$5000,"&lt;"&amp;$B3+7)</f>
        <v>25</v>
      </c>
      <c r="D3" s="18" t="n">
        <f aca="false">COUNTIFS(Data!$N$2:$N$5000,"OK",Data!$H$2:$H$5000,"&gt;="&amp;$B3,Data!$H$2:$H$5000,"&lt;"&amp;$B3+7)</f>
        <v>0</v>
      </c>
      <c r="E3" s="18" t="n">
        <f aca="false">COUNTIFS(Data!$N$2:$N$5000,"OK",Data!$J$2:$J$5000,"&gt;="&amp;$B3,Data!$J$2:$J$5000,"&lt;"&amp;$B3+7)</f>
        <v>0</v>
      </c>
      <c r="F3" s="18"/>
      <c r="G3" s="18"/>
    </row>
    <row r="4" customFormat="false" ht="15" hidden="false" customHeight="false" outlineLevel="0" collapsed="false">
      <c r="A4" s="18" t="n">
        <v>3</v>
      </c>
      <c r="B4" s="20" t="n">
        <f aca="false">B3+7</f>
        <v>46097</v>
      </c>
      <c r="C4" s="18" t="n">
        <f aca="false">COUNTIFS(Data!$N$2:$N$5000,"OK",Data!$B$2:$B$5000,"&gt;="&amp;$B4,Data!$B$2:$B$5000,"&lt;"&amp;$B4+7)</f>
        <v>26</v>
      </c>
      <c r="D4" s="18" t="n">
        <f aca="false">COUNTIFS(Data!$N$2:$N$5000,"OK",Data!$H$2:$H$5000,"&gt;="&amp;$B4,Data!$H$2:$H$5000,"&lt;"&amp;$B4+7)</f>
        <v>2</v>
      </c>
      <c r="E4" s="18" t="n">
        <f aca="false">COUNTIFS(Data!$N$2:$N$5000,"OK",Data!$J$2:$J$5000,"&gt;="&amp;$B4,Data!$J$2:$J$5000,"&lt;"&amp;$B4+7)</f>
        <v>0</v>
      </c>
      <c r="F4" s="18"/>
      <c r="G4" s="18"/>
    </row>
    <row r="5" customFormat="false" ht="15" hidden="false" customHeight="false" outlineLevel="0" collapsed="false">
      <c r="A5" s="18" t="n">
        <v>4</v>
      </c>
      <c r="B5" s="20" t="n">
        <f aca="false">B4+7</f>
        <v>46104</v>
      </c>
      <c r="C5" s="18" t="n">
        <f aca="false">COUNTIFS(Data!$N$2:$N$5000,"OK",Data!$B$2:$B$5000,"&gt;="&amp;$B5,Data!$B$2:$B$5000,"&lt;"&amp;$B5+7)</f>
        <v>36</v>
      </c>
      <c r="D5" s="18" t="n">
        <f aca="false">COUNTIFS(Data!$N$2:$N$5000,"OK",Data!$H$2:$H$5000,"&gt;="&amp;$B5,Data!$H$2:$H$5000,"&lt;"&amp;$B5+7)</f>
        <v>2</v>
      </c>
      <c r="E5" s="18" t="n">
        <f aca="false">COUNTIFS(Data!$N$2:$N$5000,"OK",Data!$J$2:$J$5000,"&gt;="&amp;$B5,Data!$J$2:$J$5000,"&lt;"&amp;$B5+7)</f>
        <v>0</v>
      </c>
      <c r="F5" s="18"/>
      <c r="G5" s="18"/>
    </row>
    <row r="6" customFormat="false" ht="15" hidden="false" customHeight="false" outlineLevel="0" collapsed="false">
      <c r="A6" s="18" t="n">
        <v>5</v>
      </c>
      <c r="B6" s="20" t="n">
        <f aca="false">B5+7</f>
        <v>46111</v>
      </c>
      <c r="C6" s="18" t="n">
        <f aca="false">COUNTIFS(Data!$N$2:$N$5000,"OK",Data!$B$2:$B$5000,"&gt;="&amp;$B6,Data!$B$2:$B$5000,"&lt;"&amp;$B6+7)</f>
        <v>47</v>
      </c>
      <c r="D6" s="18" t="n">
        <f aca="false">COUNTIFS(Data!$N$2:$N$5000,"OK",Data!$H$2:$H$5000,"&gt;="&amp;$B6,Data!$H$2:$H$5000,"&lt;"&amp;$B6+7)</f>
        <v>5</v>
      </c>
      <c r="E6" s="18" t="n">
        <f aca="false">COUNTIFS(Data!$N$2:$N$5000,"OK",Data!$J$2:$J$5000,"&gt;="&amp;$B6,Data!$J$2:$J$5000,"&lt;"&amp;$B6+7)</f>
        <v>0</v>
      </c>
      <c r="F6" s="18"/>
      <c r="G6" s="18"/>
    </row>
    <row r="7" customFormat="false" ht="15" hidden="false" customHeight="false" outlineLevel="0" collapsed="false">
      <c r="A7" s="18" t="n">
        <v>6</v>
      </c>
      <c r="B7" s="20" t="n">
        <f aca="false">B6+7</f>
        <v>46118</v>
      </c>
      <c r="C7" s="18" t="n">
        <f aca="false">COUNTIFS(Data!$N$2:$N$5000,"OK",Data!$B$2:$B$5000,"&gt;="&amp;$B7,Data!$B$2:$B$5000,"&lt;"&amp;$B7+7)</f>
        <v>49</v>
      </c>
      <c r="D7" s="18" t="n">
        <f aca="false">COUNTIFS(Data!$N$2:$N$5000,"OK",Data!$H$2:$H$5000,"&gt;="&amp;$B7,Data!$H$2:$H$5000,"&lt;"&amp;$B7+7)</f>
        <v>7</v>
      </c>
      <c r="E7" s="18" t="n">
        <f aca="false">COUNTIFS(Data!$N$2:$N$5000,"OK",Data!$J$2:$J$5000,"&gt;="&amp;$B7,Data!$J$2:$J$5000,"&lt;"&amp;$B7+7)</f>
        <v>0</v>
      </c>
      <c r="F7" s="18"/>
      <c r="G7" s="18"/>
    </row>
    <row r="8" customFormat="false" ht="15" hidden="false" customHeight="false" outlineLevel="0" collapsed="false">
      <c r="A8" s="18" t="n">
        <v>7</v>
      </c>
      <c r="B8" s="20" t="n">
        <f aca="false">B7+7</f>
        <v>46125</v>
      </c>
      <c r="C8" s="18" t="n">
        <f aca="false">COUNTIFS(Data!$N$2:$N$5000,"OK",Data!$B$2:$B$5000,"&gt;="&amp;$B8,Data!$B$2:$B$5000,"&lt;"&amp;$B8+7)</f>
        <v>49</v>
      </c>
      <c r="D8" s="18" t="n">
        <f aca="false">COUNTIFS(Data!$N$2:$N$5000,"OK",Data!$H$2:$H$5000,"&gt;="&amp;$B8,Data!$H$2:$H$5000,"&lt;"&amp;$B8+7)</f>
        <v>11</v>
      </c>
      <c r="E8" s="18" t="n">
        <f aca="false">COUNTIFS(Data!$N$2:$N$5000,"OK",Data!$J$2:$J$5000,"&gt;="&amp;$B8,Data!$J$2:$J$5000,"&lt;"&amp;$B8+7)</f>
        <v>0</v>
      </c>
      <c r="F8" s="18"/>
      <c r="G8" s="18"/>
    </row>
    <row r="9" customFormat="false" ht="15" hidden="false" customHeight="false" outlineLevel="0" collapsed="false">
      <c r="A9" s="18" t="n">
        <v>8</v>
      </c>
      <c r="B9" s="20" t="n">
        <f aca="false">B8+7</f>
        <v>46132</v>
      </c>
      <c r="C9" s="18" t="n">
        <f aca="false">COUNTIFS(Data!$N$2:$N$5000,"OK",Data!$B$2:$B$5000,"&gt;="&amp;$B9,Data!$B$2:$B$5000,"&lt;"&amp;$B9+7)</f>
        <v>36</v>
      </c>
      <c r="D9" s="18" t="n">
        <f aca="false">COUNTIFS(Data!$N$2:$N$5000,"OK",Data!$H$2:$H$5000,"&gt;="&amp;$B9,Data!$H$2:$H$5000,"&lt;"&amp;$B9+7)</f>
        <v>9</v>
      </c>
      <c r="E9" s="18" t="n">
        <f aca="false">COUNTIFS(Data!$N$2:$N$5000,"OK",Data!$J$2:$J$5000,"&gt;="&amp;$B9,Data!$J$2:$J$5000,"&lt;"&amp;$B9+7)</f>
        <v>1</v>
      </c>
      <c r="F9" s="18"/>
      <c r="G9" s="18"/>
    </row>
    <row r="10" customFormat="false" ht="15" hidden="false" customHeight="false" outlineLevel="0" collapsed="false">
      <c r="A10" s="18" t="n">
        <v>9</v>
      </c>
      <c r="B10" s="20" t="n">
        <f aca="false">B9+7</f>
        <v>46139</v>
      </c>
      <c r="C10" s="18" t="n">
        <f aca="false">COUNTIFS(Data!$N$2:$N$5000,"OK",Data!$B$2:$B$5000,"&gt;="&amp;$B10,Data!$B$2:$B$5000,"&lt;"&amp;$B10+7)</f>
        <v>61</v>
      </c>
      <c r="D10" s="18" t="n">
        <f aca="false">COUNTIFS(Data!$N$2:$N$5000,"OK",Data!$H$2:$H$5000,"&gt;="&amp;$B10,Data!$H$2:$H$5000,"&lt;"&amp;$B10+7)</f>
        <v>8</v>
      </c>
      <c r="E10" s="18" t="n">
        <f aca="false">COUNTIFS(Data!$N$2:$N$5000,"OK",Data!$J$2:$J$5000,"&gt;="&amp;$B10,Data!$J$2:$J$5000,"&lt;"&amp;$B10+7)</f>
        <v>2</v>
      </c>
      <c r="F10" s="18"/>
      <c r="G10" s="18"/>
    </row>
    <row r="11" customFormat="false" ht="15" hidden="false" customHeight="false" outlineLevel="0" collapsed="false">
      <c r="A11" s="18" t="n">
        <v>10</v>
      </c>
      <c r="B11" s="20" t="n">
        <f aca="false">B10+7</f>
        <v>46146</v>
      </c>
      <c r="C11" s="18" t="n">
        <f aca="false">COUNTIFS(Data!$N$2:$N$5000,"OK",Data!$B$2:$B$5000,"&gt;="&amp;$B11,Data!$B$2:$B$5000,"&lt;"&amp;$B11+7)</f>
        <v>37</v>
      </c>
      <c r="D11" s="18" t="n">
        <f aca="false">COUNTIFS(Data!$N$2:$N$5000,"OK",Data!$H$2:$H$5000,"&gt;="&amp;$B11,Data!$H$2:$H$5000,"&lt;"&amp;$B11+7)</f>
        <v>5</v>
      </c>
      <c r="E11" s="18" t="n">
        <f aca="false">COUNTIFS(Data!$N$2:$N$5000,"OK",Data!$J$2:$J$5000,"&gt;="&amp;$B11,Data!$J$2:$J$5000,"&lt;"&amp;$B11+7)</f>
        <v>4</v>
      </c>
      <c r="F11" s="18"/>
      <c r="G11" s="18"/>
    </row>
    <row r="12" customFormat="false" ht="15" hidden="false" customHeight="false" outlineLevel="0" collapsed="false">
      <c r="A12" s="18" t="n">
        <v>11</v>
      </c>
      <c r="B12" s="20" t="n">
        <f aca="false">B11+7</f>
        <v>46153</v>
      </c>
      <c r="C12" s="18" t="n">
        <f aca="false">COUNTIFS(Data!$N$2:$N$5000,"OK",Data!$B$2:$B$5000,"&gt;="&amp;$B12,Data!$B$2:$B$5000,"&lt;"&amp;$B12+7)</f>
        <v>52</v>
      </c>
      <c r="D12" s="18" t="n">
        <f aca="false">COUNTIFS(Data!$N$2:$N$5000,"OK",Data!$H$2:$H$5000,"&gt;="&amp;$B12,Data!$H$2:$H$5000,"&lt;"&amp;$B12+7)</f>
        <v>7</v>
      </c>
      <c r="E12" s="18" t="n">
        <f aca="false">COUNTIFS(Data!$N$2:$N$5000,"OK",Data!$J$2:$J$5000,"&gt;="&amp;$B12,Data!$J$2:$J$5000,"&lt;"&amp;$B12+7)</f>
        <v>7</v>
      </c>
      <c r="F12" s="18"/>
      <c r="G12" s="18"/>
    </row>
    <row r="13" customFormat="false" ht="15" hidden="false" customHeight="false" outlineLevel="0" collapsed="false">
      <c r="A13" s="18" t="n">
        <v>12</v>
      </c>
      <c r="B13" s="20" t="n">
        <f aca="false">B12+7</f>
        <v>46160</v>
      </c>
      <c r="C13" s="18" t="n">
        <f aca="false">COUNTIFS(Data!$N$2:$N$5000,"OK",Data!$B$2:$B$5000,"&gt;="&amp;$B13,Data!$B$2:$B$5000,"&lt;"&amp;$B13+7)</f>
        <v>60</v>
      </c>
      <c r="D13" s="18" t="n">
        <f aca="false">COUNTIFS(Data!$N$2:$N$5000,"OK",Data!$H$2:$H$5000,"&gt;="&amp;$B13,Data!$H$2:$H$5000,"&lt;"&amp;$B13+7)</f>
        <v>10</v>
      </c>
      <c r="E13" s="18" t="n">
        <f aca="false">COUNTIFS(Data!$N$2:$N$5000,"OK",Data!$J$2:$J$5000,"&gt;="&amp;$B13,Data!$J$2:$J$5000,"&lt;"&amp;$B13+7)</f>
        <v>5</v>
      </c>
      <c r="F13" s="18"/>
      <c r="G13" s="18"/>
    </row>
    <row r="14" customFormat="false" ht="15" hidden="false" customHeight="false" outlineLevel="0" collapsed="false">
      <c r="A14" s="18" t="n">
        <v>13</v>
      </c>
      <c r="B14" s="20" t="n">
        <f aca="false">B13+7</f>
        <v>46167</v>
      </c>
      <c r="C14" s="18" t="n">
        <f aca="false">COUNTIFS(Data!$N$2:$N$5000,"OK",Data!$B$2:$B$5000,"&gt;="&amp;$B14,Data!$B$2:$B$5000,"&lt;"&amp;$B14+7)</f>
        <v>55</v>
      </c>
      <c r="D14" s="18" t="n">
        <f aca="false">COUNTIFS(Data!$N$2:$N$5000,"OK",Data!$H$2:$H$5000,"&gt;="&amp;$B14,Data!$H$2:$H$5000,"&lt;"&amp;$B14+7)</f>
        <v>14</v>
      </c>
      <c r="E14" s="18" t="n">
        <f aca="false">COUNTIFS(Data!$N$2:$N$5000,"OK",Data!$J$2:$J$5000,"&gt;="&amp;$B14,Data!$J$2:$J$5000,"&lt;"&amp;$B14+7)</f>
        <v>4</v>
      </c>
      <c r="F14" s="18"/>
      <c r="G14" s="18"/>
    </row>
    <row r="15" customFormat="false" ht="15" hidden="false" customHeight="false" outlineLevel="0" collapsed="false">
      <c r="A15" s="18" t="n">
        <v>14</v>
      </c>
      <c r="B15" s="20" t="n">
        <f aca="false">B14+7</f>
        <v>46174</v>
      </c>
      <c r="C15" s="18" t="n">
        <f aca="false">COUNTIFS(Data!$N$2:$N$5000,"OK",Data!$B$2:$B$5000,"&gt;="&amp;$B15,Data!$B$2:$B$5000,"&lt;"&amp;$B15+7)</f>
        <v>79</v>
      </c>
      <c r="D15" s="18" t="n">
        <f aca="false">COUNTIFS(Data!$N$2:$N$5000,"OK",Data!$H$2:$H$5000,"&gt;="&amp;$B15,Data!$H$2:$H$5000,"&lt;"&amp;$B15+7)</f>
        <v>14</v>
      </c>
      <c r="E15" s="18" t="n">
        <f aca="false">COUNTIFS(Data!$N$2:$N$5000,"OK",Data!$J$2:$J$5000,"&gt;="&amp;$B15,Data!$J$2:$J$5000,"&lt;"&amp;$B15+7)</f>
        <v>3</v>
      </c>
      <c r="F15" s="18"/>
      <c r="G15" s="18"/>
    </row>
    <row r="16" customFormat="false" ht="15" hidden="false" customHeight="false" outlineLevel="0" collapsed="false">
      <c r="A16" s="18" t="n">
        <v>15</v>
      </c>
      <c r="B16" s="20" t="n">
        <f aca="false">B15+7</f>
        <v>46181</v>
      </c>
      <c r="C16" s="18" t="n">
        <f aca="false">COUNTIFS(Data!$N$2:$N$5000,"OK",Data!$B$2:$B$5000,"&gt;="&amp;$B16,Data!$B$2:$B$5000,"&lt;"&amp;$B16+7)</f>
        <v>72</v>
      </c>
      <c r="D16" s="18" t="n">
        <f aca="false">COUNTIFS(Data!$N$2:$N$5000,"OK",Data!$H$2:$H$5000,"&gt;="&amp;$B16,Data!$H$2:$H$5000,"&lt;"&amp;$B16+7)</f>
        <v>10</v>
      </c>
      <c r="E16" s="18" t="n">
        <f aca="false">COUNTIFS(Data!$N$2:$N$5000,"OK",Data!$J$2:$J$5000,"&gt;="&amp;$B16,Data!$J$2:$J$5000,"&lt;"&amp;$B16+7)</f>
        <v>11</v>
      </c>
      <c r="F16" s="18"/>
      <c r="G16" s="18"/>
    </row>
    <row r="17" customFormat="false" ht="15" hidden="false" customHeight="false" outlineLevel="0" collapsed="false">
      <c r="A17" s="18" t="n">
        <v>16</v>
      </c>
      <c r="B17" s="20" t="n">
        <f aca="false">B16+7</f>
        <v>46188</v>
      </c>
      <c r="C17" s="18" t="n">
        <f aca="false">COUNTIFS(Data!$N$2:$N$5000,"OK",Data!$B$2:$B$5000,"&gt;="&amp;$B17,Data!$B$2:$B$5000,"&lt;"&amp;$B17+7)</f>
        <v>56</v>
      </c>
      <c r="D17" s="18" t="n">
        <f aca="false">COUNTIFS(Data!$N$2:$N$5000,"OK",Data!$H$2:$H$5000,"&gt;="&amp;$B17,Data!$H$2:$H$5000,"&lt;"&amp;$B17+7)</f>
        <v>17</v>
      </c>
      <c r="E17" s="18" t="n">
        <f aca="false">COUNTIFS(Data!$N$2:$N$5000,"OK",Data!$J$2:$J$5000,"&gt;="&amp;$B17,Data!$J$2:$J$5000,"&lt;"&amp;$B17+7)</f>
        <v>4</v>
      </c>
      <c r="F17" s="18"/>
      <c r="G17" s="18"/>
    </row>
    <row r="18" customFormat="false" ht="15" hidden="false" customHeight="false" outlineLevel="0" collapsed="false">
      <c r="A18" s="18" t="n">
        <v>17</v>
      </c>
      <c r="B18" s="20" t="n">
        <f aca="false">B17+7</f>
        <v>46195</v>
      </c>
      <c r="C18" s="18" t="n">
        <f aca="false">COUNTIFS(Data!$N$2:$N$5000,"OK",Data!$B$2:$B$5000,"&gt;="&amp;$B18,Data!$B$2:$B$5000,"&lt;"&amp;$B18+7)</f>
        <v>61</v>
      </c>
      <c r="D18" s="18" t="n">
        <f aca="false">COUNTIFS(Data!$N$2:$N$5000,"OK",Data!$H$2:$H$5000,"&gt;="&amp;$B18,Data!$H$2:$H$5000,"&lt;"&amp;$B18+7)</f>
        <v>17</v>
      </c>
      <c r="E18" s="18" t="n">
        <f aca="false">COUNTIFS(Data!$N$2:$N$5000,"OK",Data!$J$2:$J$5000,"&gt;="&amp;$B18,Data!$J$2:$J$5000,"&lt;"&amp;$B18+7)</f>
        <v>3</v>
      </c>
      <c r="F18" s="18"/>
      <c r="G18" s="18"/>
    </row>
    <row r="19" customFormat="false" ht="15" hidden="false" customHeight="false" outlineLevel="0" collapsed="false">
      <c r="A19" s="18" t="n">
        <v>18</v>
      </c>
      <c r="B19" s="20" t="n">
        <f aca="false">B18+7</f>
        <v>46202</v>
      </c>
      <c r="C19" s="18" t="n">
        <f aca="false">COUNTIFS(Data!$N$2:$N$5000,"OK",Data!$B$2:$B$5000,"&gt;="&amp;$B19,Data!$B$2:$B$5000,"&lt;"&amp;$B19+7)</f>
        <v>69</v>
      </c>
      <c r="D19" s="18" t="n">
        <f aca="false">COUNTIFS(Data!$N$2:$N$5000,"OK",Data!$H$2:$H$5000,"&gt;="&amp;$B19,Data!$H$2:$H$5000,"&lt;"&amp;$B19+7)</f>
        <v>12</v>
      </c>
      <c r="E19" s="18" t="n">
        <f aca="false">COUNTIFS(Data!$N$2:$N$5000,"OK",Data!$J$2:$J$5000,"&gt;="&amp;$B19,Data!$J$2:$J$5000,"&lt;"&amp;$B19+7)</f>
        <v>5</v>
      </c>
      <c r="F19" s="18"/>
      <c r="G19" s="18"/>
    </row>
    <row r="20" customFormat="false" ht="15" hidden="false" customHeight="false" outlineLevel="0" collapsed="false">
      <c r="A20" s="18" t="n">
        <v>19</v>
      </c>
      <c r="B20" s="20" t="n">
        <f aca="false">B19+7</f>
        <v>46209</v>
      </c>
      <c r="C20" s="18" t="n">
        <f aca="false">COUNTIFS(Data!$N$2:$N$5000,"OK",Data!$B$2:$B$5000,"&gt;="&amp;$B20,Data!$B$2:$B$5000,"&lt;"&amp;$B20+7)</f>
        <v>75</v>
      </c>
      <c r="D20" s="18" t="n">
        <f aca="false">COUNTIFS(Data!$N$2:$N$5000,"OK",Data!$H$2:$H$5000,"&gt;="&amp;$B20,Data!$H$2:$H$5000,"&lt;"&amp;$B20+7)</f>
        <v>16</v>
      </c>
      <c r="E20" s="18" t="n">
        <f aca="false">COUNTIFS(Data!$N$2:$N$5000,"OK",Data!$J$2:$J$5000,"&gt;="&amp;$B20,Data!$J$2:$J$5000,"&lt;"&amp;$B20+7)</f>
        <v>13</v>
      </c>
      <c r="F20" s="18"/>
      <c r="G20" s="18"/>
    </row>
    <row r="21" customFormat="false" ht="15" hidden="false" customHeight="false" outlineLevel="0" collapsed="false">
      <c r="A21" s="18" t="n">
        <v>20</v>
      </c>
      <c r="B21" s="20" t="n">
        <f aca="false">B20+7</f>
        <v>46216</v>
      </c>
      <c r="C21" s="18" t="n">
        <f aca="false">COUNTIFS(Data!$N$2:$N$5000,"OK",Data!$B$2:$B$5000,"&gt;="&amp;$B21,Data!$B$2:$B$5000,"&lt;"&amp;$B21+7)</f>
        <v>78</v>
      </c>
      <c r="D21" s="18" t="n">
        <f aca="false">COUNTIFS(Data!$N$2:$N$5000,"OK",Data!$H$2:$H$5000,"&gt;="&amp;$B21,Data!$H$2:$H$5000,"&lt;"&amp;$B21+7)</f>
        <v>13</v>
      </c>
      <c r="E21" s="18" t="n">
        <f aca="false">COUNTIFS(Data!$N$2:$N$5000,"OK",Data!$J$2:$J$5000,"&gt;="&amp;$B21,Data!$J$2:$J$5000,"&lt;"&amp;$B21+7)</f>
        <v>7</v>
      </c>
      <c r="F21" s="18"/>
      <c r="G21" s="18"/>
    </row>
    <row r="22" customFormat="false" ht="15" hidden="false" customHeight="false" outlineLevel="0" collapsed="false">
      <c r="A22" s="18" t="n">
        <v>21</v>
      </c>
      <c r="B22" s="20" t="n">
        <f aca="false">B21+7</f>
        <v>46223</v>
      </c>
      <c r="C22" s="18" t="n">
        <f aca="false">COUNTIFS(Data!$N$2:$N$5000,"OK",Data!$B$2:$B$5000,"&gt;="&amp;$B22,Data!$B$2:$B$5000,"&lt;"&amp;$B22+7)</f>
        <v>102</v>
      </c>
      <c r="D22" s="18" t="n">
        <f aca="false">COUNTIFS(Data!$N$2:$N$5000,"OK",Data!$H$2:$H$5000,"&gt;="&amp;$B22,Data!$H$2:$H$5000,"&lt;"&amp;$B22+7)</f>
        <v>20</v>
      </c>
      <c r="E22" s="18" t="n">
        <f aca="false">COUNTIFS(Data!$N$2:$N$5000,"OK",Data!$J$2:$J$5000,"&gt;="&amp;$B22,Data!$J$2:$J$5000,"&lt;"&amp;$B22+7)</f>
        <v>4</v>
      </c>
      <c r="F22" s="18"/>
      <c r="G22" s="18"/>
    </row>
    <row r="23" customFormat="false" ht="15" hidden="false" customHeight="false" outlineLevel="0" collapsed="false">
      <c r="A23" s="18" t="n">
        <v>22</v>
      </c>
      <c r="B23" s="20" t="n">
        <f aca="false">B22+7</f>
        <v>46230</v>
      </c>
      <c r="C23" s="18" t="n">
        <f aca="false">COUNTIFS(Data!$N$2:$N$5000,"OK",Data!$B$2:$B$5000,"&gt;="&amp;$B23,Data!$B$2:$B$5000,"&lt;"&amp;$B23+7)</f>
        <v>93</v>
      </c>
      <c r="D23" s="18" t="n">
        <f aca="false">COUNTIFS(Data!$N$2:$N$5000,"OK",Data!$H$2:$H$5000,"&gt;="&amp;$B23,Data!$H$2:$H$5000,"&lt;"&amp;$B23+7)</f>
        <v>14</v>
      </c>
      <c r="E23" s="18" t="n">
        <f aca="false">COUNTIFS(Data!$N$2:$N$5000,"OK",Data!$J$2:$J$5000,"&gt;="&amp;$B23,Data!$J$2:$J$5000,"&lt;"&amp;$B23+7)</f>
        <v>8</v>
      </c>
      <c r="F23" s="18"/>
      <c r="G23" s="18"/>
    </row>
    <row r="24" customFormat="false" ht="15" hidden="false" customHeight="false" outlineLevel="0" collapsed="false">
      <c r="A24" s="18" t="n">
        <v>23</v>
      </c>
      <c r="B24" s="20" t="n">
        <f aca="false">B23+7</f>
        <v>46237</v>
      </c>
      <c r="C24" s="18" t="n">
        <f aca="false">COUNTIFS(Data!$N$2:$N$5000,"OK",Data!$B$2:$B$5000,"&gt;="&amp;$B24,Data!$B$2:$B$5000,"&lt;"&amp;$B24+7)</f>
        <v>77</v>
      </c>
      <c r="D24" s="18" t="n">
        <f aca="false">COUNTIFS(Data!$N$2:$N$5000,"OK",Data!$H$2:$H$5000,"&gt;="&amp;$B24,Data!$H$2:$H$5000,"&lt;"&amp;$B24+7)</f>
        <v>27</v>
      </c>
      <c r="E24" s="18" t="n">
        <f aca="false">COUNTIFS(Data!$N$2:$N$5000,"OK",Data!$J$2:$J$5000,"&gt;="&amp;$B24,Data!$J$2:$J$5000,"&lt;"&amp;$B24+7)</f>
        <v>9</v>
      </c>
      <c r="F24" s="18"/>
      <c r="G24" s="18"/>
    </row>
    <row r="25" customFormat="false" ht="15" hidden="false" customHeight="false" outlineLevel="0" collapsed="false">
      <c r="A25" s="18" t="n">
        <v>24</v>
      </c>
      <c r="B25" s="20" t="n">
        <f aca="false">B24+7</f>
        <v>46244</v>
      </c>
      <c r="C25" s="18" t="n">
        <f aca="false">COUNTIFS(Data!$N$2:$N$5000,"OK",Data!$B$2:$B$5000,"&gt;="&amp;$B25,Data!$B$2:$B$5000,"&lt;"&amp;$B25+7)</f>
        <v>89</v>
      </c>
      <c r="D25" s="18" t="n">
        <f aca="false">COUNTIFS(Data!$N$2:$N$5000,"OK",Data!$H$2:$H$5000,"&gt;="&amp;$B25,Data!$H$2:$H$5000,"&lt;"&amp;$B25+7)</f>
        <v>9</v>
      </c>
      <c r="E25" s="18" t="n">
        <f aca="false">COUNTIFS(Data!$N$2:$N$5000,"OK",Data!$J$2:$J$5000,"&gt;="&amp;$B25,Data!$J$2:$J$5000,"&lt;"&amp;$B25+7)</f>
        <v>9</v>
      </c>
      <c r="F25" s="18"/>
      <c r="G25" s="18"/>
    </row>
    <row r="26" customFormat="false" ht="15" hidden="false" customHeight="false" outlineLevel="0" collapsed="false">
      <c r="A26" s="18" t="n">
        <v>25</v>
      </c>
      <c r="B26" s="20" t="n">
        <f aca="false">B25+7</f>
        <v>46251</v>
      </c>
      <c r="C26" s="18" t="n">
        <f aca="false">COUNTIFS(Data!$N$2:$N$5000,"OK",Data!$B$2:$B$5000,"&gt;="&amp;$B26,Data!$B$2:$B$5000,"&lt;"&amp;$B26+7)</f>
        <v>98</v>
      </c>
      <c r="D26" s="18" t="n">
        <f aca="false">COUNTIFS(Data!$N$2:$N$5000,"OK",Data!$H$2:$H$5000,"&gt;="&amp;$B26,Data!$H$2:$H$5000,"&lt;"&amp;$B26+7)</f>
        <v>18</v>
      </c>
      <c r="E26" s="18" t="n">
        <f aca="false">COUNTIFS(Data!$N$2:$N$5000,"OK",Data!$J$2:$J$5000,"&gt;="&amp;$B26,Data!$J$2:$J$5000,"&lt;"&amp;$B26+7)</f>
        <v>10</v>
      </c>
      <c r="F26" s="18"/>
      <c r="G26" s="18"/>
    </row>
    <row r="27" customFormat="false" ht="15" hidden="false" customHeight="false" outlineLevel="0" collapsed="false">
      <c r="A27" s="18" t="n">
        <v>26</v>
      </c>
      <c r="B27" s="20" t="n">
        <f aca="false">B26+7</f>
        <v>46258</v>
      </c>
      <c r="C27" s="18" t="n">
        <f aca="false">COUNTIFS(Data!$N$2:$N$5000,"OK",Data!$B$2:$B$5000,"&gt;="&amp;$B27,Data!$B$2:$B$5000,"&lt;"&amp;$B27+7)</f>
        <v>85</v>
      </c>
      <c r="D27" s="18" t="n">
        <f aca="false">COUNTIFS(Data!$N$2:$N$5000,"OK",Data!$H$2:$H$5000,"&gt;="&amp;$B27,Data!$H$2:$H$5000,"&lt;"&amp;$B27+7)</f>
        <v>17</v>
      </c>
      <c r="E27" s="18" t="n">
        <f aca="false">COUNTIFS(Data!$N$2:$N$5000,"OK",Data!$J$2:$J$5000,"&gt;="&amp;$B27,Data!$J$2:$J$5000,"&lt;"&amp;$B27+7)</f>
        <v>8</v>
      </c>
      <c r="F27" s="18" t="n">
        <f aca="false">C27</f>
        <v>85</v>
      </c>
      <c r="G27" s="18" t="n">
        <f aca="false">D27</f>
        <v>17</v>
      </c>
    </row>
    <row r="28" customFormat="false" ht="15" hidden="false" customHeight="false" outlineLevel="0" collapsed="false">
      <c r="A28" s="21" t="n">
        <v>27</v>
      </c>
      <c r="B28" s="22" t="n">
        <f aca="false">B27+7</f>
        <v>46265</v>
      </c>
      <c r="C28" s="21"/>
      <c r="D28" s="21"/>
      <c r="E28" s="21"/>
      <c r="F28" s="21" t="n">
        <f aca="false">ROUND(FORECAST($A28,$C$2:$C$27,$A$2:$A$27),0)</f>
        <v>98</v>
      </c>
      <c r="G28" s="21" t="n">
        <f aca="false">ROUND(FORECAST($A28,$D$2:$D$27,$A$2:$A$27),0)</f>
        <v>21</v>
      </c>
    </row>
    <row r="29" customFormat="false" ht="15" hidden="false" customHeight="false" outlineLevel="0" collapsed="false">
      <c r="A29" s="21" t="n">
        <v>28</v>
      </c>
      <c r="B29" s="22" t="n">
        <f aca="false">B28+7</f>
        <v>46272</v>
      </c>
      <c r="C29" s="21"/>
      <c r="D29" s="21"/>
      <c r="E29" s="21"/>
      <c r="F29" s="21" t="n">
        <f aca="false">ROUND(FORECAST($A29,$C$2:$C$27,$A$2:$A$27),0)</f>
        <v>101</v>
      </c>
      <c r="G29" s="21" t="n">
        <f aca="false">ROUND(FORECAST($A29,$D$2:$D$27,$A$2:$A$27),0)</f>
        <v>21</v>
      </c>
    </row>
    <row r="30" customFormat="false" ht="15" hidden="false" customHeight="false" outlineLevel="0" collapsed="false">
      <c r="A30" s="21" t="n">
        <v>29</v>
      </c>
      <c r="B30" s="22" t="n">
        <f aca="false">B29+7</f>
        <v>46279</v>
      </c>
      <c r="C30" s="21"/>
      <c r="D30" s="21"/>
      <c r="E30" s="21"/>
      <c r="F30" s="21" t="n">
        <f aca="false">ROUND(FORECAST($A30,$C$2:$C$27,$A$2:$A$27),0)</f>
        <v>103</v>
      </c>
      <c r="G30" s="21" t="n">
        <f aca="false">ROUND(FORECAST($A30,$D$2:$D$27,$A$2:$A$27),0)</f>
        <v>22</v>
      </c>
    </row>
    <row r="31" customFormat="false" ht="15" hidden="false" customHeight="false" outlineLevel="0" collapsed="false">
      <c r="A31" s="21" t="n">
        <v>30</v>
      </c>
      <c r="B31" s="22" t="n">
        <f aca="false">B30+7</f>
        <v>46286</v>
      </c>
      <c r="C31" s="21"/>
      <c r="D31" s="21"/>
      <c r="E31" s="21"/>
      <c r="F31" s="21" t="n">
        <f aca="false">ROUND(FORECAST($A31,$C$2:$C$27,$A$2:$A$27),0)</f>
        <v>106</v>
      </c>
      <c r="G31" s="21" t="n">
        <f aca="false">ROUND(FORECAST($A31,$D$2:$D$27,$A$2:$A$27),0)</f>
        <v>23</v>
      </c>
    </row>
    <row r="34" customFormat="false" ht="15" hidden="false" customHeight="false" outlineLevel="0" collapsed="false">
      <c r="A34" s="23" t="s">
        <v>55</v>
      </c>
    </row>
    <row r="35" customFormat="false" ht="15" hidden="false" customHeight="false" outlineLevel="0" collapsed="false">
      <c r="A35" s="24" t="s">
        <v>56</v>
      </c>
    </row>
    <row r="36" customFormat="false" ht="15" hidden="false" customHeight="false" outlineLevel="0" collapsed="false">
      <c r="A36" s="24" t="s">
        <v>57</v>
      </c>
    </row>
    <row r="37" customFormat="false" ht="15" hidden="false" customHeight="false" outlineLevel="0" collapsed="false">
      <c r="A37" s="24" t="s">
        <v>58</v>
      </c>
    </row>
    <row r="38" customFormat="false" ht="15" hidden="false" customHeight="false" outlineLevel="0" collapsed="false">
      <c r="A38" s="2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30" hidden="false" customHeight="true" outlineLevel="0" collapsed="false">
      <c r="A1" s="8" t="s">
        <v>60</v>
      </c>
      <c r="B1" s="8" t="s">
        <v>14</v>
      </c>
      <c r="C1" s="8" t="s">
        <v>15</v>
      </c>
      <c r="D1" s="8" t="s">
        <v>16</v>
      </c>
      <c r="E1" s="8" t="s">
        <v>5</v>
      </c>
      <c r="F1" s="8" t="s">
        <v>6</v>
      </c>
      <c r="G1" s="8" t="s">
        <v>19</v>
      </c>
      <c r="H1" s="8" t="s">
        <v>7</v>
      </c>
    </row>
    <row r="2" customFormat="false" ht="15" hidden="false" customHeight="false" outlineLevel="0" collapsed="false">
      <c r="A2" s="25" t="n">
        <v>46082</v>
      </c>
      <c r="B2" s="18" t="n">
        <f aca="false">COUNTIFS(Data!$N$2:$N$5000,"OK",Data!$B$2:$B$5000,"&gt;="&amp;$A2,Data!$B$2:$B$5000,"&lt;"&amp;EDATE($A2,1))</f>
        <v>123</v>
      </c>
      <c r="C2" s="18" t="n">
        <f aca="false">COUNTIFS(Data!$N$2:$N$5000,"OK",Data!$B$2:$B$5000,"&gt;="&amp;$A2,Data!$B$2:$B$5000,"&lt;"&amp;EDATE($A2,1),Data!$G$2:$G$5000,"&lt;&gt;")</f>
        <v>111</v>
      </c>
      <c r="D2" s="18" t="n">
        <f aca="false">COUNTIFS(Data!$N$2:$N$5000,"OK",Data!$B$2:$B$5000,"&gt;="&amp;$A2,Data!$B$2:$B$5000,"&lt;"&amp;EDATE($A2,1),Data!$H$2:$H$5000,"&lt;&gt;")</f>
        <v>19</v>
      </c>
      <c r="E2" s="18" t="n">
        <f aca="false">COUNTIFS(Data!$N$2:$N$5000,"OK",Data!$B$2:$B$5000,"&gt;="&amp;$A2,Data!$B$2:$B$5000,"&lt;"&amp;EDATE($A2,1),Data!$I$2:$I$5000,"&lt;&gt;")</f>
        <v>15</v>
      </c>
      <c r="F2" s="18" t="n">
        <f aca="false">COUNTIFS(Data!$N$2:$N$5000,"OK",Data!$B$2:$B$5000,"&gt;="&amp;$A2,Data!$B$2:$B$5000,"&lt;"&amp;EDATE($A2,1),Data!$J$2:$J$5000,"&lt;&gt;")</f>
        <v>10</v>
      </c>
      <c r="G2" s="26" t="n">
        <f aca="false">IFERROR(D2/B2,0)</f>
        <v>0.154471544715447</v>
      </c>
      <c r="H2" s="26" t="n">
        <f aca="false">IFERROR(F2/B2,0)</f>
        <v>0.0813008130081301</v>
      </c>
    </row>
    <row r="3" customFormat="false" ht="15" hidden="false" customHeight="false" outlineLevel="0" collapsed="false">
      <c r="A3" s="27" t="n">
        <f aca="false">EDATE(A2,1)</f>
        <v>46113</v>
      </c>
      <c r="B3" s="18" t="n">
        <f aca="false">COUNTIFS(Data!$N$2:$N$5000,"OK",Data!$B$2:$B$5000,"&gt;="&amp;$A3,Data!$B$2:$B$5000,"&lt;"&amp;EDATE($A3,1))</f>
        <v>203</v>
      </c>
      <c r="C3" s="18" t="n">
        <f aca="false">COUNTIFS(Data!$N$2:$N$5000,"OK",Data!$B$2:$B$5000,"&gt;="&amp;$A3,Data!$B$2:$B$5000,"&lt;"&amp;EDATE($A3,1),Data!$G$2:$G$5000,"&lt;&gt;")</f>
        <v>186</v>
      </c>
      <c r="D3" s="18" t="n">
        <f aca="false">COUNTIFS(Data!$N$2:$N$5000,"OK",Data!$B$2:$B$5000,"&gt;="&amp;$A3,Data!$B$2:$B$5000,"&lt;"&amp;EDATE($A3,1),Data!$H$2:$H$5000,"&lt;&gt;")</f>
        <v>38</v>
      </c>
      <c r="E3" s="18" t="n">
        <f aca="false">COUNTIFS(Data!$N$2:$N$5000,"OK",Data!$B$2:$B$5000,"&gt;="&amp;$A3,Data!$B$2:$B$5000,"&lt;"&amp;EDATE($A3,1),Data!$I$2:$I$5000,"&lt;&gt;")</f>
        <v>34</v>
      </c>
      <c r="F3" s="18" t="n">
        <f aca="false">COUNTIFS(Data!$N$2:$N$5000,"OK",Data!$B$2:$B$5000,"&gt;="&amp;$A3,Data!$B$2:$B$5000,"&lt;"&amp;EDATE($A3,1),Data!$J$2:$J$5000,"&lt;&gt;")</f>
        <v>24</v>
      </c>
      <c r="G3" s="26" t="n">
        <f aca="false">IFERROR(D3/B3,0)</f>
        <v>0.187192118226601</v>
      </c>
      <c r="H3" s="26" t="n">
        <f aca="false">IFERROR(F3/B3,0)</f>
        <v>0.118226600985222</v>
      </c>
    </row>
    <row r="4" customFormat="false" ht="15" hidden="false" customHeight="false" outlineLevel="0" collapsed="false">
      <c r="A4" s="27" t="n">
        <f aca="false">EDATE(A3,1)</f>
        <v>46143</v>
      </c>
      <c r="B4" s="18" t="n">
        <f aca="false">COUNTIFS(Data!$N$2:$N$5000,"OK",Data!$B$2:$B$5000,"&gt;="&amp;$A4,Data!$B$2:$B$5000,"&lt;"&amp;EDATE($A4,1))</f>
        <v>233</v>
      </c>
      <c r="C4" s="18" t="n">
        <f aca="false">COUNTIFS(Data!$N$2:$N$5000,"OK",Data!$B$2:$B$5000,"&gt;="&amp;$A4,Data!$B$2:$B$5000,"&lt;"&amp;EDATE($A4,1),Data!$G$2:$G$5000,"&lt;&gt;")</f>
        <v>217</v>
      </c>
      <c r="D4" s="18" t="n">
        <f aca="false">COUNTIFS(Data!$N$2:$N$5000,"OK",Data!$B$2:$B$5000,"&gt;="&amp;$A4,Data!$B$2:$B$5000,"&lt;"&amp;EDATE($A4,1),Data!$H$2:$H$5000,"&lt;&gt;")</f>
        <v>52</v>
      </c>
      <c r="E4" s="18" t="n">
        <f aca="false">COUNTIFS(Data!$N$2:$N$5000,"OK",Data!$B$2:$B$5000,"&gt;="&amp;$A4,Data!$B$2:$B$5000,"&lt;"&amp;EDATE($A4,1),Data!$I$2:$I$5000,"&lt;&gt;")</f>
        <v>45</v>
      </c>
      <c r="F4" s="18" t="n">
        <f aca="false">COUNTIFS(Data!$N$2:$N$5000,"OK",Data!$B$2:$B$5000,"&gt;="&amp;$A4,Data!$B$2:$B$5000,"&lt;"&amp;EDATE($A4,1),Data!$J$2:$J$5000,"&lt;&gt;")</f>
        <v>29</v>
      </c>
      <c r="G4" s="26" t="n">
        <f aca="false">IFERROR(D4/B4,0)</f>
        <v>0.223175965665236</v>
      </c>
      <c r="H4" s="26" t="n">
        <f aca="false">IFERROR(F4/B4,0)</f>
        <v>0.124463519313305</v>
      </c>
    </row>
    <row r="5" customFormat="false" ht="15" hidden="false" customHeight="false" outlineLevel="0" collapsed="false">
      <c r="A5" s="27" t="n">
        <f aca="false">EDATE(A4,1)</f>
        <v>46174</v>
      </c>
      <c r="B5" s="18" t="n">
        <f aca="false">COUNTIFS(Data!$N$2:$N$5000,"OK",Data!$B$2:$B$5000,"&gt;="&amp;$A5,Data!$B$2:$B$5000,"&lt;"&amp;EDATE($A5,1))</f>
        <v>298</v>
      </c>
      <c r="C5" s="18" t="n">
        <f aca="false">COUNTIFS(Data!$N$2:$N$5000,"OK",Data!$B$2:$B$5000,"&gt;="&amp;$A5,Data!$B$2:$B$5000,"&lt;"&amp;EDATE($A5,1),Data!$G$2:$G$5000,"&lt;&gt;")</f>
        <v>274</v>
      </c>
      <c r="D5" s="18" t="n">
        <f aca="false">COUNTIFS(Data!$N$2:$N$5000,"OK",Data!$B$2:$B$5000,"&gt;="&amp;$A5,Data!$B$2:$B$5000,"&lt;"&amp;EDATE($A5,1),Data!$H$2:$H$5000,"&lt;&gt;")</f>
        <v>63</v>
      </c>
      <c r="E5" s="18" t="n">
        <f aca="false">COUNTIFS(Data!$N$2:$N$5000,"OK",Data!$B$2:$B$5000,"&gt;="&amp;$A5,Data!$B$2:$B$5000,"&lt;"&amp;EDATE($A5,1),Data!$I$2:$I$5000,"&lt;&gt;")</f>
        <v>53</v>
      </c>
      <c r="F5" s="18" t="n">
        <f aca="false">COUNTIFS(Data!$N$2:$N$5000,"OK",Data!$B$2:$B$5000,"&gt;="&amp;$A5,Data!$B$2:$B$5000,"&lt;"&amp;EDATE($A5,1),Data!$J$2:$J$5000,"&lt;&gt;")</f>
        <v>35</v>
      </c>
      <c r="G5" s="26" t="n">
        <f aca="false">IFERROR(D5/B5,0)</f>
        <v>0.211409395973154</v>
      </c>
      <c r="H5" s="26" t="n">
        <f aca="false">IFERROR(F5/B5,0)</f>
        <v>0.11744966442953</v>
      </c>
    </row>
    <row r="6" customFormat="false" ht="15" hidden="false" customHeight="false" outlineLevel="0" collapsed="false">
      <c r="A6" s="27" t="n">
        <f aca="false">EDATE(A5,1)</f>
        <v>46204</v>
      </c>
      <c r="B6" s="18" t="n">
        <f aca="false">COUNTIFS(Data!$N$2:$N$5000,"OK",Data!$B$2:$B$5000,"&gt;="&amp;$A6,Data!$B$2:$B$5000,"&lt;"&amp;EDATE($A6,1))</f>
        <v>360</v>
      </c>
      <c r="C6" s="18" t="n">
        <f aca="false">COUNTIFS(Data!$N$2:$N$5000,"OK",Data!$B$2:$B$5000,"&gt;="&amp;$A6,Data!$B$2:$B$5000,"&lt;"&amp;EDATE($A6,1),Data!$G$2:$G$5000,"&lt;&gt;")</f>
        <v>336</v>
      </c>
      <c r="D6" s="18" t="n">
        <f aca="false">COUNTIFS(Data!$N$2:$N$5000,"OK",Data!$B$2:$B$5000,"&gt;="&amp;$A6,Data!$B$2:$B$5000,"&lt;"&amp;EDATE($A6,1),Data!$H$2:$H$5000,"&lt;&gt;")</f>
        <v>80</v>
      </c>
      <c r="E6" s="18" t="n">
        <f aca="false">COUNTIFS(Data!$N$2:$N$5000,"OK",Data!$B$2:$B$5000,"&gt;="&amp;$A6,Data!$B$2:$B$5000,"&lt;"&amp;EDATE($A6,1),Data!$I$2:$I$5000,"&lt;&gt;")</f>
        <v>61</v>
      </c>
      <c r="F6" s="18" t="n">
        <f aca="false">COUNTIFS(Data!$N$2:$N$5000,"OK",Data!$B$2:$B$5000,"&gt;="&amp;$A6,Data!$B$2:$B$5000,"&lt;"&amp;EDATE($A6,1),Data!$J$2:$J$5000,"&lt;&gt;")</f>
        <v>19</v>
      </c>
      <c r="G6" s="26" t="n">
        <f aca="false">IFERROR(D6/B6,0)</f>
        <v>0.222222222222222</v>
      </c>
      <c r="H6" s="26" t="n">
        <f aca="false">IFERROR(F6/B6,0)</f>
        <v>0.0527777777777778</v>
      </c>
    </row>
    <row r="7" customFormat="false" ht="15" hidden="false" customHeight="false" outlineLevel="0" collapsed="false">
      <c r="A7" s="27" t="n">
        <f aca="false">EDATE(A6,1)</f>
        <v>46235</v>
      </c>
      <c r="B7" s="18" t="n">
        <f aca="false">COUNTIFS(Data!$N$2:$N$5000,"OK",Data!$B$2:$B$5000,"&gt;="&amp;$A7,Data!$B$2:$B$5000,"&lt;"&amp;EDATE($A7,1))</f>
        <v>376</v>
      </c>
      <c r="C7" s="18" t="n">
        <f aca="false">COUNTIFS(Data!$N$2:$N$5000,"OK",Data!$B$2:$B$5000,"&gt;="&amp;$A7,Data!$B$2:$B$5000,"&lt;"&amp;EDATE($A7,1),Data!$G$2:$G$5000,"&lt;&gt;")</f>
        <v>330</v>
      </c>
      <c r="D7" s="18" t="n">
        <f aca="false">COUNTIFS(Data!$N$2:$N$5000,"OK",Data!$B$2:$B$5000,"&gt;="&amp;$A7,Data!$B$2:$B$5000,"&lt;"&amp;EDATE($A7,1),Data!$H$2:$H$5000,"&lt;&gt;")</f>
        <v>32</v>
      </c>
      <c r="E7" s="18" t="n">
        <f aca="false">COUNTIFS(Data!$N$2:$N$5000,"OK",Data!$B$2:$B$5000,"&gt;="&amp;$A7,Data!$B$2:$B$5000,"&lt;"&amp;EDATE($A7,1),Data!$I$2:$I$5000,"&lt;&gt;")</f>
        <v>9</v>
      </c>
      <c r="F7" s="18" t="n">
        <f aca="false">COUNTIFS(Data!$N$2:$N$5000,"OK",Data!$B$2:$B$5000,"&gt;="&amp;$A7,Data!$B$2:$B$5000,"&lt;"&amp;EDATE($A7,1),Data!$J$2:$J$5000,"&lt;&gt;")</f>
        <v>0</v>
      </c>
      <c r="G7" s="26" t="n">
        <f aca="false">IFERROR(D7/B7,0)</f>
        <v>0.0851063829787234</v>
      </c>
      <c r="H7" s="26" t="n">
        <f aca="false">IFERROR(F7/B7,0)</f>
        <v>0</v>
      </c>
    </row>
    <row r="8" customFormat="false" ht="15" hidden="false" customHeight="false" outlineLevel="0" collapsed="false">
      <c r="A8" s="28" t="s">
        <v>61</v>
      </c>
      <c r="B8" s="28" t="n">
        <f aca="false">SUM(B2:B7)</f>
        <v>1593</v>
      </c>
      <c r="C8" s="28" t="n">
        <f aca="false">SUM(C2:C7)</f>
        <v>1454</v>
      </c>
      <c r="D8" s="28" t="n">
        <f aca="false">SUM(D2:D7)</f>
        <v>284</v>
      </c>
      <c r="E8" s="28" t="n">
        <f aca="false">SUM(E2:E7)</f>
        <v>217</v>
      </c>
      <c r="F8" s="28" t="n">
        <f aca="false">SUM(F2:F7)</f>
        <v>117</v>
      </c>
      <c r="G8" s="29" t="n">
        <f aca="false">IFERROR(D8/B8,0)</f>
        <v>0.178279974890144</v>
      </c>
      <c r="H8" s="29" t="n">
        <f aca="false">IFERROR(F8/B8,0)</f>
        <v>0.0734463276836158</v>
      </c>
    </row>
    <row r="10" customFormat="false" ht="15" hidden="false" customHeight="false" outlineLevel="0" collapsed="false">
      <c r="A10" s="2" t="s">
        <v>62</v>
      </c>
    </row>
    <row r="11" customFormat="false" ht="15" hidden="false" customHeight="false" outlineLevel="0" collapsed="false">
      <c r="A11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5"/>
  </cols>
  <sheetData>
    <row r="1" customFormat="false" ht="23.85" hidden="false" customHeight="false" outlineLevel="0" collapsed="false">
      <c r="A1" s="30" t="s">
        <v>64</v>
      </c>
      <c r="B1" s="30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76</v>
      </c>
      <c r="N1" s="30" t="s">
        <v>77</v>
      </c>
    </row>
    <row r="2" customFormat="false" ht="15" hidden="false" customHeight="false" outlineLevel="0" collapsed="false">
      <c r="A2" s="24" t="s">
        <v>78</v>
      </c>
      <c r="B2" s="31" t="n">
        <v>46083</v>
      </c>
      <c r="C2" s="24" t="s">
        <v>25</v>
      </c>
      <c r="D2" s="24" t="s">
        <v>33</v>
      </c>
      <c r="E2" s="24" t="s">
        <v>79</v>
      </c>
      <c r="F2" s="24" t="s">
        <v>42</v>
      </c>
      <c r="G2" s="31" t="n">
        <v>46083</v>
      </c>
      <c r="H2" s="24"/>
      <c r="I2" s="24"/>
      <c r="J2" s="24"/>
      <c r="K2" s="24" t="n">
        <v>6</v>
      </c>
      <c r="L2" s="24" t="str">
        <f aca="false">IF(J2&lt;&gt;"","Enrolled",IF(I2&lt;&gt;"","Admitted",IF(H2&lt;&gt;"","Applied",IF(G2&lt;&gt;"","Contacted","New"))))</f>
        <v>Contacted</v>
      </c>
      <c r="M2" s="32" t="n">
        <f aca="false">IF(G2="","",G2-B2)</f>
        <v>0</v>
      </c>
      <c r="N2" s="24" t="str">
        <f aca="false">IF(COUNTIF($A$2:A2,A2)&gt;1,"Duplicate ID",IF(C2="","Missing source",IF(OR(AND(G2&lt;&gt;"",G2&lt;B2),AND(H2&lt;&gt;"",H2&lt;B2),AND(I2&lt;&gt;"",I2&lt;H2),AND(J2&lt;&gt;"",J2&lt;I2)),"Date error","OK")))</f>
        <v>OK</v>
      </c>
    </row>
    <row r="3" customFormat="false" ht="15" hidden="false" customHeight="false" outlineLevel="0" collapsed="false">
      <c r="A3" s="24" t="s">
        <v>80</v>
      </c>
      <c r="B3" s="31" t="n">
        <v>46083</v>
      </c>
      <c r="C3" s="24" t="s">
        <v>26</v>
      </c>
      <c r="D3" s="24" t="s">
        <v>32</v>
      </c>
      <c r="E3" s="24" t="s">
        <v>81</v>
      </c>
      <c r="F3" s="24" t="s">
        <v>42</v>
      </c>
      <c r="G3" s="31" t="n">
        <v>46084</v>
      </c>
      <c r="H3" s="24"/>
      <c r="I3" s="24"/>
      <c r="J3" s="24"/>
      <c r="K3" s="24" t="n">
        <v>1</v>
      </c>
      <c r="L3" s="24" t="str">
        <f aca="false">IF(J3&lt;&gt;"","Enrolled",IF(I3&lt;&gt;"","Admitted",IF(H3&lt;&gt;"","Applied",IF(G3&lt;&gt;"","Contacted","New"))))</f>
        <v>Contacted</v>
      </c>
      <c r="M3" s="32" t="n">
        <f aca="false">IF(G3="","",G3-B3)</f>
        <v>1</v>
      </c>
      <c r="N3" s="24" t="str">
        <f aca="false">IF(COUNTIF($A$2:A3,A3)&gt;1,"Duplicate ID",IF(C3="","Missing source",IF(OR(AND(G3&lt;&gt;"",G3&lt;B3),AND(H3&lt;&gt;"",H3&lt;B3),AND(I3&lt;&gt;"",I3&lt;H3),AND(J3&lt;&gt;"",J3&lt;I3)),"Date error","OK")))</f>
        <v>OK</v>
      </c>
    </row>
    <row r="4" customFormat="false" ht="15" hidden="false" customHeight="false" outlineLevel="0" collapsed="false">
      <c r="A4" s="24" t="s">
        <v>82</v>
      </c>
      <c r="B4" s="31" t="n">
        <v>46083</v>
      </c>
      <c r="C4" s="24" t="s">
        <v>22</v>
      </c>
      <c r="D4" s="24" t="s">
        <v>33</v>
      </c>
      <c r="E4" s="24" t="s">
        <v>79</v>
      </c>
      <c r="F4" s="24" t="s">
        <v>40</v>
      </c>
      <c r="G4" s="31" t="n">
        <v>46083</v>
      </c>
      <c r="H4" s="24"/>
      <c r="I4" s="24"/>
      <c r="J4" s="24"/>
      <c r="K4" s="24" t="n">
        <v>5</v>
      </c>
      <c r="L4" s="24" t="str">
        <f aca="false">IF(J4&lt;&gt;"","Enrolled",IF(I4&lt;&gt;"","Admitted",IF(H4&lt;&gt;"","Applied",IF(G4&lt;&gt;"","Contacted","New"))))</f>
        <v>Contacted</v>
      </c>
      <c r="M4" s="32" t="n">
        <f aca="false">IF(G4="","",G4-B4)</f>
        <v>0</v>
      </c>
      <c r="N4" s="24" t="str">
        <f aca="false">IF(COUNTIF($A$2:A4,A4)&gt;1,"Duplicate ID",IF(C4="","Missing source",IF(OR(AND(G4&lt;&gt;"",G4&lt;B4),AND(H4&lt;&gt;"",H4&lt;B4),AND(I4&lt;&gt;"",I4&lt;H4),AND(J4&lt;&gt;"",J4&lt;I4)),"Date error","OK")))</f>
        <v>OK</v>
      </c>
    </row>
    <row r="5" customFormat="false" ht="15" hidden="false" customHeight="false" outlineLevel="0" collapsed="false">
      <c r="A5" s="24" t="s">
        <v>83</v>
      </c>
      <c r="B5" s="31" t="n">
        <v>46083</v>
      </c>
      <c r="C5" s="24" t="s">
        <v>25</v>
      </c>
      <c r="D5" s="24" t="s">
        <v>32</v>
      </c>
      <c r="E5" s="24" t="s">
        <v>84</v>
      </c>
      <c r="F5" s="24" t="s">
        <v>42</v>
      </c>
      <c r="G5" s="31" t="n">
        <v>46085</v>
      </c>
      <c r="H5" s="24"/>
      <c r="I5" s="24"/>
      <c r="J5" s="24"/>
      <c r="K5" s="24" t="n">
        <v>3</v>
      </c>
      <c r="L5" s="24" t="str">
        <f aca="false">IF(J5&lt;&gt;"","Enrolled",IF(I5&lt;&gt;"","Admitted",IF(H5&lt;&gt;"","Applied",IF(G5&lt;&gt;"","Contacted","New"))))</f>
        <v>Contacted</v>
      </c>
      <c r="M5" s="32" t="n">
        <f aca="false">IF(G5="","",G5-B5)</f>
        <v>2</v>
      </c>
      <c r="N5" s="24" t="str">
        <f aca="false">IF(COUNTIF($A$2:A5,A5)&gt;1,"Duplicate ID",IF(C5="","Missing source",IF(OR(AND(G5&lt;&gt;"",G5&lt;B5),AND(H5&lt;&gt;"",H5&lt;B5),AND(I5&lt;&gt;"",I5&lt;H5),AND(J5&lt;&gt;"",J5&lt;I5)),"Date error","OK")))</f>
        <v>OK</v>
      </c>
    </row>
    <row r="6" customFormat="false" ht="15" hidden="false" customHeight="false" outlineLevel="0" collapsed="false">
      <c r="A6" s="24" t="s">
        <v>85</v>
      </c>
      <c r="B6" s="31" t="n">
        <v>46083</v>
      </c>
      <c r="C6" s="24" t="s">
        <v>26</v>
      </c>
      <c r="D6" s="24" t="s">
        <v>33</v>
      </c>
      <c r="E6" s="24" t="s">
        <v>84</v>
      </c>
      <c r="F6" s="24" t="s">
        <v>45</v>
      </c>
      <c r="G6" s="31" t="n">
        <v>46085</v>
      </c>
      <c r="H6" s="24"/>
      <c r="I6" s="24"/>
      <c r="J6" s="24"/>
      <c r="K6" s="24" t="n">
        <v>3</v>
      </c>
      <c r="L6" s="24" t="str">
        <f aca="false">IF(J6&lt;&gt;"","Enrolled",IF(I6&lt;&gt;"","Admitted",IF(H6&lt;&gt;"","Applied",IF(G6&lt;&gt;"","Contacted","New"))))</f>
        <v>Contacted</v>
      </c>
      <c r="M6" s="32" t="n">
        <f aca="false">IF(G6="","",G6-B6)</f>
        <v>2</v>
      </c>
      <c r="N6" s="24" t="str">
        <f aca="false">IF(COUNTIF($A$2:A6,A6)&gt;1,"Duplicate ID",IF(C6="","Missing source",IF(OR(AND(G6&lt;&gt;"",G6&lt;B6),AND(H6&lt;&gt;"",H6&lt;B6),AND(I6&lt;&gt;"",I6&lt;H6),AND(J6&lt;&gt;"",J6&lt;I6)),"Date error","OK")))</f>
        <v>OK</v>
      </c>
    </row>
    <row r="7" customFormat="false" ht="15" hidden="false" customHeight="false" outlineLevel="0" collapsed="false">
      <c r="A7" s="24" t="s">
        <v>86</v>
      </c>
      <c r="B7" s="31" t="n">
        <v>46084</v>
      </c>
      <c r="C7" s="24" t="s">
        <v>27</v>
      </c>
      <c r="D7" s="24" t="s">
        <v>33</v>
      </c>
      <c r="E7" s="24" t="s">
        <v>84</v>
      </c>
      <c r="F7" s="24" t="s">
        <v>40</v>
      </c>
      <c r="G7" s="31" t="n">
        <v>46084</v>
      </c>
      <c r="H7" s="24"/>
      <c r="I7" s="24"/>
      <c r="J7" s="24"/>
      <c r="K7" s="24" t="n">
        <v>4</v>
      </c>
      <c r="L7" s="24" t="str">
        <f aca="false">IF(J7&lt;&gt;"","Enrolled",IF(I7&lt;&gt;"","Admitted",IF(H7&lt;&gt;"","Applied",IF(G7&lt;&gt;"","Contacted","New"))))</f>
        <v>Contacted</v>
      </c>
      <c r="M7" s="32" t="n">
        <f aca="false">IF(G7="","",G7-B7)</f>
        <v>0</v>
      </c>
      <c r="N7" s="24" t="str">
        <f aca="false">IF(COUNTIF($A$2:A7,A7)&gt;1,"Duplicate ID",IF(C7="","Missing source",IF(OR(AND(G7&lt;&gt;"",G7&lt;B7),AND(H7&lt;&gt;"",H7&lt;B7),AND(I7&lt;&gt;"",I7&lt;H7),AND(J7&lt;&gt;"",J7&lt;I7)),"Date error","OK")))</f>
        <v>OK</v>
      </c>
    </row>
    <row r="8" customFormat="false" ht="15" hidden="false" customHeight="false" outlineLevel="0" collapsed="false">
      <c r="A8" s="24" t="s">
        <v>87</v>
      </c>
      <c r="B8" s="31" t="n">
        <v>46084</v>
      </c>
      <c r="C8" s="24" t="s">
        <v>26</v>
      </c>
      <c r="D8" s="24" t="s">
        <v>33</v>
      </c>
      <c r="E8" s="24" t="s">
        <v>79</v>
      </c>
      <c r="F8" s="24" t="s">
        <v>45</v>
      </c>
      <c r="G8" s="24"/>
      <c r="H8" s="24"/>
      <c r="I8" s="24"/>
      <c r="J8" s="24"/>
      <c r="K8" s="24" t="n">
        <v>0</v>
      </c>
      <c r="L8" s="24" t="str">
        <f aca="false">IF(J8&lt;&gt;"","Enrolled",IF(I8&lt;&gt;"","Admitted",IF(H8&lt;&gt;"","Applied",IF(G8&lt;&gt;"","Contacted","New"))))</f>
        <v>New</v>
      </c>
      <c r="M8" s="32" t="str">
        <f aca="false">IF(G8="","",G8-B8)</f>
        <v/>
      </c>
      <c r="N8" s="24" t="str">
        <f aca="false">IF(COUNTIF($A$2:A8,A8)&gt;1,"Duplicate ID",IF(C8="","Missing source",IF(OR(AND(G8&lt;&gt;"",G8&lt;B8),AND(H8&lt;&gt;"",H8&lt;B8),AND(I8&lt;&gt;"",I8&lt;H8),AND(J8&lt;&gt;"",J8&lt;I8)),"Date error","OK")))</f>
        <v>OK</v>
      </c>
    </row>
    <row r="9" customFormat="false" ht="15" hidden="false" customHeight="false" outlineLevel="0" collapsed="false">
      <c r="A9" s="24" t="s">
        <v>88</v>
      </c>
      <c r="B9" s="31" t="n">
        <v>46084</v>
      </c>
      <c r="C9" s="24" t="s">
        <v>23</v>
      </c>
      <c r="D9" s="24" t="s">
        <v>32</v>
      </c>
      <c r="E9" s="24" t="s">
        <v>89</v>
      </c>
      <c r="F9" s="24" t="s">
        <v>42</v>
      </c>
      <c r="G9" s="31" t="n">
        <v>46084</v>
      </c>
      <c r="H9" s="24"/>
      <c r="I9" s="24"/>
      <c r="J9" s="24"/>
      <c r="K9" s="24" t="n">
        <v>3</v>
      </c>
      <c r="L9" s="24" t="str">
        <f aca="false">IF(J9&lt;&gt;"","Enrolled",IF(I9&lt;&gt;"","Admitted",IF(H9&lt;&gt;"","Applied",IF(G9&lt;&gt;"","Contacted","New"))))</f>
        <v>Contacted</v>
      </c>
      <c r="M9" s="32" t="n">
        <f aca="false">IF(G9="","",G9-B9)</f>
        <v>0</v>
      </c>
      <c r="N9" s="24" t="str">
        <f aca="false">IF(COUNTIF($A$2:A9,A9)&gt;1,"Duplicate ID",IF(C9="","Missing source",IF(OR(AND(G9&lt;&gt;"",G9&lt;B9),AND(H9&lt;&gt;"",H9&lt;B9),AND(I9&lt;&gt;"",I9&lt;H9),AND(J9&lt;&gt;"",J9&lt;I9)),"Date error","OK")))</f>
        <v>OK</v>
      </c>
    </row>
    <row r="10" customFormat="false" ht="15" hidden="false" customHeight="false" outlineLevel="0" collapsed="false">
      <c r="A10" s="24" t="s">
        <v>90</v>
      </c>
      <c r="B10" s="31" t="n">
        <v>46084</v>
      </c>
      <c r="C10" s="24" t="s">
        <v>27</v>
      </c>
      <c r="D10" s="24" t="s">
        <v>36</v>
      </c>
      <c r="E10" s="24" t="s">
        <v>89</v>
      </c>
      <c r="F10" s="24" t="s">
        <v>40</v>
      </c>
      <c r="G10" s="31" t="n">
        <v>46084</v>
      </c>
      <c r="H10" s="24"/>
      <c r="I10" s="24"/>
      <c r="J10" s="24"/>
      <c r="K10" s="24" t="n">
        <v>4</v>
      </c>
      <c r="L10" s="24" t="str">
        <f aca="false">IF(J10&lt;&gt;"","Enrolled",IF(I10&lt;&gt;"","Admitted",IF(H10&lt;&gt;"","Applied",IF(G10&lt;&gt;"","Contacted","New"))))</f>
        <v>Contacted</v>
      </c>
      <c r="M10" s="32" t="n">
        <f aca="false">IF(G10="","",G10-B10)</f>
        <v>0</v>
      </c>
      <c r="N10" s="24" t="str">
        <f aca="false">IF(COUNTIF($A$2:A10,A10)&gt;1,"Duplicate ID",IF(C10="","Missing source",IF(OR(AND(G10&lt;&gt;"",G10&lt;B10),AND(H10&lt;&gt;"",H10&lt;B10),AND(I10&lt;&gt;"",I10&lt;H10),AND(J10&lt;&gt;"",J10&lt;I10)),"Date error","OK")))</f>
        <v>OK</v>
      </c>
    </row>
    <row r="11" customFormat="false" ht="15" hidden="false" customHeight="false" outlineLevel="0" collapsed="false">
      <c r="A11" s="24" t="s">
        <v>91</v>
      </c>
      <c r="B11" s="31" t="n">
        <v>46084</v>
      </c>
      <c r="C11" s="24" t="s">
        <v>23</v>
      </c>
      <c r="D11" s="24" t="s">
        <v>33</v>
      </c>
      <c r="E11" s="24" t="s">
        <v>89</v>
      </c>
      <c r="F11" s="24" t="s">
        <v>41</v>
      </c>
      <c r="G11" s="31" t="n">
        <v>46084</v>
      </c>
      <c r="H11" s="24"/>
      <c r="I11" s="24"/>
      <c r="J11" s="24"/>
      <c r="K11" s="24" t="n">
        <v>5</v>
      </c>
      <c r="L11" s="24" t="str">
        <f aca="false">IF(J11&lt;&gt;"","Enrolled",IF(I11&lt;&gt;"","Admitted",IF(H11&lt;&gt;"","Applied",IF(G11&lt;&gt;"","Contacted","New"))))</f>
        <v>Contacted</v>
      </c>
      <c r="M11" s="32" t="n">
        <f aca="false">IF(G11="","",G11-B11)</f>
        <v>0</v>
      </c>
      <c r="N11" s="24" t="str">
        <f aca="false">IF(COUNTIF($A$2:A11,A11)&gt;1,"Duplicate ID",IF(C11="","Missing source",IF(OR(AND(G11&lt;&gt;"",G11&lt;B11),AND(H11&lt;&gt;"",H11&lt;B11),AND(I11&lt;&gt;"",I11&lt;H11),AND(J11&lt;&gt;"",J11&lt;I11)),"Date error","OK")))</f>
        <v>OK</v>
      </c>
    </row>
    <row r="12" customFormat="false" ht="15" hidden="false" customHeight="false" outlineLevel="0" collapsed="false">
      <c r="A12" s="24" t="s">
        <v>92</v>
      </c>
      <c r="B12" s="31" t="n">
        <v>46085</v>
      </c>
      <c r="C12" s="24" t="s">
        <v>21</v>
      </c>
      <c r="D12" s="24" t="s">
        <v>36</v>
      </c>
      <c r="E12" s="24" t="s">
        <v>79</v>
      </c>
      <c r="F12" s="24" t="s">
        <v>42</v>
      </c>
      <c r="G12" s="31" t="n">
        <v>46085</v>
      </c>
      <c r="H12" s="24"/>
      <c r="I12" s="24"/>
      <c r="J12" s="24"/>
      <c r="K12" s="24" t="n">
        <v>7</v>
      </c>
      <c r="L12" s="24" t="str">
        <f aca="false">IF(J12&lt;&gt;"","Enrolled",IF(I12&lt;&gt;"","Admitted",IF(H12&lt;&gt;"","Applied",IF(G12&lt;&gt;"","Contacted","New"))))</f>
        <v>Contacted</v>
      </c>
      <c r="M12" s="32" t="n">
        <f aca="false">IF(G12="","",G12-B12)</f>
        <v>0</v>
      </c>
      <c r="N12" s="24" t="str">
        <f aca="false">IF(COUNTIF($A$2:A12,A12)&gt;1,"Duplicate ID",IF(C12="","Missing source",IF(OR(AND(G12&lt;&gt;"",G12&lt;B12),AND(H12&lt;&gt;"",H12&lt;B12),AND(I12&lt;&gt;"",I12&lt;H12),AND(J12&lt;&gt;"",J12&lt;I12)),"Date error","OK")))</f>
        <v>OK</v>
      </c>
    </row>
    <row r="13" customFormat="false" ht="15" hidden="false" customHeight="false" outlineLevel="0" collapsed="false">
      <c r="A13" s="24" t="s">
        <v>93</v>
      </c>
      <c r="B13" s="31" t="n">
        <v>46085</v>
      </c>
      <c r="C13" s="24" t="s">
        <v>22</v>
      </c>
      <c r="D13" s="24" t="s">
        <v>32</v>
      </c>
      <c r="E13" s="24" t="s">
        <v>94</v>
      </c>
      <c r="F13" s="24" t="s">
        <v>44</v>
      </c>
      <c r="G13" s="31" t="n">
        <v>46099</v>
      </c>
      <c r="H13" s="24"/>
      <c r="I13" s="24"/>
      <c r="J13" s="24"/>
      <c r="K13" s="24" t="n">
        <v>5</v>
      </c>
      <c r="L13" s="24" t="str">
        <f aca="false">IF(J13&lt;&gt;"","Enrolled",IF(I13&lt;&gt;"","Admitted",IF(H13&lt;&gt;"","Applied",IF(G13&lt;&gt;"","Contacted","New"))))</f>
        <v>Contacted</v>
      </c>
      <c r="M13" s="32" t="n">
        <f aca="false">IF(G13="","",G13-B13)</f>
        <v>14</v>
      </c>
      <c r="N13" s="24" t="str">
        <f aca="false">IF(COUNTIF($A$2:A13,A13)&gt;1,"Duplicate ID",IF(C13="","Missing source",IF(OR(AND(G13&lt;&gt;"",G13&lt;B13),AND(H13&lt;&gt;"",H13&lt;B13),AND(I13&lt;&gt;"",I13&lt;H13),AND(J13&lt;&gt;"",J13&lt;I13)),"Date error","OK")))</f>
        <v>OK</v>
      </c>
    </row>
    <row r="14" customFormat="false" ht="15" hidden="false" customHeight="false" outlineLevel="0" collapsed="false">
      <c r="A14" s="24" t="s">
        <v>95</v>
      </c>
      <c r="B14" s="31" t="n">
        <v>46086</v>
      </c>
      <c r="C14" s="24" t="s">
        <v>25</v>
      </c>
      <c r="D14" s="24" t="s">
        <v>36</v>
      </c>
      <c r="E14" s="24" t="s">
        <v>79</v>
      </c>
      <c r="F14" s="24" t="s">
        <v>44</v>
      </c>
      <c r="G14" s="24"/>
      <c r="H14" s="24"/>
      <c r="I14" s="24"/>
      <c r="J14" s="24"/>
      <c r="K14" s="24" t="n">
        <v>0</v>
      </c>
      <c r="L14" s="24" t="str">
        <f aca="false">IF(J14&lt;&gt;"","Enrolled",IF(I14&lt;&gt;"","Admitted",IF(H14&lt;&gt;"","Applied",IF(G14&lt;&gt;"","Contacted","New"))))</f>
        <v>New</v>
      </c>
      <c r="M14" s="32" t="str">
        <f aca="false">IF(G14="","",G14-B14)</f>
        <v/>
      </c>
      <c r="N14" s="24" t="str">
        <f aca="false">IF(COUNTIF($A$2:A14,A14)&gt;1,"Duplicate ID",IF(C14="","Missing source",IF(OR(AND(G14&lt;&gt;"",G14&lt;B14),AND(H14&lt;&gt;"",H14&lt;B14),AND(I14&lt;&gt;"",I14&lt;H14),AND(J14&lt;&gt;"",J14&lt;I14)),"Date error","OK")))</f>
        <v>OK</v>
      </c>
    </row>
    <row r="15" customFormat="false" ht="15" hidden="false" customHeight="false" outlineLevel="0" collapsed="false">
      <c r="A15" s="24" t="s">
        <v>96</v>
      </c>
      <c r="B15" s="31" t="n">
        <v>46086</v>
      </c>
      <c r="C15" s="24" t="s">
        <v>25</v>
      </c>
      <c r="D15" s="24" t="s">
        <v>36</v>
      </c>
      <c r="E15" s="24" t="s">
        <v>89</v>
      </c>
      <c r="F15" s="24" t="s">
        <v>40</v>
      </c>
      <c r="G15" s="31" t="n">
        <v>46087</v>
      </c>
      <c r="H15" s="24"/>
      <c r="I15" s="24"/>
      <c r="J15" s="24"/>
      <c r="K15" s="24" t="n">
        <v>2</v>
      </c>
      <c r="L15" s="24" t="str">
        <f aca="false">IF(J15&lt;&gt;"","Enrolled",IF(I15&lt;&gt;"","Admitted",IF(H15&lt;&gt;"","Applied",IF(G15&lt;&gt;"","Contacted","New"))))</f>
        <v>Contacted</v>
      </c>
      <c r="M15" s="32" t="n">
        <f aca="false">IF(G15="","",G15-B15)</f>
        <v>1</v>
      </c>
      <c r="N15" s="24" t="str">
        <f aca="false">IF(COUNTIF($A$2:A15,A15)&gt;1,"Duplicate ID",IF(C15="","Missing source",IF(OR(AND(G15&lt;&gt;"",G15&lt;B15),AND(H15&lt;&gt;"",H15&lt;B15),AND(I15&lt;&gt;"",I15&lt;H15),AND(J15&lt;&gt;"",J15&lt;I15)),"Date error","OK")))</f>
        <v>OK</v>
      </c>
    </row>
    <row r="16" customFormat="false" ht="15" hidden="false" customHeight="false" outlineLevel="0" collapsed="false">
      <c r="A16" s="24" t="s">
        <v>97</v>
      </c>
      <c r="B16" s="31" t="n">
        <v>46086</v>
      </c>
      <c r="C16" s="24" t="s">
        <v>26</v>
      </c>
      <c r="D16" s="24" t="s">
        <v>34</v>
      </c>
      <c r="E16" s="24" t="s">
        <v>79</v>
      </c>
      <c r="F16" s="24" t="s">
        <v>43</v>
      </c>
      <c r="G16" s="31" t="n">
        <v>46089</v>
      </c>
      <c r="H16" s="24"/>
      <c r="I16" s="24"/>
      <c r="J16" s="24"/>
      <c r="K16" s="24" t="n">
        <v>3</v>
      </c>
      <c r="L16" s="24" t="str">
        <f aca="false">IF(J16&lt;&gt;"","Enrolled",IF(I16&lt;&gt;"","Admitted",IF(H16&lt;&gt;"","Applied",IF(G16&lt;&gt;"","Contacted","New"))))</f>
        <v>Contacted</v>
      </c>
      <c r="M16" s="32" t="n">
        <f aca="false">IF(G16="","",G16-B16)</f>
        <v>3</v>
      </c>
      <c r="N16" s="24" t="str">
        <f aca="false">IF(COUNTIF($A$2:A16,A16)&gt;1,"Duplicate ID",IF(C16="","Missing source",IF(OR(AND(G16&lt;&gt;"",G16&lt;B16),AND(H16&lt;&gt;"",H16&lt;B16),AND(I16&lt;&gt;"",I16&lt;H16),AND(J16&lt;&gt;"",J16&lt;I16)),"Date error","OK")))</f>
        <v>OK</v>
      </c>
    </row>
    <row r="17" customFormat="false" ht="15" hidden="false" customHeight="false" outlineLevel="0" collapsed="false">
      <c r="A17" s="24" t="s">
        <v>98</v>
      </c>
      <c r="B17" s="31" t="n">
        <v>46086</v>
      </c>
      <c r="C17" s="24" t="s">
        <v>23</v>
      </c>
      <c r="D17" s="24" t="s">
        <v>36</v>
      </c>
      <c r="E17" s="24" t="s">
        <v>89</v>
      </c>
      <c r="F17" s="24" t="s">
        <v>42</v>
      </c>
      <c r="G17" s="31" t="n">
        <v>46087</v>
      </c>
      <c r="H17" s="24"/>
      <c r="I17" s="24"/>
      <c r="J17" s="24"/>
      <c r="K17" s="24" t="n">
        <v>1</v>
      </c>
      <c r="L17" s="24" t="str">
        <f aca="false">IF(J17&lt;&gt;"","Enrolled",IF(I17&lt;&gt;"","Admitted",IF(H17&lt;&gt;"","Applied",IF(G17&lt;&gt;"","Contacted","New"))))</f>
        <v>Contacted</v>
      </c>
      <c r="M17" s="32" t="n">
        <f aca="false">IF(G17="","",G17-B17)</f>
        <v>1</v>
      </c>
      <c r="N17" s="24" t="str">
        <f aca="false">IF(COUNTIF($A$2:A17,A17)&gt;1,"Duplicate ID",IF(C17="","Missing source",IF(OR(AND(G17&lt;&gt;"",G17&lt;B17),AND(H17&lt;&gt;"",H17&lt;B17),AND(I17&lt;&gt;"",I17&lt;H17),AND(J17&lt;&gt;"",J17&lt;I17)),"Date error","OK")))</f>
        <v>OK</v>
      </c>
    </row>
    <row r="18" customFormat="false" ht="15" hidden="false" customHeight="false" outlineLevel="0" collapsed="false">
      <c r="A18" s="24" t="s">
        <v>99</v>
      </c>
      <c r="B18" s="31" t="n">
        <v>46086</v>
      </c>
      <c r="C18" s="24" t="s">
        <v>27</v>
      </c>
      <c r="D18" s="24" t="s">
        <v>35</v>
      </c>
      <c r="E18" s="24" t="s">
        <v>89</v>
      </c>
      <c r="F18" s="24" t="s">
        <v>42</v>
      </c>
      <c r="G18" s="31" t="n">
        <v>46087</v>
      </c>
      <c r="H18" s="24"/>
      <c r="I18" s="24"/>
      <c r="J18" s="24"/>
      <c r="K18" s="24" t="n">
        <v>6</v>
      </c>
      <c r="L18" s="24" t="str">
        <f aca="false">IF(J18&lt;&gt;"","Enrolled",IF(I18&lt;&gt;"","Admitted",IF(H18&lt;&gt;"","Applied",IF(G18&lt;&gt;"","Contacted","New"))))</f>
        <v>Contacted</v>
      </c>
      <c r="M18" s="32" t="n">
        <f aca="false">IF(G18="","",G18-B18)</f>
        <v>1</v>
      </c>
      <c r="N18" s="24" t="str">
        <f aca="false">IF(COUNTIF($A$2:A18,A18)&gt;1,"Duplicate ID",IF(C18="","Missing source",IF(OR(AND(G18&lt;&gt;"",G18&lt;B18),AND(H18&lt;&gt;"",H18&lt;B18),AND(I18&lt;&gt;"",I18&lt;H18),AND(J18&lt;&gt;"",J18&lt;I18)),"Date error","OK")))</f>
        <v>OK</v>
      </c>
    </row>
    <row r="19" customFormat="false" ht="15" hidden="false" customHeight="false" outlineLevel="0" collapsed="false">
      <c r="A19" s="24" t="s">
        <v>100</v>
      </c>
      <c r="B19" s="31" t="n">
        <v>46087</v>
      </c>
      <c r="C19" s="24" t="s">
        <v>22</v>
      </c>
      <c r="D19" s="24" t="s">
        <v>34</v>
      </c>
      <c r="E19" s="24" t="s">
        <v>84</v>
      </c>
      <c r="F19" s="24" t="s">
        <v>44</v>
      </c>
      <c r="G19" s="31" t="n">
        <v>46095</v>
      </c>
      <c r="H19" s="24"/>
      <c r="I19" s="24"/>
      <c r="J19" s="24"/>
      <c r="K19" s="24" t="n">
        <v>4</v>
      </c>
      <c r="L19" s="24" t="str">
        <f aca="false">IF(J19&lt;&gt;"","Enrolled",IF(I19&lt;&gt;"","Admitted",IF(H19&lt;&gt;"","Applied",IF(G19&lt;&gt;"","Contacted","New"))))</f>
        <v>Contacted</v>
      </c>
      <c r="M19" s="32" t="n">
        <f aca="false">IF(G19="","",G19-B19)</f>
        <v>8</v>
      </c>
      <c r="N19" s="24" t="str">
        <f aca="false">IF(COUNTIF($A$2:A19,A19)&gt;1,"Duplicate ID",IF(C19="","Missing source",IF(OR(AND(G19&lt;&gt;"",G19&lt;B19),AND(H19&lt;&gt;"",H19&lt;B19),AND(I19&lt;&gt;"",I19&lt;H19),AND(J19&lt;&gt;"",J19&lt;I19)),"Date error","OK")))</f>
        <v>OK</v>
      </c>
    </row>
    <row r="20" customFormat="false" ht="15" hidden="false" customHeight="false" outlineLevel="0" collapsed="false">
      <c r="A20" s="24" t="s">
        <v>101</v>
      </c>
      <c r="B20" s="31" t="n">
        <v>46087</v>
      </c>
      <c r="C20" s="24" t="s">
        <v>26</v>
      </c>
      <c r="D20" s="24" t="s">
        <v>36</v>
      </c>
      <c r="E20" s="24" t="s">
        <v>94</v>
      </c>
      <c r="F20" s="24" t="s">
        <v>41</v>
      </c>
      <c r="G20" s="31" t="n">
        <v>46090</v>
      </c>
      <c r="H20" s="24"/>
      <c r="I20" s="24"/>
      <c r="J20" s="24"/>
      <c r="K20" s="24" t="n">
        <v>1</v>
      </c>
      <c r="L20" s="24" t="str">
        <f aca="false">IF(J20&lt;&gt;"","Enrolled",IF(I20&lt;&gt;"","Admitted",IF(H20&lt;&gt;"","Applied",IF(G20&lt;&gt;"","Contacted","New"))))</f>
        <v>Contacted</v>
      </c>
      <c r="M20" s="32" t="n">
        <f aca="false">IF(G20="","",G20-B20)</f>
        <v>3</v>
      </c>
      <c r="N20" s="24" t="str">
        <f aca="false">IF(COUNTIF($A$2:A20,A20)&gt;1,"Duplicate ID",IF(C20="","Missing source",IF(OR(AND(G20&lt;&gt;"",G20&lt;B20),AND(H20&lt;&gt;"",H20&lt;B20),AND(I20&lt;&gt;"",I20&lt;H20),AND(J20&lt;&gt;"",J20&lt;I20)),"Date error","OK")))</f>
        <v>OK</v>
      </c>
    </row>
    <row r="21" customFormat="false" ht="15" hidden="false" customHeight="false" outlineLevel="0" collapsed="false">
      <c r="A21" s="24" t="s">
        <v>102</v>
      </c>
      <c r="B21" s="31" t="n">
        <v>46087</v>
      </c>
      <c r="C21" s="24" t="s">
        <v>26</v>
      </c>
      <c r="D21" s="24" t="s">
        <v>32</v>
      </c>
      <c r="E21" s="24" t="s">
        <v>89</v>
      </c>
      <c r="F21" s="24" t="s">
        <v>41</v>
      </c>
      <c r="G21" s="31" t="n">
        <v>46088</v>
      </c>
      <c r="H21" s="24"/>
      <c r="I21" s="24"/>
      <c r="J21" s="24"/>
      <c r="K21" s="24" t="n">
        <v>4</v>
      </c>
      <c r="L21" s="24" t="str">
        <f aca="false">IF(J21&lt;&gt;"","Enrolled",IF(I21&lt;&gt;"","Admitted",IF(H21&lt;&gt;"","Applied",IF(G21&lt;&gt;"","Contacted","New"))))</f>
        <v>Contacted</v>
      </c>
      <c r="M21" s="32" t="n">
        <f aca="false">IF(G21="","",G21-B21)</f>
        <v>1</v>
      </c>
      <c r="N21" s="24" t="str">
        <f aca="false">IF(COUNTIF($A$2:A21,A21)&gt;1,"Duplicate ID",IF(C21="","Missing source",IF(OR(AND(G21&lt;&gt;"",G21&lt;B21),AND(H21&lt;&gt;"",H21&lt;B21),AND(I21&lt;&gt;"",I21&lt;H21),AND(J21&lt;&gt;"",J21&lt;I21)),"Date error","OK")))</f>
        <v>OK</v>
      </c>
    </row>
    <row r="22" customFormat="false" ht="15" hidden="false" customHeight="false" outlineLevel="0" collapsed="false">
      <c r="A22" s="24" t="s">
        <v>103</v>
      </c>
      <c r="B22" s="31" t="n">
        <v>46088</v>
      </c>
      <c r="C22" s="24" t="s">
        <v>23</v>
      </c>
      <c r="D22" s="24" t="s">
        <v>32</v>
      </c>
      <c r="E22" s="24" t="s">
        <v>79</v>
      </c>
      <c r="F22" s="24" t="s">
        <v>45</v>
      </c>
      <c r="G22" s="31" t="n">
        <v>46089</v>
      </c>
      <c r="H22" s="31" t="n">
        <v>46109</v>
      </c>
      <c r="I22" s="31" t="n">
        <v>46122</v>
      </c>
      <c r="J22" s="24"/>
      <c r="K22" s="24" t="n">
        <v>1</v>
      </c>
      <c r="L22" s="24" t="str">
        <f aca="false">IF(J22&lt;&gt;"","Enrolled",IF(I22&lt;&gt;"","Admitted",IF(H22&lt;&gt;"","Applied",IF(G22&lt;&gt;"","Contacted","New"))))</f>
        <v>Admitted</v>
      </c>
      <c r="M22" s="32" t="n">
        <f aca="false">IF(G22="","",G22-B22)</f>
        <v>1</v>
      </c>
      <c r="N22" s="24" t="str">
        <f aca="false">IF(COUNTIF($A$2:A22,A22)&gt;1,"Duplicate ID",IF(C22="","Missing source",IF(OR(AND(G22&lt;&gt;"",G22&lt;B22),AND(H22&lt;&gt;"",H22&lt;B22),AND(I22&lt;&gt;"",I22&lt;H22),AND(J22&lt;&gt;"",J22&lt;I22)),"Date error","OK")))</f>
        <v>OK</v>
      </c>
    </row>
    <row r="23" customFormat="false" ht="15" hidden="false" customHeight="false" outlineLevel="0" collapsed="false">
      <c r="A23" s="24" t="s">
        <v>104</v>
      </c>
      <c r="B23" s="31" t="n">
        <v>46088</v>
      </c>
      <c r="C23" s="24" t="s">
        <v>21</v>
      </c>
      <c r="D23" s="24" t="s">
        <v>35</v>
      </c>
      <c r="E23" s="24" t="s">
        <v>79</v>
      </c>
      <c r="F23" s="24" t="s">
        <v>44</v>
      </c>
      <c r="G23" s="31" t="n">
        <v>46097</v>
      </c>
      <c r="H23" s="31" t="n">
        <v>46121</v>
      </c>
      <c r="I23" s="24"/>
      <c r="J23" s="24"/>
      <c r="K23" s="24" t="n">
        <v>3</v>
      </c>
      <c r="L23" s="24" t="str">
        <f aca="false">IF(J23&lt;&gt;"","Enrolled",IF(I23&lt;&gt;"","Admitted",IF(H23&lt;&gt;"","Applied",IF(G23&lt;&gt;"","Contacted","New"))))</f>
        <v>Applied</v>
      </c>
      <c r="M23" s="32" t="n">
        <f aca="false">IF(G23="","",G23-B23)</f>
        <v>9</v>
      </c>
      <c r="N23" s="24" t="str">
        <f aca="false">IF(COUNTIF($A$2:A23,A23)&gt;1,"Duplicate ID",IF(C23="","Missing source",IF(OR(AND(G23&lt;&gt;"",G23&lt;B23),AND(H23&lt;&gt;"",H23&lt;B23),AND(I23&lt;&gt;"",I23&lt;H23),AND(J23&lt;&gt;"",J23&lt;I23)),"Date error","OK")))</f>
        <v>OK</v>
      </c>
    </row>
    <row r="24" customFormat="false" ht="15" hidden="false" customHeight="false" outlineLevel="0" collapsed="false">
      <c r="A24" s="24" t="s">
        <v>105</v>
      </c>
      <c r="B24" s="31" t="n">
        <v>46089</v>
      </c>
      <c r="C24" s="24" t="s">
        <v>26</v>
      </c>
      <c r="D24" s="24" t="s">
        <v>36</v>
      </c>
      <c r="E24" s="24" t="s">
        <v>81</v>
      </c>
      <c r="F24" s="24" t="s">
        <v>40</v>
      </c>
      <c r="G24" s="31" t="n">
        <v>46089</v>
      </c>
      <c r="H24" s="24"/>
      <c r="I24" s="24"/>
      <c r="J24" s="24"/>
      <c r="K24" s="24" t="n">
        <v>2</v>
      </c>
      <c r="L24" s="24" t="str">
        <f aca="false">IF(J24&lt;&gt;"","Enrolled",IF(I24&lt;&gt;"","Admitted",IF(H24&lt;&gt;"","Applied",IF(G24&lt;&gt;"","Contacted","New"))))</f>
        <v>Contacted</v>
      </c>
      <c r="M24" s="32" t="n">
        <f aca="false">IF(G24="","",G24-B24)</f>
        <v>0</v>
      </c>
      <c r="N24" s="24" t="str">
        <f aca="false">IF(COUNTIF($A$2:A24,A24)&gt;1,"Duplicate ID",IF(C24="","Missing source",IF(OR(AND(G24&lt;&gt;"",G24&lt;B24),AND(H24&lt;&gt;"",H24&lt;B24),AND(I24&lt;&gt;"",I24&lt;H24),AND(J24&lt;&gt;"",J24&lt;I24)),"Date error","OK")))</f>
        <v>OK</v>
      </c>
    </row>
    <row r="25" customFormat="false" ht="15" hidden="false" customHeight="false" outlineLevel="0" collapsed="false">
      <c r="A25" s="24" t="s">
        <v>106</v>
      </c>
      <c r="B25" s="31" t="n">
        <v>46089</v>
      </c>
      <c r="C25" s="24" t="s">
        <v>21</v>
      </c>
      <c r="D25" s="24" t="s">
        <v>33</v>
      </c>
      <c r="E25" s="24" t="s">
        <v>89</v>
      </c>
      <c r="F25" s="24" t="s">
        <v>43</v>
      </c>
      <c r="G25" s="31" t="n">
        <v>46089</v>
      </c>
      <c r="H25" s="31" t="n">
        <v>46107</v>
      </c>
      <c r="I25" s="24"/>
      <c r="J25" s="24"/>
      <c r="K25" s="24" t="n">
        <v>3</v>
      </c>
      <c r="L25" s="24" t="str">
        <f aca="false">IF(J25&lt;&gt;"","Enrolled",IF(I25&lt;&gt;"","Admitted",IF(H25&lt;&gt;"","Applied",IF(G25&lt;&gt;"","Contacted","New"))))</f>
        <v>Applied</v>
      </c>
      <c r="M25" s="32" t="n">
        <f aca="false">IF(G25="","",G25-B25)</f>
        <v>0</v>
      </c>
      <c r="N25" s="24" t="str">
        <f aca="false">IF(COUNTIF($A$2:A25,A25)&gt;1,"Duplicate ID",IF(C25="","Missing source",IF(OR(AND(G25&lt;&gt;"",G25&lt;B25),AND(H25&lt;&gt;"",H25&lt;B25),AND(I25&lt;&gt;"",I25&lt;H25),AND(J25&lt;&gt;"",J25&lt;I25)),"Date error","OK")))</f>
        <v>OK</v>
      </c>
    </row>
    <row r="26" customFormat="false" ht="15" hidden="false" customHeight="false" outlineLevel="0" collapsed="false">
      <c r="A26" s="24" t="s">
        <v>107</v>
      </c>
      <c r="B26" s="31" t="n">
        <v>46089</v>
      </c>
      <c r="C26" s="24" t="s">
        <v>26</v>
      </c>
      <c r="D26" s="24" t="s">
        <v>33</v>
      </c>
      <c r="E26" s="24" t="s">
        <v>89</v>
      </c>
      <c r="F26" s="24" t="s">
        <v>42</v>
      </c>
      <c r="G26" s="31" t="n">
        <v>46090</v>
      </c>
      <c r="H26" s="24"/>
      <c r="I26" s="24"/>
      <c r="J26" s="24"/>
      <c r="K26" s="24" t="n">
        <v>5</v>
      </c>
      <c r="L26" s="24" t="str">
        <f aca="false">IF(J26&lt;&gt;"","Enrolled",IF(I26&lt;&gt;"","Admitted",IF(H26&lt;&gt;"","Applied",IF(G26&lt;&gt;"","Contacted","New"))))</f>
        <v>Contacted</v>
      </c>
      <c r="M26" s="32" t="n">
        <f aca="false">IF(G26="","",G26-B26)</f>
        <v>1</v>
      </c>
      <c r="N26" s="24" t="str">
        <f aca="false">IF(COUNTIF($A$2:A26,A26)&gt;1,"Duplicate ID",IF(C26="","Missing source",IF(OR(AND(G26&lt;&gt;"",G26&lt;B26),AND(H26&lt;&gt;"",H26&lt;B26),AND(I26&lt;&gt;"",I26&lt;H26),AND(J26&lt;&gt;"",J26&lt;I26)),"Date error","OK")))</f>
        <v>OK</v>
      </c>
    </row>
    <row r="27" customFormat="false" ht="15" hidden="false" customHeight="false" outlineLevel="0" collapsed="false">
      <c r="A27" s="24" t="s">
        <v>108</v>
      </c>
      <c r="B27" s="31" t="n">
        <v>46089</v>
      </c>
      <c r="C27" s="24" t="s">
        <v>25</v>
      </c>
      <c r="D27" s="24" t="s">
        <v>36</v>
      </c>
      <c r="E27" s="24" t="s">
        <v>81</v>
      </c>
      <c r="F27" s="24" t="s">
        <v>42</v>
      </c>
      <c r="G27" s="31" t="n">
        <v>46091</v>
      </c>
      <c r="H27" s="24"/>
      <c r="I27" s="24"/>
      <c r="J27" s="24"/>
      <c r="K27" s="24" t="n">
        <v>3</v>
      </c>
      <c r="L27" s="24" t="str">
        <f aca="false">IF(J27&lt;&gt;"","Enrolled",IF(I27&lt;&gt;"","Admitted",IF(H27&lt;&gt;"","Applied",IF(G27&lt;&gt;"","Contacted","New"))))</f>
        <v>Contacted</v>
      </c>
      <c r="M27" s="32" t="n">
        <f aca="false">IF(G27="","",G27-B27)</f>
        <v>2</v>
      </c>
      <c r="N27" s="24" t="str">
        <f aca="false">IF(COUNTIF($A$2:A27,A27)&gt;1,"Duplicate ID",IF(C27="","Missing source",IF(OR(AND(G27&lt;&gt;"",G27&lt;B27),AND(H27&lt;&gt;"",H27&lt;B27),AND(I27&lt;&gt;"",I27&lt;H27),AND(J27&lt;&gt;"",J27&lt;I27)),"Date error","OK")))</f>
        <v>OK</v>
      </c>
    </row>
    <row r="28" customFormat="false" ht="15" hidden="false" customHeight="false" outlineLevel="0" collapsed="false">
      <c r="A28" s="24" t="s">
        <v>109</v>
      </c>
      <c r="B28" s="31" t="n">
        <v>46090</v>
      </c>
      <c r="C28" s="24" t="s">
        <v>24</v>
      </c>
      <c r="D28" s="24" t="s">
        <v>35</v>
      </c>
      <c r="E28" s="24" t="s">
        <v>79</v>
      </c>
      <c r="F28" s="24" t="s">
        <v>41</v>
      </c>
      <c r="G28" s="31" t="n">
        <v>46090</v>
      </c>
      <c r="H28" s="24"/>
      <c r="I28" s="24"/>
      <c r="J28" s="24"/>
      <c r="K28" s="24" t="n">
        <v>1</v>
      </c>
      <c r="L28" s="24" t="str">
        <f aca="false">IF(J28&lt;&gt;"","Enrolled",IF(I28&lt;&gt;"","Admitted",IF(H28&lt;&gt;"","Applied",IF(G28&lt;&gt;"","Contacted","New"))))</f>
        <v>Contacted</v>
      </c>
      <c r="M28" s="32" t="n">
        <f aca="false">IF(G28="","",G28-B28)</f>
        <v>0</v>
      </c>
      <c r="N28" s="24" t="str">
        <f aca="false">IF(COUNTIF($A$2:A28,A28)&gt;1,"Duplicate ID",IF(C28="","Missing source",IF(OR(AND(G28&lt;&gt;"",G28&lt;B28),AND(H28&lt;&gt;"",H28&lt;B28),AND(I28&lt;&gt;"",I28&lt;H28),AND(J28&lt;&gt;"",J28&lt;I28)),"Date error","OK")))</f>
        <v>OK</v>
      </c>
    </row>
    <row r="29" customFormat="false" ht="15" hidden="false" customHeight="false" outlineLevel="0" collapsed="false">
      <c r="A29" s="24" t="s">
        <v>110</v>
      </c>
      <c r="B29" s="31" t="n">
        <v>46090</v>
      </c>
      <c r="C29" s="24" t="s">
        <v>23</v>
      </c>
      <c r="D29" s="24" t="s">
        <v>34</v>
      </c>
      <c r="E29" s="24" t="s">
        <v>84</v>
      </c>
      <c r="F29" s="24" t="s">
        <v>45</v>
      </c>
      <c r="G29" s="31" t="n">
        <v>46091</v>
      </c>
      <c r="H29" s="24"/>
      <c r="I29" s="24"/>
      <c r="J29" s="24"/>
      <c r="K29" s="24" t="n">
        <v>2</v>
      </c>
      <c r="L29" s="24" t="str">
        <f aca="false">IF(J29&lt;&gt;"","Enrolled",IF(I29&lt;&gt;"","Admitted",IF(H29&lt;&gt;"","Applied",IF(G29&lt;&gt;"","Contacted","New"))))</f>
        <v>Contacted</v>
      </c>
      <c r="M29" s="32" t="n">
        <f aca="false">IF(G29="","",G29-B29)</f>
        <v>1</v>
      </c>
      <c r="N29" s="24" t="str">
        <f aca="false">IF(COUNTIF($A$2:A29,A29)&gt;1,"Duplicate ID",IF(C29="","Missing source",IF(OR(AND(G29&lt;&gt;"",G29&lt;B29),AND(H29&lt;&gt;"",H29&lt;B29),AND(I29&lt;&gt;"",I29&lt;H29),AND(J29&lt;&gt;"",J29&lt;I29)),"Date error","OK")))</f>
        <v>OK</v>
      </c>
    </row>
    <row r="30" customFormat="false" ht="15" hidden="false" customHeight="false" outlineLevel="0" collapsed="false">
      <c r="A30" s="24" t="s">
        <v>111</v>
      </c>
      <c r="B30" s="31" t="n">
        <v>46090</v>
      </c>
      <c r="C30" s="24" t="s">
        <v>26</v>
      </c>
      <c r="D30" s="24" t="s">
        <v>33</v>
      </c>
      <c r="E30" s="24" t="s">
        <v>94</v>
      </c>
      <c r="F30" s="24" t="s">
        <v>40</v>
      </c>
      <c r="G30" s="31" t="n">
        <v>46091</v>
      </c>
      <c r="H30" s="24"/>
      <c r="I30" s="24"/>
      <c r="J30" s="24"/>
      <c r="K30" s="24" t="n">
        <v>2</v>
      </c>
      <c r="L30" s="24" t="str">
        <f aca="false">IF(J30&lt;&gt;"","Enrolled",IF(I30&lt;&gt;"","Admitted",IF(H30&lt;&gt;"","Applied",IF(G30&lt;&gt;"","Contacted","New"))))</f>
        <v>Contacted</v>
      </c>
      <c r="M30" s="32" t="n">
        <f aca="false">IF(G30="","",G30-B30)</f>
        <v>1</v>
      </c>
      <c r="N30" s="24" t="str">
        <f aca="false">IF(COUNTIF($A$2:A30,A30)&gt;1,"Duplicate ID",IF(C30="","Missing source",IF(OR(AND(G30&lt;&gt;"",G30&lt;B30),AND(H30&lt;&gt;"",H30&lt;B30),AND(I30&lt;&gt;"",I30&lt;H30),AND(J30&lt;&gt;"",J30&lt;I30)),"Date error","OK")))</f>
        <v>OK</v>
      </c>
    </row>
    <row r="31" customFormat="false" ht="15" hidden="false" customHeight="false" outlineLevel="0" collapsed="false">
      <c r="A31" s="24" t="s">
        <v>112</v>
      </c>
      <c r="B31" s="31" t="n">
        <v>46091</v>
      </c>
      <c r="C31" s="24" t="s">
        <v>26</v>
      </c>
      <c r="D31" s="24" t="s">
        <v>36</v>
      </c>
      <c r="E31" s="24" t="s">
        <v>81</v>
      </c>
      <c r="F31" s="24" t="s">
        <v>41</v>
      </c>
      <c r="G31" s="31" t="n">
        <v>46092</v>
      </c>
      <c r="H31" s="24"/>
      <c r="I31" s="24"/>
      <c r="J31" s="24"/>
      <c r="K31" s="24" t="n">
        <v>2</v>
      </c>
      <c r="L31" s="24" t="str">
        <f aca="false">IF(J31&lt;&gt;"","Enrolled",IF(I31&lt;&gt;"","Admitted",IF(H31&lt;&gt;"","Applied",IF(G31&lt;&gt;"","Contacted","New"))))</f>
        <v>Contacted</v>
      </c>
      <c r="M31" s="32" t="n">
        <f aca="false">IF(G31="","",G31-B31)</f>
        <v>1</v>
      </c>
      <c r="N31" s="24" t="str">
        <f aca="false">IF(COUNTIF($A$2:A31,A31)&gt;1,"Duplicate ID",IF(C31="","Missing source",IF(OR(AND(G31&lt;&gt;"",G31&lt;B31),AND(H31&lt;&gt;"",H31&lt;B31),AND(I31&lt;&gt;"",I31&lt;H31),AND(J31&lt;&gt;"",J31&lt;I31)),"Date error","OK")))</f>
        <v>OK</v>
      </c>
    </row>
    <row r="32" customFormat="false" ht="15" hidden="false" customHeight="false" outlineLevel="0" collapsed="false">
      <c r="A32" s="24" t="s">
        <v>113</v>
      </c>
      <c r="B32" s="31" t="n">
        <v>46091</v>
      </c>
      <c r="C32" s="24" t="s">
        <v>26</v>
      </c>
      <c r="D32" s="24" t="s">
        <v>33</v>
      </c>
      <c r="E32" s="24" t="s">
        <v>84</v>
      </c>
      <c r="F32" s="24" t="s">
        <v>43</v>
      </c>
      <c r="G32" s="31" t="n">
        <v>46093</v>
      </c>
      <c r="H32" s="31" t="n">
        <v>46103</v>
      </c>
      <c r="I32" s="31" t="n">
        <v>46112</v>
      </c>
      <c r="J32" s="24"/>
      <c r="K32" s="24" t="n">
        <v>1</v>
      </c>
      <c r="L32" s="24" t="str">
        <f aca="false">IF(J32&lt;&gt;"","Enrolled",IF(I32&lt;&gt;"","Admitted",IF(H32&lt;&gt;"","Applied",IF(G32&lt;&gt;"","Contacted","New"))))</f>
        <v>Admitted</v>
      </c>
      <c r="M32" s="32" t="n">
        <f aca="false">IF(G32="","",G32-B32)</f>
        <v>2</v>
      </c>
      <c r="N32" s="24" t="str">
        <f aca="false">IF(COUNTIF($A$2:A32,A32)&gt;1,"Duplicate ID",IF(C32="","Missing source",IF(OR(AND(G32&lt;&gt;"",G32&lt;B32),AND(H32&lt;&gt;"",H32&lt;B32),AND(I32&lt;&gt;"",I32&lt;H32),AND(J32&lt;&gt;"",J32&lt;I32)),"Date error","OK")))</f>
        <v>OK</v>
      </c>
    </row>
    <row r="33" customFormat="false" ht="15" hidden="false" customHeight="false" outlineLevel="0" collapsed="false">
      <c r="A33" s="24" t="s">
        <v>114</v>
      </c>
      <c r="B33" s="31" t="n">
        <v>46091</v>
      </c>
      <c r="C33" s="24" t="s">
        <v>21</v>
      </c>
      <c r="D33" s="24" t="s">
        <v>33</v>
      </c>
      <c r="E33" s="24" t="s">
        <v>89</v>
      </c>
      <c r="F33" s="24" t="s">
        <v>44</v>
      </c>
      <c r="G33" s="31" t="n">
        <v>46101</v>
      </c>
      <c r="H33" s="24"/>
      <c r="I33" s="24"/>
      <c r="J33" s="24"/>
      <c r="K33" s="24" t="n">
        <v>2</v>
      </c>
      <c r="L33" s="24" t="str">
        <f aca="false">IF(J33&lt;&gt;"","Enrolled",IF(I33&lt;&gt;"","Admitted",IF(H33&lt;&gt;"","Applied",IF(G33&lt;&gt;"","Contacted","New"))))</f>
        <v>Contacted</v>
      </c>
      <c r="M33" s="32" t="n">
        <f aca="false">IF(G33="","",G33-B33)</f>
        <v>10</v>
      </c>
      <c r="N33" s="24" t="str">
        <f aca="false">IF(COUNTIF($A$2:A33,A33)&gt;1,"Duplicate ID",IF(C33="","Missing source",IF(OR(AND(G33&lt;&gt;"",G33&lt;B33),AND(H33&lt;&gt;"",H33&lt;B33),AND(I33&lt;&gt;"",I33&lt;H33),AND(J33&lt;&gt;"",J33&lt;I33)),"Date error","OK")))</f>
        <v>OK</v>
      </c>
    </row>
    <row r="34" customFormat="false" ht="15" hidden="false" customHeight="false" outlineLevel="0" collapsed="false">
      <c r="A34" s="24" t="s">
        <v>115</v>
      </c>
      <c r="B34" s="31" t="n">
        <v>46091</v>
      </c>
      <c r="C34" s="24" t="s">
        <v>26</v>
      </c>
      <c r="D34" s="24" t="s">
        <v>33</v>
      </c>
      <c r="E34" s="24" t="s">
        <v>89</v>
      </c>
      <c r="F34" s="24" t="s">
        <v>41</v>
      </c>
      <c r="G34" s="31" t="n">
        <v>46092</v>
      </c>
      <c r="H34" s="24"/>
      <c r="I34" s="24"/>
      <c r="J34" s="24"/>
      <c r="K34" s="24" t="n">
        <v>3</v>
      </c>
      <c r="L34" s="24" t="str">
        <f aca="false">IF(J34&lt;&gt;"","Enrolled",IF(I34&lt;&gt;"","Admitted",IF(H34&lt;&gt;"","Applied",IF(G34&lt;&gt;"","Contacted","New"))))</f>
        <v>Contacted</v>
      </c>
      <c r="M34" s="32" t="n">
        <f aca="false">IF(G34="","",G34-B34)</f>
        <v>1</v>
      </c>
      <c r="N34" s="24" t="str">
        <f aca="false">IF(COUNTIF($A$2:A34,A34)&gt;1,"Duplicate ID",IF(C34="","Missing source",IF(OR(AND(G34&lt;&gt;"",G34&lt;B34),AND(H34&lt;&gt;"",H34&lt;B34),AND(I34&lt;&gt;"",I34&lt;H34),AND(J34&lt;&gt;"",J34&lt;I34)),"Date error","OK")))</f>
        <v>OK</v>
      </c>
    </row>
    <row r="35" customFormat="false" ht="15" hidden="false" customHeight="false" outlineLevel="0" collapsed="false">
      <c r="A35" s="24" t="s">
        <v>116</v>
      </c>
      <c r="B35" s="31" t="n">
        <v>46092</v>
      </c>
      <c r="C35" s="24" t="s">
        <v>22</v>
      </c>
      <c r="D35" s="24" t="s">
        <v>36</v>
      </c>
      <c r="E35" s="24" t="s">
        <v>89</v>
      </c>
      <c r="F35" s="24" t="s">
        <v>42</v>
      </c>
      <c r="G35" s="31" t="n">
        <v>46094</v>
      </c>
      <c r="H35" s="24"/>
      <c r="I35" s="24"/>
      <c r="J35" s="24"/>
      <c r="K35" s="24" t="n">
        <v>3</v>
      </c>
      <c r="L35" s="24" t="str">
        <f aca="false">IF(J35&lt;&gt;"","Enrolled",IF(I35&lt;&gt;"","Admitted",IF(H35&lt;&gt;"","Applied",IF(G35&lt;&gt;"","Contacted","New"))))</f>
        <v>Contacted</v>
      </c>
      <c r="M35" s="32" t="n">
        <f aca="false">IF(G35="","",G35-B35)</f>
        <v>2</v>
      </c>
      <c r="N35" s="24" t="str">
        <f aca="false">IF(COUNTIF($A$2:A35,A35)&gt;1,"Duplicate ID",IF(C35="","Missing source",IF(OR(AND(G35&lt;&gt;"",G35&lt;B35),AND(H35&lt;&gt;"",H35&lt;B35),AND(I35&lt;&gt;"",I35&lt;H35),AND(J35&lt;&gt;"",J35&lt;I35)),"Date error","OK")))</f>
        <v>OK</v>
      </c>
    </row>
    <row r="36" customFormat="false" ht="15" hidden="false" customHeight="false" outlineLevel="0" collapsed="false">
      <c r="A36" s="24" t="s">
        <v>117</v>
      </c>
      <c r="B36" s="31" t="n">
        <v>46092</v>
      </c>
      <c r="C36" s="24" t="s">
        <v>26</v>
      </c>
      <c r="D36" s="24" t="s">
        <v>33</v>
      </c>
      <c r="E36" s="24" t="s">
        <v>89</v>
      </c>
      <c r="F36" s="24" t="s">
        <v>41</v>
      </c>
      <c r="G36" s="31" t="n">
        <v>46092</v>
      </c>
      <c r="H36" s="24"/>
      <c r="I36" s="24"/>
      <c r="J36" s="24"/>
      <c r="K36" s="24" t="n">
        <v>1</v>
      </c>
      <c r="L36" s="24" t="str">
        <f aca="false">IF(J36&lt;&gt;"","Enrolled",IF(I36&lt;&gt;"","Admitted",IF(H36&lt;&gt;"","Applied",IF(G36&lt;&gt;"","Contacted","New"))))</f>
        <v>Contacted</v>
      </c>
      <c r="M36" s="32" t="n">
        <f aca="false">IF(G36="","",G36-B36)</f>
        <v>0</v>
      </c>
      <c r="N36" s="24" t="str">
        <f aca="false">IF(COUNTIF($A$2:A36,A36)&gt;1,"Duplicate ID",IF(C36="","Missing source",IF(OR(AND(G36&lt;&gt;"",G36&lt;B36),AND(H36&lt;&gt;"",H36&lt;B36),AND(I36&lt;&gt;"",I36&lt;H36),AND(J36&lt;&gt;"",J36&lt;I36)),"Date error","OK")))</f>
        <v>OK</v>
      </c>
    </row>
    <row r="37" customFormat="false" ht="15" hidden="false" customHeight="false" outlineLevel="0" collapsed="false">
      <c r="A37" s="24" t="s">
        <v>118</v>
      </c>
      <c r="B37" s="31" t="n">
        <v>46093</v>
      </c>
      <c r="C37" s="24" t="s">
        <v>22</v>
      </c>
      <c r="D37" s="24" t="s">
        <v>33</v>
      </c>
      <c r="E37" s="24" t="s">
        <v>94</v>
      </c>
      <c r="F37" s="24" t="s">
        <v>43</v>
      </c>
      <c r="G37" s="31" t="n">
        <v>46094</v>
      </c>
      <c r="H37" s="24"/>
      <c r="I37" s="24"/>
      <c r="J37" s="24"/>
      <c r="K37" s="24" t="n">
        <v>5</v>
      </c>
      <c r="L37" s="24" t="str">
        <f aca="false">IF(J37&lt;&gt;"","Enrolled",IF(I37&lt;&gt;"","Admitted",IF(H37&lt;&gt;"","Applied",IF(G37&lt;&gt;"","Contacted","New"))))</f>
        <v>Contacted</v>
      </c>
      <c r="M37" s="32" t="n">
        <f aca="false">IF(G37="","",G37-B37)</f>
        <v>1</v>
      </c>
      <c r="N37" s="24" t="str">
        <f aca="false">IF(COUNTIF($A$2:A37,A37)&gt;1,"Duplicate ID",IF(C37="","Missing source",IF(OR(AND(G37&lt;&gt;"",G37&lt;B37),AND(H37&lt;&gt;"",H37&lt;B37),AND(I37&lt;&gt;"",I37&lt;H37),AND(J37&lt;&gt;"",J37&lt;I37)),"Date error","OK")))</f>
        <v>OK</v>
      </c>
    </row>
    <row r="38" customFormat="false" ht="15" hidden="false" customHeight="false" outlineLevel="0" collapsed="false">
      <c r="A38" s="24" t="s">
        <v>119</v>
      </c>
      <c r="B38" s="31" t="n">
        <v>46093</v>
      </c>
      <c r="C38" s="24" t="s">
        <v>25</v>
      </c>
      <c r="D38" s="24" t="s">
        <v>35</v>
      </c>
      <c r="E38" s="24" t="s">
        <v>94</v>
      </c>
      <c r="F38" s="24" t="s">
        <v>44</v>
      </c>
      <c r="G38" s="31" t="n">
        <v>46099</v>
      </c>
      <c r="H38" s="24"/>
      <c r="I38" s="24"/>
      <c r="J38" s="24"/>
      <c r="K38" s="24" t="n">
        <v>2</v>
      </c>
      <c r="L38" s="24" t="str">
        <f aca="false">IF(J38&lt;&gt;"","Enrolled",IF(I38&lt;&gt;"","Admitted",IF(H38&lt;&gt;"","Applied",IF(G38&lt;&gt;"","Contacted","New"))))</f>
        <v>Contacted</v>
      </c>
      <c r="M38" s="32" t="n">
        <f aca="false">IF(G38="","",G38-B38)</f>
        <v>6</v>
      </c>
      <c r="N38" s="24" t="str">
        <f aca="false">IF(COUNTIF($A$2:A38,A38)&gt;1,"Duplicate ID",IF(C38="","Missing source",IF(OR(AND(G38&lt;&gt;"",G38&lt;B38),AND(H38&lt;&gt;"",H38&lt;B38),AND(I38&lt;&gt;"",I38&lt;H38),AND(J38&lt;&gt;"",J38&lt;I38)),"Date error","OK")))</f>
        <v>OK</v>
      </c>
    </row>
    <row r="39" customFormat="false" ht="15" hidden="false" customHeight="false" outlineLevel="0" collapsed="false">
      <c r="A39" s="24" t="s">
        <v>120</v>
      </c>
      <c r="B39" s="31" t="n">
        <v>46093</v>
      </c>
      <c r="C39" s="24" t="s">
        <v>26</v>
      </c>
      <c r="D39" s="24" t="s">
        <v>33</v>
      </c>
      <c r="E39" s="24" t="s">
        <v>81</v>
      </c>
      <c r="F39" s="24" t="s">
        <v>43</v>
      </c>
      <c r="G39" s="31" t="n">
        <v>46093</v>
      </c>
      <c r="H39" s="24"/>
      <c r="I39" s="24"/>
      <c r="J39" s="24"/>
      <c r="K39" s="24" t="n">
        <v>3</v>
      </c>
      <c r="L39" s="24" t="str">
        <f aca="false">IF(J39&lt;&gt;"","Enrolled",IF(I39&lt;&gt;"","Admitted",IF(H39&lt;&gt;"","Applied",IF(G39&lt;&gt;"","Contacted","New"))))</f>
        <v>Contacted</v>
      </c>
      <c r="M39" s="32" t="n">
        <f aca="false">IF(G39="","",G39-B39)</f>
        <v>0</v>
      </c>
      <c r="N39" s="24" t="str">
        <f aca="false">IF(COUNTIF($A$2:A39,A39)&gt;1,"Duplicate ID",IF(C39="","Missing source",IF(OR(AND(G39&lt;&gt;"",G39&lt;B39),AND(H39&lt;&gt;"",H39&lt;B39),AND(I39&lt;&gt;"",I39&lt;H39),AND(J39&lt;&gt;"",J39&lt;I39)),"Date error","OK")))</f>
        <v>OK</v>
      </c>
    </row>
    <row r="40" customFormat="false" ht="15" hidden="false" customHeight="false" outlineLevel="0" collapsed="false">
      <c r="A40" s="24" t="s">
        <v>121</v>
      </c>
      <c r="B40" s="31" t="n">
        <v>46094</v>
      </c>
      <c r="C40" s="24" t="s">
        <v>26</v>
      </c>
      <c r="D40" s="24" t="s">
        <v>32</v>
      </c>
      <c r="E40" s="24" t="s">
        <v>89</v>
      </c>
      <c r="F40" s="24" t="s">
        <v>40</v>
      </c>
      <c r="G40" s="31" t="n">
        <v>46095</v>
      </c>
      <c r="H40" s="24"/>
      <c r="I40" s="24"/>
      <c r="J40" s="24"/>
      <c r="K40" s="24" t="n">
        <v>0</v>
      </c>
      <c r="L40" s="24" t="str">
        <f aca="false">IF(J40&lt;&gt;"","Enrolled",IF(I40&lt;&gt;"","Admitted",IF(H40&lt;&gt;"","Applied",IF(G40&lt;&gt;"","Contacted","New"))))</f>
        <v>Contacted</v>
      </c>
      <c r="M40" s="32" t="n">
        <f aca="false">IF(G40="","",G40-B40)</f>
        <v>1</v>
      </c>
      <c r="N40" s="24" t="str">
        <f aca="false">IF(COUNTIF($A$2:A40,A40)&gt;1,"Duplicate ID",IF(C40="","Missing source",IF(OR(AND(G40&lt;&gt;"",G40&lt;B40),AND(H40&lt;&gt;"",H40&lt;B40),AND(I40&lt;&gt;"",I40&lt;H40),AND(J40&lt;&gt;"",J40&lt;I40)),"Date error","OK")))</f>
        <v>OK</v>
      </c>
    </row>
    <row r="41" customFormat="false" ht="15" hidden="false" customHeight="false" outlineLevel="0" collapsed="false">
      <c r="A41" s="24" t="s">
        <v>122</v>
      </c>
      <c r="B41" s="31" t="n">
        <v>46094</v>
      </c>
      <c r="C41" s="24"/>
      <c r="D41" s="24" t="s">
        <v>36</v>
      </c>
      <c r="E41" s="24" t="s">
        <v>89</v>
      </c>
      <c r="F41" s="24" t="s">
        <v>40</v>
      </c>
      <c r="G41" s="31" t="n">
        <v>46094</v>
      </c>
      <c r="H41" s="24"/>
      <c r="I41" s="24"/>
      <c r="J41" s="24"/>
      <c r="K41" s="24" t="n">
        <v>2</v>
      </c>
      <c r="L41" s="24" t="str">
        <f aca="false">IF(J41&lt;&gt;"","Enrolled",IF(I41&lt;&gt;"","Admitted",IF(H41&lt;&gt;"","Applied",IF(G41&lt;&gt;"","Contacted","New"))))</f>
        <v>Contacted</v>
      </c>
      <c r="M41" s="32" t="n">
        <f aca="false">IF(G41="","",G41-B41)</f>
        <v>0</v>
      </c>
      <c r="N41" s="24" t="str">
        <f aca="false">IF(COUNTIF($A$2:A41,A41)&gt;1,"Duplicate ID",IF(C41="","Missing source",IF(OR(AND(G41&lt;&gt;"",G41&lt;B41),AND(H41&lt;&gt;"",H41&lt;B41),AND(I41&lt;&gt;"",I41&lt;H41),AND(J41&lt;&gt;"",J41&lt;I41)),"Date error","OK")))</f>
        <v>Missing source</v>
      </c>
    </row>
    <row r="42" customFormat="false" ht="15" hidden="false" customHeight="false" outlineLevel="0" collapsed="false">
      <c r="A42" s="24" t="s">
        <v>123</v>
      </c>
      <c r="B42" s="31" t="n">
        <v>46094</v>
      </c>
      <c r="C42" s="24" t="s">
        <v>24</v>
      </c>
      <c r="D42" s="24" t="s">
        <v>33</v>
      </c>
      <c r="E42" s="24" t="s">
        <v>79</v>
      </c>
      <c r="F42" s="24" t="s">
        <v>45</v>
      </c>
      <c r="G42" s="24"/>
      <c r="H42" s="24"/>
      <c r="I42" s="24"/>
      <c r="J42" s="24"/>
      <c r="K42" s="24" t="n">
        <v>0</v>
      </c>
      <c r="L42" s="24" t="str">
        <f aca="false">IF(J42&lt;&gt;"","Enrolled",IF(I42&lt;&gt;"","Admitted",IF(H42&lt;&gt;"","Applied",IF(G42&lt;&gt;"","Contacted","New"))))</f>
        <v>New</v>
      </c>
      <c r="M42" s="32" t="str">
        <f aca="false">IF(G42="","",G42-B42)</f>
        <v/>
      </c>
      <c r="N42" s="24" t="str">
        <f aca="false">IF(COUNTIF($A$2:A42,A42)&gt;1,"Duplicate ID",IF(C42="","Missing source",IF(OR(AND(G42&lt;&gt;"",G42&lt;B42),AND(H42&lt;&gt;"",H42&lt;B42),AND(I42&lt;&gt;"",I42&lt;H42),AND(J42&lt;&gt;"",J42&lt;I42)),"Date error","OK")))</f>
        <v>OK</v>
      </c>
    </row>
    <row r="43" customFormat="false" ht="15" hidden="false" customHeight="false" outlineLevel="0" collapsed="false">
      <c r="A43" s="24" t="s">
        <v>124</v>
      </c>
      <c r="B43" s="31" t="n">
        <v>46094</v>
      </c>
      <c r="C43" s="24" t="s">
        <v>21</v>
      </c>
      <c r="D43" s="24" t="s">
        <v>35</v>
      </c>
      <c r="E43" s="24" t="s">
        <v>79</v>
      </c>
      <c r="F43" s="24" t="s">
        <v>42</v>
      </c>
      <c r="G43" s="31" t="n">
        <v>46094</v>
      </c>
      <c r="H43" s="24"/>
      <c r="I43" s="24"/>
      <c r="J43" s="24"/>
      <c r="K43" s="24" t="n">
        <v>3</v>
      </c>
      <c r="L43" s="24" t="str">
        <f aca="false">IF(J43&lt;&gt;"","Enrolled",IF(I43&lt;&gt;"","Admitted",IF(H43&lt;&gt;"","Applied",IF(G43&lt;&gt;"","Contacted","New"))))</f>
        <v>Contacted</v>
      </c>
      <c r="M43" s="32" t="n">
        <f aca="false">IF(G43="","",G43-B43)</f>
        <v>0</v>
      </c>
      <c r="N43" s="24" t="str">
        <f aca="false">IF(COUNTIF($A$2:A43,A43)&gt;1,"Duplicate ID",IF(C43="","Missing source",IF(OR(AND(G43&lt;&gt;"",G43&lt;B43),AND(H43&lt;&gt;"",H43&lt;B43),AND(I43&lt;&gt;"",I43&lt;H43),AND(J43&lt;&gt;"",J43&lt;I43)),"Date error","OK")))</f>
        <v>OK</v>
      </c>
    </row>
    <row r="44" customFormat="false" ht="15" hidden="false" customHeight="false" outlineLevel="0" collapsed="false">
      <c r="A44" s="24" t="s">
        <v>125</v>
      </c>
      <c r="B44" s="31" t="n">
        <v>46094</v>
      </c>
      <c r="C44" s="24" t="s">
        <v>22</v>
      </c>
      <c r="D44" s="24" t="s">
        <v>33</v>
      </c>
      <c r="E44" s="24" t="s">
        <v>79</v>
      </c>
      <c r="F44" s="24" t="s">
        <v>42</v>
      </c>
      <c r="G44" s="31" t="n">
        <v>46094</v>
      </c>
      <c r="H44" s="31" t="n">
        <v>46116</v>
      </c>
      <c r="I44" s="31" t="n">
        <v>46130</v>
      </c>
      <c r="J44" s="24"/>
      <c r="K44" s="24" t="n">
        <v>5</v>
      </c>
      <c r="L44" s="24" t="str">
        <f aca="false">IF(J44&lt;&gt;"","Enrolled",IF(I44&lt;&gt;"","Admitted",IF(H44&lt;&gt;"","Applied",IF(G44&lt;&gt;"","Contacted","New"))))</f>
        <v>Admitted</v>
      </c>
      <c r="M44" s="32" t="n">
        <f aca="false">IF(G44="","",G44-B44)</f>
        <v>0</v>
      </c>
      <c r="N44" s="24" t="str">
        <f aca="false">IF(COUNTIF($A$2:A44,A44)&gt;1,"Duplicate ID",IF(C44="","Missing source",IF(OR(AND(G44&lt;&gt;"",G44&lt;B44),AND(H44&lt;&gt;"",H44&lt;B44),AND(I44&lt;&gt;"",I44&lt;H44),AND(J44&lt;&gt;"",J44&lt;I44)),"Date error","OK")))</f>
        <v>OK</v>
      </c>
    </row>
    <row r="45" customFormat="false" ht="15" hidden="false" customHeight="false" outlineLevel="0" collapsed="false">
      <c r="A45" s="24" t="s">
        <v>126</v>
      </c>
      <c r="B45" s="31" t="n">
        <v>46094</v>
      </c>
      <c r="C45" s="24" t="s">
        <v>24</v>
      </c>
      <c r="D45" s="24" t="s">
        <v>33</v>
      </c>
      <c r="E45" s="24" t="s">
        <v>89</v>
      </c>
      <c r="F45" s="24" t="s">
        <v>44</v>
      </c>
      <c r="G45" s="31" t="n">
        <v>46097</v>
      </c>
      <c r="H45" s="24"/>
      <c r="I45" s="24"/>
      <c r="J45" s="24"/>
      <c r="K45" s="24" t="n">
        <v>3</v>
      </c>
      <c r="L45" s="24" t="str">
        <f aca="false">IF(J45&lt;&gt;"","Enrolled",IF(I45&lt;&gt;"","Admitted",IF(H45&lt;&gt;"","Applied",IF(G45&lt;&gt;"","Contacted","New"))))</f>
        <v>Contacted</v>
      </c>
      <c r="M45" s="32" t="n">
        <f aca="false">IF(G45="","",G45-B45)</f>
        <v>3</v>
      </c>
      <c r="N45" s="24" t="str">
        <f aca="false">IF(COUNTIF($A$2:A45,A45)&gt;1,"Duplicate ID",IF(C45="","Missing source",IF(OR(AND(G45&lt;&gt;"",G45&lt;B45),AND(H45&lt;&gt;"",H45&lt;B45),AND(I45&lt;&gt;"",I45&lt;H45),AND(J45&lt;&gt;"",J45&lt;I45)),"Date error","OK")))</f>
        <v>OK</v>
      </c>
    </row>
    <row r="46" customFormat="false" ht="15" hidden="false" customHeight="false" outlineLevel="0" collapsed="false">
      <c r="A46" s="24" t="s">
        <v>127</v>
      </c>
      <c r="B46" s="31" t="n">
        <v>46094</v>
      </c>
      <c r="C46" s="24" t="s">
        <v>24</v>
      </c>
      <c r="D46" s="24" t="s">
        <v>33</v>
      </c>
      <c r="E46" s="24" t="s">
        <v>89</v>
      </c>
      <c r="F46" s="24" t="s">
        <v>45</v>
      </c>
      <c r="G46" s="31" t="n">
        <v>46097</v>
      </c>
      <c r="H46" s="31" t="n">
        <v>46120</v>
      </c>
      <c r="I46" s="31" t="n">
        <v>46130</v>
      </c>
      <c r="J46" s="24"/>
      <c r="K46" s="24" t="n">
        <v>3</v>
      </c>
      <c r="L46" s="24" t="str">
        <f aca="false">IF(J46&lt;&gt;"","Enrolled",IF(I46&lt;&gt;"","Admitted",IF(H46&lt;&gt;"","Applied",IF(G46&lt;&gt;"","Contacted","New"))))</f>
        <v>Admitted</v>
      </c>
      <c r="M46" s="32" t="n">
        <f aca="false">IF(G46="","",G46-B46)</f>
        <v>3</v>
      </c>
      <c r="N46" s="24" t="str">
        <f aca="false">IF(COUNTIF($A$2:A46,A46)&gt;1,"Duplicate ID",IF(C46="","Missing source",IF(OR(AND(G46&lt;&gt;"",G46&lt;B46),AND(H46&lt;&gt;"",H46&lt;B46),AND(I46&lt;&gt;"",I46&lt;H46),AND(J46&lt;&gt;"",J46&lt;I46)),"Date error","OK")))</f>
        <v>OK</v>
      </c>
    </row>
    <row r="47" customFormat="false" ht="15" hidden="false" customHeight="false" outlineLevel="0" collapsed="false">
      <c r="A47" s="24" t="s">
        <v>128</v>
      </c>
      <c r="B47" s="31" t="n">
        <v>46094</v>
      </c>
      <c r="C47" s="24" t="s">
        <v>26</v>
      </c>
      <c r="D47" s="24" t="s">
        <v>33</v>
      </c>
      <c r="E47" s="24" t="s">
        <v>89</v>
      </c>
      <c r="F47" s="24" t="s">
        <v>40</v>
      </c>
      <c r="G47" s="31" t="n">
        <v>46094</v>
      </c>
      <c r="H47" s="24"/>
      <c r="I47" s="24"/>
      <c r="J47" s="24"/>
      <c r="K47" s="24" t="n">
        <v>1</v>
      </c>
      <c r="L47" s="24" t="str">
        <f aca="false">IF(J47&lt;&gt;"","Enrolled",IF(I47&lt;&gt;"","Admitted",IF(H47&lt;&gt;"","Applied",IF(G47&lt;&gt;"","Contacted","New"))))</f>
        <v>Contacted</v>
      </c>
      <c r="M47" s="32" t="n">
        <f aca="false">IF(G47="","",G47-B47)</f>
        <v>0</v>
      </c>
      <c r="N47" s="24" t="str">
        <f aca="false">IF(COUNTIF($A$2:A47,A47)&gt;1,"Duplicate ID",IF(C47="","Missing source",IF(OR(AND(G47&lt;&gt;"",G47&lt;B47),AND(H47&lt;&gt;"",H47&lt;B47),AND(I47&lt;&gt;"",I47&lt;H47),AND(J47&lt;&gt;"",J47&lt;I47)),"Date error","OK")))</f>
        <v>OK</v>
      </c>
    </row>
    <row r="48" customFormat="false" ht="15" hidden="false" customHeight="false" outlineLevel="0" collapsed="false">
      <c r="A48" s="24" t="s">
        <v>129</v>
      </c>
      <c r="B48" s="31" t="n">
        <v>46095</v>
      </c>
      <c r="C48" s="24" t="s">
        <v>24</v>
      </c>
      <c r="D48" s="24" t="s">
        <v>32</v>
      </c>
      <c r="E48" s="24" t="s">
        <v>79</v>
      </c>
      <c r="F48" s="24" t="s">
        <v>40</v>
      </c>
      <c r="G48" s="31" t="n">
        <v>46095</v>
      </c>
      <c r="H48" s="31" t="n">
        <v>46098</v>
      </c>
      <c r="I48" s="24"/>
      <c r="J48" s="24"/>
      <c r="K48" s="24" t="n">
        <v>2</v>
      </c>
      <c r="L48" s="24" t="str">
        <f aca="false">IF(J48&lt;&gt;"","Enrolled",IF(I48&lt;&gt;"","Admitted",IF(H48&lt;&gt;"","Applied",IF(G48&lt;&gt;"","Contacted","New"))))</f>
        <v>Applied</v>
      </c>
      <c r="M48" s="32" t="n">
        <f aca="false">IF(G48="","",G48-B48)</f>
        <v>0</v>
      </c>
      <c r="N48" s="24" t="str">
        <f aca="false">IF(COUNTIF($A$2:A48,A48)&gt;1,"Duplicate ID",IF(C48="","Missing source",IF(OR(AND(G48&lt;&gt;"",G48&lt;B48),AND(H48&lt;&gt;"",H48&lt;B48),AND(I48&lt;&gt;"",I48&lt;H48),AND(J48&lt;&gt;"",J48&lt;I48)),"Date error","OK")))</f>
        <v>OK</v>
      </c>
    </row>
    <row r="49" customFormat="false" ht="15" hidden="false" customHeight="false" outlineLevel="0" collapsed="false">
      <c r="A49" s="24" t="s">
        <v>130</v>
      </c>
      <c r="B49" s="31" t="n">
        <v>46095</v>
      </c>
      <c r="C49" s="24" t="s">
        <v>25</v>
      </c>
      <c r="D49" s="24" t="s">
        <v>35</v>
      </c>
      <c r="E49" s="24" t="s">
        <v>89</v>
      </c>
      <c r="F49" s="24" t="s">
        <v>44</v>
      </c>
      <c r="G49" s="31" t="n">
        <v>46095</v>
      </c>
      <c r="H49" s="24"/>
      <c r="I49" s="24"/>
      <c r="J49" s="24"/>
      <c r="K49" s="24" t="n">
        <v>3</v>
      </c>
      <c r="L49" s="24" t="str">
        <f aca="false">IF(J49&lt;&gt;"","Enrolled",IF(I49&lt;&gt;"","Admitted",IF(H49&lt;&gt;"","Applied",IF(G49&lt;&gt;"","Contacted","New"))))</f>
        <v>Contacted</v>
      </c>
      <c r="M49" s="32" t="n">
        <f aca="false">IF(G49="","",G49-B49)</f>
        <v>0</v>
      </c>
      <c r="N49" s="24" t="str">
        <f aca="false">IF(COUNTIF($A$2:A49,A49)&gt;1,"Duplicate ID",IF(C49="","Missing source",IF(OR(AND(G49&lt;&gt;"",G49&lt;B49),AND(H49&lt;&gt;"",H49&lt;B49),AND(I49&lt;&gt;"",I49&lt;H49),AND(J49&lt;&gt;"",J49&lt;I49)),"Date error","OK")))</f>
        <v>OK</v>
      </c>
    </row>
    <row r="50" customFormat="false" ht="15" hidden="false" customHeight="false" outlineLevel="0" collapsed="false">
      <c r="A50" s="24" t="s">
        <v>131</v>
      </c>
      <c r="B50" s="31" t="n">
        <v>46095</v>
      </c>
      <c r="C50" s="24" t="s">
        <v>25</v>
      </c>
      <c r="D50" s="24" t="s">
        <v>35</v>
      </c>
      <c r="E50" s="24" t="s">
        <v>89</v>
      </c>
      <c r="F50" s="24" t="s">
        <v>43</v>
      </c>
      <c r="G50" s="31" t="n">
        <v>46096</v>
      </c>
      <c r="H50" s="24"/>
      <c r="I50" s="24"/>
      <c r="J50" s="24"/>
      <c r="K50" s="24" t="n">
        <v>2</v>
      </c>
      <c r="L50" s="24" t="str">
        <f aca="false">IF(J50&lt;&gt;"","Enrolled",IF(I50&lt;&gt;"","Admitted",IF(H50&lt;&gt;"","Applied",IF(G50&lt;&gt;"","Contacted","New"))))</f>
        <v>Contacted</v>
      </c>
      <c r="M50" s="32" t="n">
        <f aca="false">IF(G50="","",G50-B50)</f>
        <v>1</v>
      </c>
      <c r="N50" s="24" t="str">
        <f aca="false">IF(COUNTIF($A$2:A50,A50)&gt;1,"Duplicate ID",IF(C50="","Missing source",IF(OR(AND(G50&lt;&gt;"",G50&lt;B50),AND(H50&lt;&gt;"",H50&lt;B50),AND(I50&lt;&gt;"",I50&lt;H50),AND(J50&lt;&gt;"",J50&lt;I50)),"Date error","OK")))</f>
        <v>OK</v>
      </c>
    </row>
    <row r="51" customFormat="false" ht="15" hidden="false" customHeight="false" outlineLevel="0" collapsed="false">
      <c r="A51" s="24" t="s">
        <v>132</v>
      </c>
      <c r="B51" s="31" t="n">
        <v>46096</v>
      </c>
      <c r="C51" s="24" t="s">
        <v>27</v>
      </c>
      <c r="D51" s="24" t="s">
        <v>36</v>
      </c>
      <c r="E51" s="24" t="s">
        <v>89</v>
      </c>
      <c r="F51" s="24" t="s">
        <v>44</v>
      </c>
      <c r="G51" s="31" t="n">
        <v>46100</v>
      </c>
      <c r="H51" s="24"/>
      <c r="I51" s="24"/>
      <c r="J51" s="24"/>
      <c r="K51" s="24" t="n">
        <v>2</v>
      </c>
      <c r="L51" s="24" t="str">
        <f aca="false">IF(J51&lt;&gt;"","Enrolled",IF(I51&lt;&gt;"","Admitted",IF(H51&lt;&gt;"","Applied",IF(G51&lt;&gt;"","Contacted","New"))))</f>
        <v>Contacted</v>
      </c>
      <c r="M51" s="32" t="n">
        <f aca="false">IF(G51="","",G51-B51)</f>
        <v>4</v>
      </c>
      <c r="N51" s="24" t="str">
        <f aca="false">IF(COUNTIF($A$2:A51,A51)&gt;1,"Duplicate ID",IF(C51="","Missing source",IF(OR(AND(G51&lt;&gt;"",G51&lt;B51),AND(H51&lt;&gt;"",H51&lt;B51),AND(I51&lt;&gt;"",I51&lt;H51),AND(J51&lt;&gt;"",J51&lt;I51)),"Date error","OK")))</f>
        <v>OK</v>
      </c>
    </row>
    <row r="52" customFormat="false" ht="15" hidden="false" customHeight="false" outlineLevel="0" collapsed="false">
      <c r="A52" s="24" t="s">
        <v>133</v>
      </c>
      <c r="B52" s="31" t="n">
        <v>46096</v>
      </c>
      <c r="C52" s="24" t="s">
        <v>26</v>
      </c>
      <c r="D52" s="24" t="s">
        <v>35</v>
      </c>
      <c r="E52" s="24" t="s">
        <v>89</v>
      </c>
      <c r="F52" s="24" t="s">
        <v>43</v>
      </c>
      <c r="G52" s="31" t="n">
        <v>46098</v>
      </c>
      <c r="H52" s="24"/>
      <c r="I52" s="24"/>
      <c r="J52" s="24"/>
      <c r="K52" s="24" t="n">
        <v>3</v>
      </c>
      <c r="L52" s="24" t="str">
        <f aca="false">IF(J52&lt;&gt;"","Enrolled",IF(I52&lt;&gt;"","Admitted",IF(H52&lt;&gt;"","Applied",IF(G52&lt;&gt;"","Contacted","New"))))</f>
        <v>Contacted</v>
      </c>
      <c r="M52" s="32" t="n">
        <f aca="false">IF(G52="","",G52-B52)</f>
        <v>2</v>
      </c>
      <c r="N52" s="24" t="str">
        <f aca="false">IF(COUNTIF($A$2:A52,A52)&gt;1,"Duplicate ID",IF(C52="","Missing source",IF(OR(AND(G52&lt;&gt;"",G52&lt;B52),AND(H52&lt;&gt;"",H52&lt;B52),AND(I52&lt;&gt;"",I52&lt;H52),AND(J52&lt;&gt;"",J52&lt;I52)),"Date error","OK")))</f>
        <v>OK</v>
      </c>
    </row>
    <row r="53" customFormat="false" ht="15" hidden="false" customHeight="false" outlineLevel="0" collapsed="false">
      <c r="A53" s="24" t="s">
        <v>134</v>
      </c>
      <c r="B53" s="31" t="n">
        <v>46096</v>
      </c>
      <c r="C53" s="24" t="s">
        <v>24</v>
      </c>
      <c r="D53" s="24" t="s">
        <v>33</v>
      </c>
      <c r="E53" s="24" t="s">
        <v>94</v>
      </c>
      <c r="F53" s="24" t="s">
        <v>41</v>
      </c>
      <c r="G53" s="31" t="n">
        <v>46097</v>
      </c>
      <c r="H53" s="31" t="n">
        <v>46114</v>
      </c>
      <c r="I53" s="31" t="n">
        <v>46127</v>
      </c>
      <c r="J53" s="31" t="n">
        <v>46137</v>
      </c>
      <c r="K53" s="24" t="n">
        <v>2</v>
      </c>
      <c r="L53" s="24" t="str">
        <f aca="false">IF(J53&lt;&gt;"","Enrolled",IF(I53&lt;&gt;"","Admitted",IF(H53&lt;&gt;"","Applied",IF(G53&lt;&gt;"","Contacted","New"))))</f>
        <v>Enrolled</v>
      </c>
      <c r="M53" s="32" t="n">
        <f aca="false">IF(G53="","",G53-B53)</f>
        <v>1</v>
      </c>
      <c r="N53" s="24" t="str">
        <f aca="false">IF(COUNTIF($A$2:A53,A53)&gt;1,"Duplicate ID",IF(C53="","Missing source",IF(OR(AND(G53&lt;&gt;"",G53&lt;B53),AND(H53&lt;&gt;"",H53&lt;B53),AND(I53&lt;&gt;"",I53&lt;H53),AND(J53&lt;&gt;"",J53&lt;I53)),"Date error","OK")))</f>
        <v>OK</v>
      </c>
    </row>
    <row r="54" customFormat="false" ht="15" hidden="false" customHeight="false" outlineLevel="0" collapsed="false">
      <c r="A54" s="24" t="s">
        <v>135</v>
      </c>
      <c r="B54" s="31" t="n">
        <v>46097</v>
      </c>
      <c r="C54" s="24" t="s">
        <v>27</v>
      </c>
      <c r="D54" s="24" t="s">
        <v>36</v>
      </c>
      <c r="E54" s="24" t="s">
        <v>94</v>
      </c>
      <c r="F54" s="24" t="s">
        <v>43</v>
      </c>
      <c r="G54" s="31" t="n">
        <v>46098</v>
      </c>
      <c r="H54" s="24"/>
      <c r="I54" s="24"/>
      <c r="J54" s="24"/>
      <c r="K54" s="24" t="n">
        <v>1</v>
      </c>
      <c r="L54" s="24" t="str">
        <f aca="false">IF(J54&lt;&gt;"","Enrolled",IF(I54&lt;&gt;"","Admitted",IF(H54&lt;&gt;"","Applied",IF(G54&lt;&gt;"","Contacted","New"))))</f>
        <v>Contacted</v>
      </c>
      <c r="M54" s="32" t="n">
        <f aca="false">IF(G54="","",G54-B54)</f>
        <v>1</v>
      </c>
      <c r="N54" s="24" t="str">
        <f aca="false">IF(COUNTIF($A$2:A54,A54)&gt;1,"Duplicate ID",IF(C54="","Missing source",IF(OR(AND(G54&lt;&gt;"",G54&lt;B54),AND(H54&lt;&gt;"",H54&lt;B54),AND(I54&lt;&gt;"",I54&lt;H54),AND(J54&lt;&gt;"",J54&lt;I54)),"Date error","OK")))</f>
        <v>OK</v>
      </c>
    </row>
    <row r="55" customFormat="false" ht="15" hidden="false" customHeight="false" outlineLevel="0" collapsed="false">
      <c r="A55" s="24" t="s">
        <v>136</v>
      </c>
      <c r="B55" s="31" t="n">
        <v>46097</v>
      </c>
      <c r="C55" s="24" t="s">
        <v>25</v>
      </c>
      <c r="D55" s="24" t="s">
        <v>35</v>
      </c>
      <c r="E55" s="24" t="s">
        <v>89</v>
      </c>
      <c r="F55" s="24" t="s">
        <v>45</v>
      </c>
      <c r="G55" s="31" t="n">
        <v>46099</v>
      </c>
      <c r="H55" s="24"/>
      <c r="I55" s="24"/>
      <c r="J55" s="24"/>
      <c r="K55" s="24" t="n">
        <v>0</v>
      </c>
      <c r="L55" s="24" t="str">
        <f aca="false">IF(J55&lt;&gt;"","Enrolled",IF(I55&lt;&gt;"","Admitted",IF(H55&lt;&gt;"","Applied",IF(G55&lt;&gt;"","Contacted","New"))))</f>
        <v>Contacted</v>
      </c>
      <c r="M55" s="32" t="n">
        <f aca="false">IF(G55="","",G55-B55)</f>
        <v>2</v>
      </c>
      <c r="N55" s="24" t="str">
        <f aca="false">IF(COUNTIF($A$2:A55,A55)&gt;1,"Duplicate ID",IF(C55="","Missing source",IF(OR(AND(G55&lt;&gt;"",G55&lt;B55),AND(H55&lt;&gt;"",H55&lt;B55),AND(I55&lt;&gt;"",I55&lt;H55),AND(J55&lt;&gt;"",J55&lt;I55)),"Date error","OK")))</f>
        <v>OK</v>
      </c>
    </row>
    <row r="56" customFormat="false" ht="15" hidden="false" customHeight="false" outlineLevel="0" collapsed="false">
      <c r="A56" s="24" t="s">
        <v>137</v>
      </c>
      <c r="B56" s="31" t="n">
        <v>46097</v>
      </c>
      <c r="C56" s="24" t="s">
        <v>24</v>
      </c>
      <c r="D56" s="24" t="s">
        <v>36</v>
      </c>
      <c r="E56" s="24" t="s">
        <v>79</v>
      </c>
      <c r="F56" s="24" t="s">
        <v>40</v>
      </c>
      <c r="G56" s="31" t="n">
        <v>46099</v>
      </c>
      <c r="H56" s="24"/>
      <c r="I56" s="24"/>
      <c r="J56" s="24"/>
      <c r="K56" s="24" t="n">
        <v>2</v>
      </c>
      <c r="L56" s="24" t="str">
        <f aca="false">IF(J56&lt;&gt;"","Enrolled",IF(I56&lt;&gt;"","Admitted",IF(H56&lt;&gt;"","Applied",IF(G56&lt;&gt;"","Contacted","New"))))</f>
        <v>Contacted</v>
      </c>
      <c r="M56" s="32" t="n">
        <f aca="false">IF(G56="","",G56-B56)</f>
        <v>2</v>
      </c>
      <c r="N56" s="24" t="str">
        <f aca="false">IF(COUNTIF($A$2:A56,A56)&gt;1,"Duplicate ID",IF(C56="","Missing source",IF(OR(AND(G56&lt;&gt;"",G56&lt;B56),AND(H56&lt;&gt;"",H56&lt;B56),AND(I56&lt;&gt;"",I56&lt;H56),AND(J56&lt;&gt;"",J56&lt;I56)),"Date error","OK")))</f>
        <v>OK</v>
      </c>
    </row>
    <row r="57" customFormat="false" ht="15" hidden="false" customHeight="false" outlineLevel="0" collapsed="false">
      <c r="A57" s="24" t="s">
        <v>138</v>
      </c>
      <c r="B57" s="31" t="n">
        <v>46098</v>
      </c>
      <c r="C57" s="24" t="s">
        <v>26</v>
      </c>
      <c r="D57" s="24" t="s">
        <v>35</v>
      </c>
      <c r="E57" s="24" t="s">
        <v>94</v>
      </c>
      <c r="F57" s="24" t="s">
        <v>43</v>
      </c>
      <c r="G57" s="31" t="n">
        <v>46099</v>
      </c>
      <c r="H57" s="24"/>
      <c r="I57" s="24"/>
      <c r="J57" s="24"/>
      <c r="K57" s="24" t="n">
        <v>4</v>
      </c>
      <c r="L57" s="24" t="str">
        <f aca="false">IF(J57&lt;&gt;"","Enrolled",IF(I57&lt;&gt;"","Admitted",IF(H57&lt;&gt;"","Applied",IF(G57&lt;&gt;"","Contacted","New"))))</f>
        <v>Contacted</v>
      </c>
      <c r="M57" s="32" t="n">
        <f aca="false">IF(G57="","",G57-B57)</f>
        <v>1</v>
      </c>
      <c r="N57" s="24" t="str">
        <f aca="false">IF(COUNTIF($A$2:A57,A57)&gt;1,"Duplicate ID",IF(C57="","Missing source",IF(OR(AND(G57&lt;&gt;"",G57&lt;B57),AND(H57&lt;&gt;"",H57&lt;B57),AND(I57&lt;&gt;"",I57&lt;H57),AND(J57&lt;&gt;"",J57&lt;I57)),"Date error","OK")))</f>
        <v>OK</v>
      </c>
    </row>
    <row r="58" customFormat="false" ht="15" hidden="false" customHeight="false" outlineLevel="0" collapsed="false">
      <c r="A58" s="24" t="s">
        <v>139</v>
      </c>
      <c r="B58" s="31" t="n">
        <v>46098</v>
      </c>
      <c r="C58" s="24" t="s">
        <v>27</v>
      </c>
      <c r="D58" s="24" t="s">
        <v>36</v>
      </c>
      <c r="E58" s="24" t="s">
        <v>84</v>
      </c>
      <c r="F58" s="24" t="s">
        <v>43</v>
      </c>
      <c r="G58" s="31" t="n">
        <v>46101</v>
      </c>
      <c r="H58" s="24"/>
      <c r="I58" s="24"/>
      <c r="J58" s="24"/>
      <c r="K58" s="24" t="n">
        <v>3</v>
      </c>
      <c r="L58" s="24" t="str">
        <f aca="false">IF(J58&lt;&gt;"","Enrolled",IF(I58&lt;&gt;"","Admitted",IF(H58&lt;&gt;"","Applied",IF(G58&lt;&gt;"","Contacted","New"))))</f>
        <v>Contacted</v>
      </c>
      <c r="M58" s="32" t="n">
        <f aca="false">IF(G58="","",G58-B58)</f>
        <v>3</v>
      </c>
      <c r="N58" s="24" t="str">
        <f aca="false">IF(COUNTIF($A$2:A58,A58)&gt;1,"Duplicate ID",IF(C58="","Missing source",IF(OR(AND(G58&lt;&gt;"",G58&lt;B58),AND(H58&lt;&gt;"",H58&lt;B58),AND(I58&lt;&gt;"",I58&lt;H58),AND(J58&lt;&gt;"",J58&lt;I58)),"Date error","OK")))</f>
        <v>OK</v>
      </c>
    </row>
    <row r="59" customFormat="false" ht="15" hidden="false" customHeight="false" outlineLevel="0" collapsed="false">
      <c r="A59" s="24" t="s">
        <v>140</v>
      </c>
      <c r="B59" s="31" t="n">
        <v>46098</v>
      </c>
      <c r="C59" s="24" t="s">
        <v>22</v>
      </c>
      <c r="D59" s="24" t="s">
        <v>34</v>
      </c>
      <c r="E59" s="24" t="s">
        <v>89</v>
      </c>
      <c r="F59" s="24" t="s">
        <v>40</v>
      </c>
      <c r="G59" s="24"/>
      <c r="H59" s="24"/>
      <c r="I59" s="24"/>
      <c r="J59" s="24"/>
      <c r="K59" s="24" t="n">
        <v>0</v>
      </c>
      <c r="L59" s="24" t="str">
        <f aca="false">IF(J59&lt;&gt;"","Enrolled",IF(I59&lt;&gt;"","Admitted",IF(H59&lt;&gt;"","Applied",IF(G59&lt;&gt;"","Contacted","New"))))</f>
        <v>New</v>
      </c>
      <c r="M59" s="32" t="str">
        <f aca="false">IF(G59="","",G59-B59)</f>
        <v/>
      </c>
      <c r="N59" s="24" t="str">
        <f aca="false">IF(COUNTIF($A$2:A59,A59)&gt;1,"Duplicate ID",IF(C59="","Missing source",IF(OR(AND(G59&lt;&gt;"",G59&lt;B59),AND(H59&lt;&gt;"",H59&lt;B59),AND(I59&lt;&gt;"",I59&lt;H59),AND(J59&lt;&gt;"",J59&lt;I59)),"Date error","OK")))</f>
        <v>OK</v>
      </c>
    </row>
    <row r="60" customFormat="false" ht="15" hidden="false" customHeight="false" outlineLevel="0" collapsed="false">
      <c r="A60" s="24" t="s">
        <v>141</v>
      </c>
      <c r="B60" s="31" t="n">
        <v>46098</v>
      </c>
      <c r="C60" s="24" t="s">
        <v>22</v>
      </c>
      <c r="D60" s="24" t="s">
        <v>36</v>
      </c>
      <c r="E60" s="24" t="s">
        <v>89</v>
      </c>
      <c r="F60" s="24" t="s">
        <v>45</v>
      </c>
      <c r="G60" s="31" t="n">
        <v>46099</v>
      </c>
      <c r="H60" s="31" t="n">
        <v>46117</v>
      </c>
      <c r="I60" s="31" t="n">
        <v>46131</v>
      </c>
      <c r="J60" s="31" t="n">
        <v>46165</v>
      </c>
      <c r="K60" s="24" t="n">
        <v>7</v>
      </c>
      <c r="L60" s="24" t="str">
        <f aca="false">IF(J60&lt;&gt;"","Enrolled",IF(I60&lt;&gt;"","Admitted",IF(H60&lt;&gt;"","Applied",IF(G60&lt;&gt;"","Contacted","New"))))</f>
        <v>Enrolled</v>
      </c>
      <c r="M60" s="32" t="n">
        <f aca="false">IF(G60="","",G60-B60)</f>
        <v>1</v>
      </c>
      <c r="N60" s="24" t="str">
        <f aca="false">IF(COUNTIF($A$2:A60,A60)&gt;1,"Duplicate ID",IF(C60="","Missing source",IF(OR(AND(G60&lt;&gt;"",G60&lt;B60),AND(H60&lt;&gt;"",H60&lt;B60),AND(I60&lt;&gt;"",I60&lt;H60),AND(J60&lt;&gt;"",J60&lt;I60)),"Date error","OK")))</f>
        <v>OK</v>
      </c>
    </row>
    <row r="61" customFormat="false" ht="15" hidden="false" customHeight="false" outlineLevel="0" collapsed="false">
      <c r="A61" s="24" t="s">
        <v>142</v>
      </c>
      <c r="B61" s="31" t="n">
        <v>46098</v>
      </c>
      <c r="C61" s="24" t="s">
        <v>21</v>
      </c>
      <c r="D61" s="24" t="s">
        <v>36</v>
      </c>
      <c r="E61" s="24" t="s">
        <v>89</v>
      </c>
      <c r="F61" s="24" t="s">
        <v>44</v>
      </c>
      <c r="G61" s="31" t="n">
        <v>46103</v>
      </c>
      <c r="H61" s="31" t="n">
        <v>46111</v>
      </c>
      <c r="I61" s="31" t="n">
        <v>46118</v>
      </c>
      <c r="J61" s="31" t="n">
        <v>46142</v>
      </c>
      <c r="K61" s="24" t="n">
        <v>4</v>
      </c>
      <c r="L61" s="24" t="str">
        <f aca="false">IF(J61&lt;&gt;"","Enrolled",IF(I61&lt;&gt;"","Admitted",IF(H61&lt;&gt;"","Applied",IF(G61&lt;&gt;"","Contacted","New"))))</f>
        <v>Enrolled</v>
      </c>
      <c r="M61" s="32" t="n">
        <f aca="false">IF(G61="","",G61-B61)</f>
        <v>5</v>
      </c>
      <c r="N61" s="24" t="str">
        <f aca="false">IF(COUNTIF($A$2:A61,A61)&gt;1,"Duplicate ID",IF(C61="","Missing source",IF(OR(AND(G61&lt;&gt;"",G61&lt;B61),AND(H61&lt;&gt;"",H61&lt;B61),AND(I61&lt;&gt;"",I61&lt;H61),AND(J61&lt;&gt;"",J61&lt;I61)),"Date error","OK")))</f>
        <v>OK</v>
      </c>
    </row>
    <row r="62" customFormat="false" ht="15" hidden="false" customHeight="false" outlineLevel="0" collapsed="false">
      <c r="A62" s="24" t="s">
        <v>143</v>
      </c>
      <c r="B62" s="31" t="n">
        <v>46098</v>
      </c>
      <c r="C62" s="24" t="s">
        <v>26</v>
      </c>
      <c r="D62" s="24" t="s">
        <v>34</v>
      </c>
      <c r="E62" s="24" t="s">
        <v>89</v>
      </c>
      <c r="F62" s="24" t="s">
        <v>40</v>
      </c>
      <c r="G62" s="31" t="n">
        <v>46098</v>
      </c>
      <c r="H62" s="31" t="n">
        <v>46097</v>
      </c>
      <c r="I62" s="31" t="n">
        <v>46128</v>
      </c>
      <c r="J62" s="24"/>
      <c r="K62" s="24" t="n">
        <v>2</v>
      </c>
      <c r="L62" s="24" t="str">
        <f aca="false">IF(J62&lt;&gt;"","Enrolled",IF(I62&lt;&gt;"","Admitted",IF(H62&lt;&gt;"","Applied",IF(G62&lt;&gt;"","Contacted","New"))))</f>
        <v>Admitted</v>
      </c>
      <c r="M62" s="32" t="n">
        <f aca="false">IF(G62="","",G62-B62)</f>
        <v>0</v>
      </c>
      <c r="N62" s="24" t="str">
        <f aca="false">IF(COUNTIF($A$2:A62,A62)&gt;1,"Duplicate ID",IF(C62="","Missing source",IF(OR(AND(G62&lt;&gt;"",G62&lt;B62),AND(H62&lt;&gt;"",H62&lt;B62),AND(I62&lt;&gt;"",I62&lt;H62),AND(J62&lt;&gt;"",J62&lt;I62)),"Date error","OK")))</f>
        <v>Date error</v>
      </c>
    </row>
    <row r="63" customFormat="false" ht="15" hidden="false" customHeight="false" outlineLevel="0" collapsed="false">
      <c r="A63" s="24" t="s">
        <v>144</v>
      </c>
      <c r="B63" s="31" t="n">
        <v>46099</v>
      </c>
      <c r="C63" s="24" t="s">
        <v>26</v>
      </c>
      <c r="D63" s="24" t="s">
        <v>33</v>
      </c>
      <c r="E63" s="24" t="s">
        <v>89</v>
      </c>
      <c r="F63" s="24" t="s">
        <v>40</v>
      </c>
      <c r="G63" s="31" t="n">
        <v>46099</v>
      </c>
      <c r="H63" s="24"/>
      <c r="I63" s="24"/>
      <c r="J63" s="24"/>
      <c r="K63" s="24" t="n">
        <v>0</v>
      </c>
      <c r="L63" s="24" t="str">
        <f aca="false">IF(J63&lt;&gt;"","Enrolled",IF(I63&lt;&gt;"","Admitted",IF(H63&lt;&gt;"","Applied",IF(G63&lt;&gt;"","Contacted","New"))))</f>
        <v>Contacted</v>
      </c>
      <c r="M63" s="32" t="n">
        <f aca="false">IF(G63="","",G63-B63)</f>
        <v>0</v>
      </c>
      <c r="N63" s="24" t="str">
        <f aca="false">IF(COUNTIF($A$2:A63,A63)&gt;1,"Duplicate ID",IF(C63="","Missing source",IF(OR(AND(G63&lt;&gt;"",G63&lt;B63),AND(H63&lt;&gt;"",H63&lt;B63),AND(I63&lt;&gt;"",I63&lt;H63),AND(J63&lt;&gt;"",J63&lt;I63)),"Date error","OK")))</f>
        <v>OK</v>
      </c>
    </row>
    <row r="64" customFormat="false" ht="15" hidden="false" customHeight="false" outlineLevel="0" collapsed="false">
      <c r="A64" s="24" t="s">
        <v>145</v>
      </c>
      <c r="B64" s="31" t="n">
        <v>46099</v>
      </c>
      <c r="C64" s="24" t="s">
        <v>22</v>
      </c>
      <c r="D64" s="24" t="s">
        <v>35</v>
      </c>
      <c r="E64" s="24" t="s">
        <v>94</v>
      </c>
      <c r="F64" s="24" t="s">
        <v>44</v>
      </c>
      <c r="G64" s="24"/>
      <c r="H64" s="24"/>
      <c r="I64" s="24"/>
      <c r="J64" s="24"/>
      <c r="K64" s="24" t="n">
        <v>0</v>
      </c>
      <c r="L64" s="24" t="str">
        <f aca="false">IF(J64&lt;&gt;"","Enrolled",IF(I64&lt;&gt;"","Admitted",IF(H64&lt;&gt;"","Applied",IF(G64&lt;&gt;"","Contacted","New"))))</f>
        <v>New</v>
      </c>
      <c r="M64" s="32" t="str">
        <f aca="false">IF(G64="","",G64-B64)</f>
        <v/>
      </c>
      <c r="N64" s="24" t="str">
        <f aca="false">IF(COUNTIF($A$2:A64,A64)&gt;1,"Duplicate ID",IF(C64="","Missing source",IF(OR(AND(G64&lt;&gt;"",G64&lt;B64),AND(H64&lt;&gt;"",H64&lt;B64),AND(I64&lt;&gt;"",I64&lt;H64),AND(J64&lt;&gt;"",J64&lt;I64)),"Date error","OK")))</f>
        <v>OK</v>
      </c>
    </row>
    <row r="65" customFormat="false" ht="15" hidden="false" customHeight="false" outlineLevel="0" collapsed="false">
      <c r="A65" s="24" t="s">
        <v>146</v>
      </c>
      <c r="B65" s="31" t="n">
        <v>46099</v>
      </c>
      <c r="C65" s="24" t="s">
        <v>27</v>
      </c>
      <c r="D65" s="24" t="s">
        <v>32</v>
      </c>
      <c r="E65" s="24" t="s">
        <v>94</v>
      </c>
      <c r="F65" s="24" t="s">
        <v>41</v>
      </c>
      <c r="G65" s="31" t="n">
        <v>46099</v>
      </c>
      <c r="H65" s="24"/>
      <c r="I65" s="24"/>
      <c r="J65" s="24"/>
      <c r="K65" s="24" t="n">
        <v>4</v>
      </c>
      <c r="L65" s="24" t="str">
        <f aca="false">IF(J65&lt;&gt;"","Enrolled",IF(I65&lt;&gt;"","Admitted",IF(H65&lt;&gt;"","Applied",IF(G65&lt;&gt;"","Contacted","New"))))</f>
        <v>Contacted</v>
      </c>
      <c r="M65" s="32" t="n">
        <f aca="false">IF(G65="","",G65-B65)</f>
        <v>0</v>
      </c>
      <c r="N65" s="24" t="str">
        <f aca="false">IF(COUNTIF($A$2:A65,A65)&gt;1,"Duplicate ID",IF(C65="","Missing source",IF(OR(AND(G65&lt;&gt;"",G65&lt;B65),AND(H65&lt;&gt;"",H65&lt;B65),AND(I65&lt;&gt;"",I65&lt;H65),AND(J65&lt;&gt;"",J65&lt;I65)),"Date error","OK")))</f>
        <v>OK</v>
      </c>
    </row>
    <row r="66" customFormat="false" ht="15" hidden="false" customHeight="false" outlineLevel="0" collapsed="false">
      <c r="A66" s="24" t="s">
        <v>147</v>
      </c>
      <c r="B66" s="31" t="n">
        <v>46099</v>
      </c>
      <c r="C66" s="24" t="s">
        <v>25</v>
      </c>
      <c r="D66" s="24" t="s">
        <v>35</v>
      </c>
      <c r="E66" s="24" t="s">
        <v>79</v>
      </c>
      <c r="F66" s="24" t="s">
        <v>45</v>
      </c>
      <c r="G66" s="31" t="n">
        <v>46101</v>
      </c>
      <c r="H66" s="24"/>
      <c r="I66" s="24"/>
      <c r="J66" s="24"/>
      <c r="K66" s="24" t="n">
        <v>5</v>
      </c>
      <c r="L66" s="24" t="str">
        <f aca="false">IF(J66&lt;&gt;"","Enrolled",IF(I66&lt;&gt;"","Admitted",IF(H66&lt;&gt;"","Applied",IF(G66&lt;&gt;"","Contacted","New"))))</f>
        <v>Contacted</v>
      </c>
      <c r="M66" s="32" t="n">
        <f aca="false">IF(G66="","",G66-B66)</f>
        <v>2</v>
      </c>
      <c r="N66" s="24" t="str">
        <f aca="false">IF(COUNTIF($A$2:A66,A66)&gt;1,"Duplicate ID",IF(C66="","Missing source",IF(OR(AND(G66&lt;&gt;"",G66&lt;B66),AND(H66&lt;&gt;"",H66&lt;B66),AND(I66&lt;&gt;"",I66&lt;H66),AND(J66&lt;&gt;"",J66&lt;I66)),"Date error","OK")))</f>
        <v>OK</v>
      </c>
    </row>
    <row r="67" customFormat="false" ht="15" hidden="false" customHeight="false" outlineLevel="0" collapsed="false">
      <c r="A67" s="24" t="s">
        <v>148</v>
      </c>
      <c r="B67" s="31" t="n">
        <v>46100</v>
      </c>
      <c r="C67" s="24" t="s">
        <v>27</v>
      </c>
      <c r="D67" s="24" t="s">
        <v>32</v>
      </c>
      <c r="E67" s="24" t="s">
        <v>79</v>
      </c>
      <c r="F67" s="24" t="s">
        <v>45</v>
      </c>
      <c r="G67" s="31" t="n">
        <v>46101</v>
      </c>
      <c r="H67" s="24"/>
      <c r="I67" s="24"/>
      <c r="J67" s="24"/>
      <c r="K67" s="24" t="n">
        <v>1</v>
      </c>
      <c r="L67" s="24" t="str">
        <f aca="false">IF(J67&lt;&gt;"","Enrolled",IF(I67&lt;&gt;"","Admitted",IF(H67&lt;&gt;"","Applied",IF(G67&lt;&gt;"","Contacted","New"))))</f>
        <v>Contacted</v>
      </c>
      <c r="M67" s="32" t="n">
        <f aca="false">IF(G67="","",G67-B67)</f>
        <v>1</v>
      </c>
      <c r="N67" s="24" t="str">
        <f aca="false">IF(COUNTIF($A$2:A67,A67)&gt;1,"Duplicate ID",IF(C67="","Missing source",IF(OR(AND(G67&lt;&gt;"",G67&lt;B67),AND(H67&lt;&gt;"",H67&lt;B67),AND(I67&lt;&gt;"",I67&lt;H67),AND(J67&lt;&gt;"",J67&lt;I67)),"Date error","OK")))</f>
        <v>OK</v>
      </c>
    </row>
    <row r="68" customFormat="false" ht="15" hidden="false" customHeight="false" outlineLevel="0" collapsed="false">
      <c r="A68" s="24" t="s">
        <v>149</v>
      </c>
      <c r="B68" s="31" t="n">
        <v>46100</v>
      </c>
      <c r="C68" s="24" t="s">
        <v>22</v>
      </c>
      <c r="D68" s="24" t="s">
        <v>34</v>
      </c>
      <c r="E68" s="24" t="s">
        <v>94</v>
      </c>
      <c r="F68" s="24" t="s">
        <v>42</v>
      </c>
      <c r="G68" s="31" t="n">
        <v>46101</v>
      </c>
      <c r="H68" s="24"/>
      <c r="I68" s="24"/>
      <c r="J68" s="24"/>
      <c r="K68" s="24" t="n">
        <v>3</v>
      </c>
      <c r="L68" s="24" t="str">
        <f aca="false">IF(J68&lt;&gt;"","Enrolled",IF(I68&lt;&gt;"","Admitted",IF(H68&lt;&gt;"","Applied",IF(G68&lt;&gt;"","Contacted","New"))))</f>
        <v>Contacted</v>
      </c>
      <c r="M68" s="32" t="n">
        <f aca="false">IF(G68="","",G68-B68)</f>
        <v>1</v>
      </c>
      <c r="N68" s="24" t="str">
        <f aca="false">IF(COUNTIF($A$2:A68,A68)&gt;1,"Duplicate ID",IF(C68="","Missing source",IF(OR(AND(G68&lt;&gt;"",G68&lt;B68),AND(H68&lt;&gt;"",H68&lt;B68),AND(I68&lt;&gt;"",I68&lt;H68),AND(J68&lt;&gt;"",J68&lt;I68)),"Date error","OK")))</f>
        <v>OK</v>
      </c>
    </row>
    <row r="69" customFormat="false" ht="15" hidden="false" customHeight="false" outlineLevel="0" collapsed="false">
      <c r="A69" s="24" t="s">
        <v>150</v>
      </c>
      <c r="B69" s="31" t="n">
        <v>46100</v>
      </c>
      <c r="C69" s="24" t="s">
        <v>23</v>
      </c>
      <c r="D69" s="24" t="s">
        <v>35</v>
      </c>
      <c r="E69" s="24" t="s">
        <v>79</v>
      </c>
      <c r="F69" s="24" t="s">
        <v>40</v>
      </c>
      <c r="G69" s="31" t="n">
        <v>46101</v>
      </c>
      <c r="H69" s="24"/>
      <c r="I69" s="24"/>
      <c r="J69" s="24"/>
      <c r="K69" s="24" t="n">
        <v>3</v>
      </c>
      <c r="L69" s="24" t="str">
        <f aca="false">IF(J69&lt;&gt;"","Enrolled",IF(I69&lt;&gt;"","Admitted",IF(H69&lt;&gt;"","Applied",IF(G69&lt;&gt;"","Contacted","New"))))</f>
        <v>Contacted</v>
      </c>
      <c r="M69" s="32" t="n">
        <f aca="false">IF(G69="","",G69-B69)</f>
        <v>1</v>
      </c>
      <c r="N69" s="24" t="str">
        <f aca="false">IF(COUNTIF($A$2:A69,A69)&gt;1,"Duplicate ID",IF(C69="","Missing source",IF(OR(AND(G69&lt;&gt;"",G69&lt;B69),AND(H69&lt;&gt;"",H69&lt;B69),AND(I69&lt;&gt;"",I69&lt;H69),AND(J69&lt;&gt;"",J69&lt;I69)),"Date error","OK")))</f>
        <v>OK</v>
      </c>
    </row>
    <row r="70" customFormat="false" ht="15" hidden="false" customHeight="false" outlineLevel="0" collapsed="false">
      <c r="A70" s="24" t="s">
        <v>151</v>
      </c>
      <c r="B70" s="31" t="n">
        <v>46100</v>
      </c>
      <c r="C70" s="24" t="s">
        <v>26</v>
      </c>
      <c r="D70" s="24" t="s">
        <v>35</v>
      </c>
      <c r="E70" s="24" t="s">
        <v>89</v>
      </c>
      <c r="F70" s="24" t="s">
        <v>43</v>
      </c>
      <c r="G70" s="31" t="n">
        <v>46100</v>
      </c>
      <c r="H70" s="24"/>
      <c r="I70" s="24"/>
      <c r="J70" s="24"/>
      <c r="K70" s="24" t="n">
        <v>2</v>
      </c>
      <c r="L70" s="24" t="str">
        <f aca="false">IF(J70&lt;&gt;"","Enrolled",IF(I70&lt;&gt;"","Admitted",IF(H70&lt;&gt;"","Applied",IF(G70&lt;&gt;"","Contacted","New"))))</f>
        <v>Contacted</v>
      </c>
      <c r="M70" s="32" t="n">
        <f aca="false">IF(G70="","",G70-B70)</f>
        <v>0</v>
      </c>
      <c r="N70" s="24" t="str">
        <f aca="false">IF(COUNTIF($A$2:A70,A70)&gt;1,"Duplicate ID",IF(C70="","Missing source",IF(OR(AND(G70&lt;&gt;"",G70&lt;B70),AND(H70&lt;&gt;"",H70&lt;B70),AND(I70&lt;&gt;"",I70&lt;H70),AND(J70&lt;&gt;"",J70&lt;I70)),"Date error","OK")))</f>
        <v>OK</v>
      </c>
    </row>
    <row r="71" customFormat="false" ht="15" hidden="false" customHeight="false" outlineLevel="0" collapsed="false">
      <c r="A71" s="24" t="s">
        <v>152</v>
      </c>
      <c r="B71" s="31" t="n">
        <v>46100</v>
      </c>
      <c r="C71" s="24" t="s">
        <v>26</v>
      </c>
      <c r="D71" s="24" t="s">
        <v>33</v>
      </c>
      <c r="E71" s="24" t="s">
        <v>89</v>
      </c>
      <c r="F71" s="24" t="s">
        <v>40</v>
      </c>
      <c r="G71" s="31" t="n">
        <v>46100</v>
      </c>
      <c r="H71" s="24"/>
      <c r="I71" s="24"/>
      <c r="J71" s="24"/>
      <c r="K71" s="24" t="n">
        <v>1</v>
      </c>
      <c r="L71" s="24" t="str">
        <f aca="false">IF(J71&lt;&gt;"","Enrolled",IF(I71&lt;&gt;"","Admitted",IF(H71&lt;&gt;"","Applied",IF(G71&lt;&gt;"","Contacted","New"))))</f>
        <v>Contacted</v>
      </c>
      <c r="M71" s="32" t="n">
        <f aca="false">IF(G71="","",G71-B71)</f>
        <v>0</v>
      </c>
      <c r="N71" s="24" t="str">
        <f aca="false">IF(COUNTIF($A$2:A71,A71)&gt;1,"Duplicate ID",IF(C71="","Missing source",IF(OR(AND(G71&lt;&gt;"",G71&lt;B71),AND(H71&lt;&gt;"",H71&lt;B71),AND(I71&lt;&gt;"",I71&lt;H71),AND(J71&lt;&gt;"",J71&lt;I71)),"Date error","OK")))</f>
        <v>OK</v>
      </c>
    </row>
    <row r="72" customFormat="false" ht="15" hidden="false" customHeight="false" outlineLevel="0" collapsed="false">
      <c r="A72" s="24" t="s">
        <v>153</v>
      </c>
      <c r="B72" s="31" t="n">
        <v>46101</v>
      </c>
      <c r="C72" s="24" t="s">
        <v>24</v>
      </c>
      <c r="D72" s="24" t="s">
        <v>33</v>
      </c>
      <c r="E72" s="24" t="s">
        <v>89</v>
      </c>
      <c r="F72" s="24" t="s">
        <v>42</v>
      </c>
      <c r="G72" s="31" t="n">
        <v>46104</v>
      </c>
      <c r="H72" s="24"/>
      <c r="I72" s="24"/>
      <c r="J72" s="24"/>
      <c r="K72" s="24" t="n">
        <v>1</v>
      </c>
      <c r="L72" s="24" t="str">
        <f aca="false">IF(J72&lt;&gt;"","Enrolled",IF(I72&lt;&gt;"","Admitted",IF(H72&lt;&gt;"","Applied",IF(G72&lt;&gt;"","Contacted","New"))))</f>
        <v>Contacted</v>
      </c>
      <c r="M72" s="32" t="n">
        <f aca="false">IF(G72="","",G72-B72)</f>
        <v>3</v>
      </c>
      <c r="N72" s="24" t="str">
        <f aca="false">IF(COUNTIF($A$2:A72,A72)&gt;1,"Duplicate ID",IF(C72="","Missing source",IF(OR(AND(G72&lt;&gt;"",G72&lt;B72),AND(H72&lt;&gt;"",H72&lt;B72),AND(I72&lt;&gt;"",I72&lt;H72),AND(J72&lt;&gt;"",J72&lt;I72)),"Date error","OK")))</f>
        <v>OK</v>
      </c>
    </row>
    <row r="73" customFormat="false" ht="15" hidden="false" customHeight="false" outlineLevel="0" collapsed="false">
      <c r="A73" s="24" t="s">
        <v>154</v>
      </c>
      <c r="B73" s="31" t="n">
        <v>46101</v>
      </c>
      <c r="C73" s="24" t="s">
        <v>23</v>
      </c>
      <c r="D73" s="24" t="s">
        <v>32</v>
      </c>
      <c r="E73" s="24" t="s">
        <v>89</v>
      </c>
      <c r="F73" s="24" t="s">
        <v>43</v>
      </c>
      <c r="G73" s="31" t="n">
        <v>46102</v>
      </c>
      <c r="H73" s="24"/>
      <c r="I73" s="24"/>
      <c r="J73" s="24"/>
      <c r="K73" s="24" t="n">
        <v>5</v>
      </c>
      <c r="L73" s="24" t="str">
        <f aca="false">IF(J73&lt;&gt;"","Enrolled",IF(I73&lt;&gt;"","Admitted",IF(H73&lt;&gt;"","Applied",IF(G73&lt;&gt;"","Contacted","New"))))</f>
        <v>Contacted</v>
      </c>
      <c r="M73" s="32" t="n">
        <f aca="false">IF(G73="","",G73-B73)</f>
        <v>1</v>
      </c>
      <c r="N73" s="24" t="str">
        <f aca="false">IF(COUNTIF($A$2:A73,A73)&gt;1,"Duplicate ID",IF(C73="","Missing source",IF(OR(AND(G73&lt;&gt;"",G73&lt;B73),AND(H73&lt;&gt;"",H73&lt;B73),AND(I73&lt;&gt;"",I73&lt;H73),AND(J73&lt;&gt;"",J73&lt;I73)),"Date error","OK")))</f>
        <v>OK</v>
      </c>
    </row>
    <row r="74" customFormat="false" ht="15" hidden="false" customHeight="false" outlineLevel="0" collapsed="false">
      <c r="A74" s="24" t="s">
        <v>155</v>
      </c>
      <c r="B74" s="31" t="n">
        <v>46101</v>
      </c>
      <c r="C74" s="24" t="s">
        <v>27</v>
      </c>
      <c r="D74" s="24" t="s">
        <v>33</v>
      </c>
      <c r="E74" s="24" t="s">
        <v>79</v>
      </c>
      <c r="F74" s="24" t="s">
        <v>44</v>
      </c>
      <c r="G74" s="31" t="n">
        <v>46101</v>
      </c>
      <c r="H74" s="24"/>
      <c r="I74" s="24"/>
      <c r="J74" s="24"/>
      <c r="K74" s="24" t="n">
        <v>0</v>
      </c>
      <c r="L74" s="24" t="str">
        <f aca="false">IF(J74&lt;&gt;"","Enrolled",IF(I74&lt;&gt;"","Admitted",IF(H74&lt;&gt;"","Applied",IF(G74&lt;&gt;"","Contacted","New"))))</f>
        <v>Contacted</v>
      </c>
      <c r="M74" s="32" t="n">
        <f aca="false">IF(G74="","",G74-B74)</f>
        <v>0</v>
      </c>
      <c r="N74" s="24" t="str">
        <f aca="false">IF(COUNTIF($A$2:A74,A74)&gt;1,"Duplicate ID",IF(C74="","Missing source",IF(OR(AND(G74&lt;&gt;"",G74&lt;B74),AND(H74&lt;&gt;"",H74&lt;B74),AND(I74&lt;&gt;"",I74&lt;H74),AND(J74&lt;&gt;"",J74&lt;I74)),"Date error","OK")))</f>
        <v>OK</v>
      </c>
    </row>
    <row r="75" customFormat="false" ht="15" hidden="false" customHeight="false" outlineLevel="0" collapsed="false">
      <c r="A75" s="24" t="s">
        <v>156</v>
      </c>
      <c r="B75" s="31" t="n">
        <v>46102</v>
      </c>
      <c r="C75" s="24" t="s">
        <v>24</v>
      </c>
      <c r="D75" s="24" t="s">
        <v>34</v>
      </c>
      <c r="E75" s="24" t="s">
        <v>89</v>
      </c>
      <c r="F75" s="24" t="s">
        <v>42</v>
      </c>
      <c r="G75" s="31" t="n">
        <v>46103</v>
      </c>
      <c r="H75" s="24"/>
      <c r="I75" s="24"/>
      <c r="J75" s="24"/>
      <c r="K75" s="24" t="n">
        <v>2</v>
      </c>
      <c r="L75" s="24" t="str">
        <f aca="false">IF(J75&lt;&gt;"","Enrolled",IF(I75&lt;&gt;"","Admitted",IF(H75&lt;&gt;"","Applied",IF(G75&lt;&gt;"","Contacted","New"))))</f>
        <v>Contacted</v>
      </c>
      <c r="M75" s="32" t="n">
        <f aca="false">IF(G75="","",G75-B75)</f>
        <v>1</v>
      </c>
      <c r="N75" s="24" t="str">
        <f aca="false">IF(COUNTIF($A$2:A75,A75)&gt;1,"Duplicate ID",IF(C75="","Missing source",IF(OR(AND(G75&lt;&gt;"",G75&lt;B75),AND(H75&lt;&gt;"",H75&lt;B75),AND(I75&lt;&gt;"",I75&lt;H75),AND(J75&lt;&gt;"",J75&lt;I75)),"Date error","OK")))</f>
        <v>OK</v>
      </c>
    </row>
    <row r="76" customFormat="false" ht="15" hidden="false" customHeight="false" outlineLevel="0" collapsed="false">
      <c r="A76" s="24" t="s">
        <v>157</v>
      </c>
      <c r="B76" s="31" t="n">
        <v>46102</v>
      </c>
      <c r="C76" s="24" t="s">
        <v>25</v>
      </c>
      <c r="D76" s="24" t="s">
        <v>36</v>
      </c>
      <c r="E76" s="24" t="s">
        <v>79</v>
      </c>
      <c r="F76" s="24" t="s">
        <v>42</v>
      </c>
      <c r="G76" s="31" t="n">
        <v>46104</v>
      </c>
      <c r="H76" s="24"/>
      <c r="I76" s="24"/>
      <c r="J76" s="24"/>
      <c r="K76" s="24" t="n">
        <v>2</v>
      </c>
      <c r="L76" s="24" t="str">
        <f aca="false">IF(J76&lt;&gt;"","Enrolled",IF(I76&lt;&gt;"","Admitted",IF(H76&lt;&gt;"","Applied",IF(G76&lt;&gt;"","Contacted","New"))))</f>
        <v>Contacted</v>
      </c>
      <c r="M76" s="32" t="n">
        <f aca="false">IF(G76="","",G76-B76)</f>
        <v>2</v>
      </c>
      <c r="N76" s="24" t="str">
        <f aca="false">IF(COUNTIF($A$2:A76,A76)&gt;1,"Duplicate ID",IF(C76="","Missing source",IF(OR(AND(G76&lt;&gt;"",G76&lt;B76),AND(H76&lt;&gt;"",H76&lt;B76),AND(I76&lt;&gt;"",I76&lt;H76),AND(J76&lt;&gt;"",J76&lt;I76)),"Date error","OK")))</f>
        <v>OK</v>
      </c>
    </row>
    <row r="77" customFormat="false" ht="15" hidden="false" customHeight="false" outlineLevel="0" collapsed="false">
      <c r="A77" s="24" t="s">
        <v>158</v>
      </c>
      <c r="B77" s="31" t="n">
        <v>46102</v>
      </c>
      <c r="C77" s="24" t="s">
        <v>23</v>
      </c>
      <c r="D77" s="24" t="s">
        <v>36</v>
      </c>
      <c r="E77" s="24" t="s">
        <v>94</v>
      </c>
      <c r="F77" s="24" t="s">
        <v>45</v>
      </c>
      <c r="G77" s="31" t="n">
        <v>46102</v>
      </c>
      <c r="H77" s="24"/>
      <c r="I77" s="24"/>
      <c r="J77" s="24"/>
      <c r="K77" s="24" t="n">
        <v>2</v>
      </c>
      <c r="L77" s="24" t="str">
        <f aca="false">IF(J77&lt;&gt;"","Enrolled",IF(I77&lt;&gt;"","Admitted",IF(H77&lt;&gt;"","Applied",IF(G77&lt;&gt;"","Contacted","New"))))</f>
        <v>Contacted</v>
      </c>
      <c r="M77" s="32" t="n">
        <f aca="false">IF(G77="","",G77-B77)</f>
        <v>0</v>
      </c>
      <c r="N77" s="24" t="str">
        <f aca="false">IF(COUNTIF($A$2:A77,A77)&gt;1,"Duplicate ID",IF(C77="","Missing source",IF(OR(AND(G77&lt;&gt;"",G77&lt;B77),AND(H77&lt;&gt;"",H77&lt;B77),AND(I77&lt;&gt;"",I77&lt;H77),AND(J77&lt;&gt;"",J77&lt;I77)),"Date error","OK")))</f>
        <v>OK</v>
      </c>
    </row>
    <row r="78" customFormat="false" ht="15" hidden="false" customHeight="false" outlineLevel="0" collapsed="false">
      <c r="A78" s="24" t="s">
        <v>159</v>
      </c>
      <c r="B78" s="31" t="n">
        <v>46102</v>
      </c>
      <c r="C78" s="24" t="s">
        <v>27</v>
      </c>
      <c r="D78" s="24" t="s">
        <v>33</v>
      </c>
      <c r="E78" s="24" t="s">
        <v>89</v>
      </c>
      <c r="F78" s="24" t="s">
        <v>43</v>
      </c>
      <c r="G78" s="24"/>
      <c r="H78" s="24"/>
      <c r="I78" s="24"/>
      <c r="J78" s="24"/>
      <c r="K78" s="24" t="n">
        <v>0</v>
      </c>
      <c r="L78" s="24" t="str">
        <f aca="false">IF(J78&lt;&gt;"","Enrolled",IF(I78&lt;&gt;"","Admitted",IF(H78&lt;&gt;"","Applied",IF(G78&lt;&gt;"","Contacted","New"))))</f>
        <v>New</v>
      </c>
      <c r="M78" s="32" t="str">
        <f aca="false">IF(G78="","",G78-B78)</f>
        <v/>
      </c>
      <c r="N78" s="24" t="str">
        <f aca="false">IF(COUNTIF($A$2:A78,A78)&gt;1,"Duplicate ID",IF(C78="","Missing source",IF(OR(AND(G78&lt;&gt;"",G78&lt;B78),AND(H78&lt;&gt;"",H78&lt;B78),AND(I78&lt;&gt;"",I78&lt;H78),AND(J78&lt;&gt;"",J78&lt;I78)),"Date error","OK")))</f>
        <v>OK</v>
      </c>
    </row>
    <row r="79" customFormat="false" ht="15" hidden="false" customHeight="false" outlineLevel="0" collapsed="false">
      <c r="A79" s="24" t="s">
        <v>160</v>
      </c>
      <c r="B79" s="31" t="n">
        <v>46103</v>
      </c>
      <c r="C79" s="24" t="s">
        <v>25</v>
      </c>
      <c r="D79" s="24" t="s">
        <v>36</v>
      </c>
      <c r="E79" s="24" t="s">
        <v>89</v>
      </c>
      <c r="F79" s="24" t="s">
        <v>43</v>
      </c>
      <c r="G79" s="31" t="n">
        <v>46103</v>
      </c>
      <c r="H79" s="24"/>
      <c r="I79" s="24"/>
      <c r="J79" s="24"/>
      <c r="K79" s="24" t="n">
        <v>3</v>
      </c>
      <c r="L79" s="24" t="str">
        <f aca="false">IF(J79&lt;&gt;"","Enrolled",IF(I79&lt;&gt;"","Admitted",IF(H79&lt;&gt;"","Applied",IF(G79&lt;&gt;"","Contacted","New"))))</f>
        <v>Contacted</v>
      </c>
      <c r="M79" s="32" t="n">
        <f aca="false">IF(G79="","",G79-B79)</f>
        <v>0</v>
      </c>
      <c r="N79" s="24" t="str">
        <f aca="false">IF(COUNTIF($A$2:A79,A79)&gt;1,"Duplicate ID",IF(C79="","Missing source",IF(OR(AND(G79&lt;&gt;"",G79&lt;B79),AND(H79&lt;&gt;"",H79&lt;B79),AND(I79&lt;&gt;"",I79&lt;H79),AND(J79&lt;&gt;"",J79&lt;I79)),"Date error","OK")))</f>
        <v>OK</v>
      </c>
    </row>
    <row r="80" customFormat="false" ht="15" hidden="false" customHeight="false" outlineLevel="0" collapsed="false">
      <c r="A80" s="24" t="s">
        <v>161</v>
      </c>
      <c r="B80" s="31" t="n">
        <v>46103</v>
      </c>
      <c r="C80" s="24" t="s">
        <v>25</v>
      </c>
      <c r="D80" s="24" t="s">
        <v>36</v>
      </c>
      <c r="E80" s="24" t="s">
        <v>94</v>
      </c>
      <c r="F80" s="24" t="s">
        <v>45</v>
      </c>
      <c r="G80" s="31" t="n">
        <v>46105</v>
      </c>
      <c r="H80" s="24"/>
      <c r="I80" s="24"/>
      <c r="J80" s="24"/>
      <c r="K80" s="24" t="n">
        <v>2</v>
      </c>
      <c r="L80" s="24" t="str">
        <f aca="false">IF(J80&lt;&gt;"","Enrolled",IF(I80&lt;&gt;"","Admitted",IF(H80&lt;&gt;"","Applied",IF(G80&lt;&gt;"","Contacted","New"))))</f>
        <v>Contacted</v>
      </c>
      <c r="M80" s="32" t="n">
        <f aca="false">IF(G80="","",G80-B80)</f>
        <v>2</v>
      </c>
      <c r="N80" s="24" t="str">
        <f aca="false">IF(COUNTIF($A$2:A80,A80)&gt;1,"Duplicate ID",IF(C80="","Missing source",IF(OR(AND(G80&lt;&gt;"",G80&lt;B80),AND(H80&lt;&gt;"",H80&lt;B80),AND(I80&lt;&gt;"",I80&lt;H80),AND(J80&lt;&gt;"",J80&lt;I80)),"Date error","OK")))</f>
        <v>OK</v>
      </c>
    </row>
    <row r="81" customFormat="false" ht="15" hidden="false" customHeight="false" outlineLevel="0" collapsed="false">
      <c r="A81" s="24" t="s">
        <v>162</v>
      </c>
      <c r="B81" s="31" t="n">
        <v>46104</v>
      </c>
      <c r="C81" s="24" t="s">
        <v>22</v>
      </c>
      <c r="D81" s="24" t="s">
        <v>32</v>
      </c>
      <c r="E81" s="24" t="s">
        <v>94</v>
      </c>
      <c r="F81" s="24" t="s">
        <v>41</v>
      </c>
      <c r="G81" s="31" t="n">
        <v>46105</v>
      </c>
      <c r="H81" s="31" t="n">
        <v>46129</v>
      </c>
      <c r="I81" s="31" t="n">
        <v>46134</v>
      </c>
      <c r="J81" s="31" t="n">
        <v>46153</v>
      </c>
      <c r="K81" s="24" t="n">
        <v>2</v>
      </c>
      <c r="L81" s="24" t="str">
        <f aca="false">IF(J81&lt;&gt;"","Enrolled",IF(I81&lt;&gt;"","Admitted",IF(H81&lt;&gt;"","Applied",IF(G81&lt;&gt;"","Contacted","New"))))</f>
        <v>Enrolled</v>
      </c>
      <c r="M81" s="32" t="n">
        <f aca="false">IF(G81="","",G81-B81)</f>
        <v>1</v>
      </c>
      <c r="N81" s="24" t="str">
        <f aca="false">IF(COUNTIF($A$2:A81,A81)&gt;1,"Duplicate ID",IF(C81="","Missing source",IF(OR(AND(G81&lt;&gt;"",G81&lt;B81),AND(H81&lt;&gt;"",H81&lt;B81),AND(I81&lt;&gt;"",I81&lt;H81),AND(J81&lt;&gt;"",J81&lt;I81)),"Date error","OK")))</f>
        <v>OK</v>
      </c>
    </row>
    <row r="82" customFormat="false" ht="15" hidden="false" customHeight="false" outlineLevel="0" collapsed="false">
      <c r="A82" s="24" t="s">
        <v>163</v>
      </c>
      <c r="B82" s="31" t="n">
        <v>46104</v>
      </c>
      <c r="C82" s="24" t="s">
        <v>26</v>
      </c>
      <c r="D82" s="24" t="s">
        <v>36</v>
      </c>
      <c r="E82" s="24" t="s">
        <v>94</v>
      </c>
      <c r="F82" s="24" t="s">
        <v>45</v>
      </c>
      <c r="G82" s="24"/>
      <c r="H82" s="24"/>
      <c r="I82" s="24"/>
      <c r="J82" s="24"/>
      <c r="K82" s="24" t="n">
        <v>0</v>
      </c>
      <c r="L82" s="24" t="str">
        <f aca="false">IF(J82&lt;&gt;"","Enrolled",IF(I82&lt;&gt;"","Admitted",IF(H82&lt;&gt;"","Applied",IF(G82&lt;&gt;"","Contacted","New"))))</f>
        <v>New</v>
      </c>
      <c r="M82" s="32" t="str">
        <f aca="false">IF(G82="","",G82-B82)</f>
        <v/>
      </c>
      <c r="N82" s="24" t="str">
        <f aca="false">IF(COUNTIF($A$2:A82,A82)&gt;1,"Duplicate ID",IF(C82="","Missing source",IF(OR(AND(G82&lt;&gt;"",G82&lt;B82),AND(H82&lt;&gt;"",H82&lt;B82),AND(I82&lt;&gt;"",I82&lt;H82),AND(J82&lt;&gt;"",J82&lt;I82)),"Date error","OK")))</f>
        <v>OK</v>
      </c>
    </row>
    <row r="83" customFormat="false" ht="15" hidden="false" customHeight="false" outlineLevel="0" collapsed="false">
      <c r="A83" s="24" t="s">
        <v>164</v>
      </c>
      <c r="B83" s="31" t="n">
        <v>46104</v>
      </c>
      <c r="C83" s="24" t="s">
        <v>22</v>
      </c>
      <c r="D83" s="24" t="s">
        <v>36</v>
      </c>
      <c r="E83" s="24" t="s">
        <v>89</v>
      </c>
      <c r="F83" s="24" t="s">
        <v>44</v>
      </c>
      <c r="G83" s="24"/>
      <c r="H83" s="24"/>
      <c r="I83" s="24"/>
      <c r="J83" s="24"/>
      <c r="K83" s="24" t="n">
        <v>0</v>
      </c>
      <c r="L83" s="24" t="str">
        <f aca="false">IF(J83&lt;&gt;"","Enrolled",IF(I83&lt;&gt;"","Admitted",IF(H83&lt;&gt;"","Applied",IF(G83&lt;&gt;"","Contacted","New"))))</f>
        <v>New</v>
      </c>
      <c r="M83" s="32" t="str">
        <f aca="false">IF(G83="","",G83-B83)</f>
        <v/>
      </c>
      <c r="N83" s="24" t="str">
        <f aca="false">IF(COUNTIF($A$2:A83,A83)&gt;1,"Duplicate ID",IF(C83="","Missing source",IF(OR(AND(G83&lt;&gt;"",G83&lt;B83),AND(H83&lt;&gt;"",H83&lt;B83),AND(I83&lt;&gt;"",I83&lt;H83),AND(J83&lt;&gt;"",J83&lt;I83)),"Date error","OK")))</f>
        <v>OK</v>
      </c>
    </row>
    <row r="84" customFormat="false" ht="15" hidden="false" customHeight="false" outlineLevel="0" collapsed="false">
      <c r="A84" s="24" t="s">
        <v>165</v>
      </c>
      <c r="B84" s="31" t="n">
        <v>46104</v>
      </c>
      <c r="C84" s="24" t="s">
        <v>27</v>
      </c>
      <c r="D84" s="24" t="s">
        <v>32</v>
      </c>
      <c r="E84" s="24" t="s">
        <v>94</v>
      </c>
      <c r="F84" s="24" t="s">
        <v>45</v>
      </c>
      <c r="G84" s="31" t="n">
        <v>46107</v>
      </c>
      <c r="H84" s="31" t="n">
        <v>46117</v>
      </c>
      <c r="I84" s="31" t="n">
        <v>46125</v>
      </c>
      <c r="J84" s="31" t="n">
        <v>46157</v>
      </c>
      <c r="K84" s="24" t="n">
        <v>0</v>
      </c>
      <c r="L84" s="24" t="str">
        <f aca="false">IF(J84&lt;&gt;"","Enrolled",IF(I84&lt;&gt;"","Admitted",IF(H84&lt;&gt;"","Applied",IF(G84&lt;&gt;"","Contacted","New"))))</f>
        <v>Enrolled</v>
      </c>
      <c r="M84" s="32" t="n">
        <f aca="false">IF(G84="","",G84-B84)</f>
        <v>3</v>
      </c>
      <c r="N84" s="24" t="str">
        <f aca="false">IF(COUNTIF($A$2:A84,A84)&gt;1,"Duplicate ID",IF(C84="","Missing source",IF(OR(AND(G84&lt;&gt;"",G84&lt;B84),AND(H84&lt;&gt;"",H84&lt;B84),AND(I84&lt;&gt;"",I84&lt;H84),AND(J84&lt;&gt;"",J84&lt;I84)),"Date error","OK")))</f>
        <v>OK</v>
      </c>
    </row>
    <row r="85" customFormat="false" ht="15" hidden="false" customHeight="false" outlineLevel="0" collapsed="false">
      <c r="A85" s="24" t="s">
        <v>166</v>
      </c>
      <c r="B85" s="31" t="n">
        <v>46105</v>
      </c>
      <c r="C85" s="24" t="s">
        <v>27</v>
      </c>
      <c r="D85" s="24" t="s">
        <v>34</v>
      </c>
      <c r="E85" s="24" t="s">
        <v>89</v>
      </c>
      <c r="F85" s="24" t="s">
        <v>41</v>
      </c>
      <c r="G85" s="24"/>
      <c r="H85" s="24"/>
      <c r="I85" s="24"/>
      <c r="J85" s="24"/>
      <c r="K85" s="24" t="n">
        <v>0</v>
      </c>
      <c r="L85" s="24" t="str">
        <f aca="false">IF(J85&lt;&gt;"","Enrolled",IF(I85&lt;&gt;"","Admitted",IF(H85&lt;&gt;"","Applied",IF(G85&lt;&gt;"","Contacted","New"))))</f>
        <v>New</v>
      </c>
      <c r="M85" s="32" t="str">
        <f aca="false">IF(G85="","",G85-B85)</f>
        <v/>
      </c>
      <c r="N85" s="24" t="str">
        <f aca="false">IF(COUNTIF($A$2:A85,A85)&gt;1,"Duplicate ID",IF(C85="","Missing source",IF(OR(AND(G85&lt;&gt;"",G85&lt;B85),AND(H85&lt;&gt;"",H85&lt;B85),AND(I85&lt;&gt;"",I85&lt;H85),AND(J85&lt;&gt;"",J85&lt;I85)),"Date error","OK")))</f>
        <v>OK</v>
      </c>
    </row>
    <row r="86" customFormat="false" ht="15" hidden="false" customHeight="false" outlineLevel="0" collapsed="false">
      <c r="A86" s="24" t="s">
        <v>167</v>
      </c>
      <c r="B86" s="31" t="n">
        <v>46105</v>
      </c>
      <c r="C86" s="24" t="s">
        <v>27</v>
      </c>
      <c r="D86" s="24" t="s">
        <v>34</v>
      </c>
      <c r="E86" s="24" t="s">
        <v>89</v>
      </c>
      <c r="F86" s="24" t="s">
        <v>43</v>
      </c>
      <c r="G86" s="31" t="n">
        <v>46105</v>
      </c>
      <c r="H86" s="24"/>
      <c r="I86" s="24"/>
      <c r="J86" s="24"/>
      <c r="K86" s="24" t="n">
        <v>4</v>
      </c>
      <c r="L86" s="24" t="str">
        <f aca="false">IF(J86&lt;&gt;"","Enrolled",IF(I86&lt;&gt;"","Admitted",IF(H86&lt;&gt;"","Applied",IF(G86&lt;&gt;"","Contacted","New"))))</f>
        <v>Contacted</v>
      </c>
      <c r="M86" s="32" t="n">
        <f aca="false">IF(G86="","",G86-B86)</f>
        <v>0</v>
      </c>
      <c r="N86" s="24" t="str">
        <f aca="false">IF(COUNTIF($A$2:A86,A86)&gt;1,"Duplicate ID",IF(C86="","Missing source",IF(OR(AND(G86&lt;&gt;"",G86&lt;B86),AND(H86&lt;&gt;"",H86&lt;B86),AND(I86&lt;&gt;"",I86&lt;H86),AND(J86&lt;&gt;"",J86&lt;I86)),"Date error","OK")))</f>
        <v>OK</v>
      </c>
    </row>
    <row r="87" customFormat="false" ht="15" hidden="false" customHeight="false" outlineLevel="0" collapsed="false">
      <c r="A87" s="24" t="s">
        <v>168</v>
      </c>
      <c r="B87" s="31" t="n">
        <v>46105</v>
      </c>
      <c r="C87" s="24" t="s">
        <v>25</v>
      </c>
      <c r="D87" s="24" t="s">
        <v>35</v>
      </c>
      <c r="E87" s="24" t="s">
        <v>84</v>
      </c>
      <c r="F87" s="24" t="s">
        <v>45</v>
      </c>
      <c r="G87" s="31" t="n">
        <v>46105</v>
      </c>
      <c r="H87" s="24"/>
      <c r="I87" s="24"/>
      <c r="J87" s="24"/>
      <c r="K87" s="24" t="n">
        <v>4</v>
      </c>
      <c r="L87" s="24" t="str">
        <f aca="false">IF(J87&lt;&gt;"","Enrolled",IF(I87&lt;&gt;"","Admitted",IF(H87&lt;&gt;"","Applied",IF(G87&lt;&gt;"","Contacted","New"))))</f>
        <v>Contacted</v>
      </c>
      <c r="M87" s="32" t="n">
        <f aca="false">IF(G87="","",G87-B87)</f>
        <v>0</v>
      </c>
      <c r="N87" s="24" t="str">
        <f aca="false">IF(COUNTIF($A$2:A87,A87)&gt;1,"Duplicate ID",IF(C87="","Missing source",IF(OR(AND(G87&lt;&gt;"",G87&lt;B87),AND(H87&lt;&gt;"",H87&lt;B87),AND(I87&lt;&gt;"",I87&lt;H87),AND(J87&lt;&gt;"",J87&lt;I87)),"Date error","OK")))</f>
        <v>OK</v>
      </c>
    </row>
    <row r="88" customFormat="false" ht="15" hidden="false" customHeight="false" outlineLevel="0" collapsed="false">
      <c r="A88" s="24" t="s">
        <v>169</v>
      </c>
      <c r="B88" s="31" t="n">
        <v>46105</v>
      </c>
      <c r="C88" s="24" t="s">
        <v>26</v>
      </c>
      <c r="D88" s="24" t="s">
        <v>36</v>
      </c>
      <c r="E88" s="24" t="s">
        <v>81</v>
      </c>
      <c r="F88" s="24" t="s">
        <v>45</v>
      </c>
      <c r="G88" s="24"/>
      <c r="H88" s="24"/>
      <c r="I88" s="24"/>
      <c r="J88" s="24"/>
      <c r="K88" s="24" t="n">
        <v>0</v>
      </c>
      <c r="L88" s="24" t="str">
        <f aca="false">IF(J88&lt;&gt;"","Enrolled",IF(I88&lt;&gt;"","Admitted",IF(H88&lt;&gt;"","Applied",IF(G88&lt;&gt;"","Contacted","New"))))</f>
        <v>New</v>
      </c>
      <c r="M88" s="32" t="str">
        <f aca="false">IF(G88="","",G88-B88)</f>
        <v/>
      </c>
      <c r="N88" s="24" t="str">
        <f aca="false">IF(COUNTIF($A$2:A88,A88)&gt;1,"Duplicate ID",IF(C88="","Missing source",IF(OR(AND(G88&lt;&gt;"",G88&lt;B88),AND(H88&lt;&gt;"",H88&lt;B88),AND(I88&lt;&gt;"",I88&lt;H88),AND(J88&lt;&gt;"",J88&lt;I88)),"Date error","OK")))</f>
        <v>OK</v>
      </c>
    </row>
    <row r="89" customFormat="false" ht="15" hidden="false" customHeight="false" outlineLevel="0" collapsed="false">
      <c r="A89" s="24" t="s">
        <v>170</v>
      </c>
      <c r="B89" s="31" t="n">
        <v>46105</v>
      </c>
      <c r="C89" s="24" t="s">
        <v>26</v>
      </c>
      <c r="D89" s="24" t="s">
        <v>35</v>
      </c>
      <c r="E89" s="24" t="s">
        <v>94</v>
      </c>
      <c r="F89" s="24" t="s">
        <v>41</v>
      </c>
      <c r="G89" s="31" t="n">
        <v>46107</v>
      </c>
      <c r="H89" s="24"/>
      <c r="I89" s="24"/>
      <c r="J89" s="24"/>
      <c r="K89" s="24" t="n">
        <v>3</v>
      </c>
      <c r="L89" s="24" t="str">
        <f aca="false">IF(J89&lt;&gt;"","Enrolled",IF(I89&lt;&gt;"","Admitted",IF(H89&lt;&gt;"","Applied",IF(G89&lt;&gt;"","Contacted","New"))))</f>
        <v>Contacted</v>
      </c>
      <c r="M89" s="32" t="n">
        <f aca="false">IF(G89="","",G89-B89)</f>
        <v>2</v>
      </c>
      <c r="N89" s="24" t="str">
        <f aca="false">IF(COUNTIF($A$2:A89,A89)&gt;1,"Duplicate ID",IF(C89="","Missing source",IF(OR(AND(G89&lt;&gt;"",G89&lt;B89),AND(H89&lt;&gt;"",H89&lt;B89),AND(I89&lt;&gt;"",I89&lt;H89),AND(J89&lt;&gt;"",J89&lt;I89)),"Date error","OK")))</f>
        <v>OK</v>
      </c>
    </row>
    <row r="90" customFormat="false" ht="15" hidden="false" customHeight="false" outlineLevel="0" collapsed="false">
      <c r="A90" s="24" t="s">
        <v>171</v>
      </c>
      <c r="B90" s="31" t="n">
        <v>46105</v>
      </c>
      <c r="C90" s="24" t="s">
        <v>26</v>
      </c>
      <c r="D90" s="24" t="s">
        <v>32</v>
      </c>
      <c r="E90" s="24" t="s">
        <v>89</v>
      </c>
      <c r="F90" s="24" t="s">
        <v>41</v>
      </c>
      <c r="G90" s="31" t="n">
        <v>46106</v>
      </c>
      <c r="H90" s="24"/>
      <c r="I90" s="24"/>
      <c r="J90" s="24"/>
      <c r="K90" s="24" t="n">
        <v>4</v>
      </c>
      <c r="L90" s="24" t="str">
        <f aca="false">IF(J90&lt;&gt;"","Enrolled",IF(I90&lt;&gt;"","Admitted",IF(H90&lt;&gt;"","Applied",IF(G90&lt;&gt;"","Contacted","New"))))</f>
        <v>Contacted</v>
      </c>
      <c r="M90" s="32" t="n">
        <f aca="false">IF(G90="","",G90-B90)</f>
        <v>1</v>
      </c>
      <c r="N90" s="24" t="str">
        <f aca="false">IF(COUNTIF($A$2:A90,A90)&gt;1,"Duplicate ID",IF(C90="","Missing source",IF(OR(AND(G90&lt;&gt;"",G90&lt;B90),AND(H90&lt;&gt;"",H90&lt;B90),AND(I90&lt;&gt;"",I90&lt;H90),AND(J90&lt;&gt;"",J90&lt;I90)),"Date error","OK")))</f>
        <v>OK</v>
      </c>
    </row>
    <row r="91" customFormat="false" ht="15" hidden="false" customHeight="false" outlineLevel="0" collapsed="false">
      <c r="A91" s="24" t="s">
        <v>172</v>
      </c>
      <c r="B91" s="31" t="n">
        <v>46105</v>
      </c>
      <c r="C91" s="24" t="s">
        <v>22</v>
      </c>
      <c r="D91" s="24" t="s">
        <v>35</v>
      </c>
      <c r="E91" s="24" t="s">
        <v>94</v>
      </c>
      <c r="F91" s="24" t="s">
        <v>42</v>
      </c>
      <c r="G91" s="31" t="n">
        <v>46106</v>
      </c>
      <c r="H91" s="24"/>
      <c r="I91" s="24"/>
      <c r="J91" s="24"/>
      <c r="K91" s="24" t="n">
        <v>3</v>
      </c>
      <c r="L91" s="24" t="str">
        <f aca="false">IF(J91&lt;&gt;"","Enrolled",IF(I91&lt;&gt;"","Admitted",IF(H91&lt;&gt;"","Applied",IF(G91&lt;&gt;"","Contacted","New"))))</f>
        <v>Contacted</v>
      </c>
      <c r="M91" s="32" t="n">
        <f aca="false">IF(G91="","",G91-B91)</f>
        <v>1</v>
      </c>
      <c r="N91" s="24" t="str">
        <f aca="false">IF(COUNTIF($A$2:A91,A91)&gt;1,"Duplicate ID",IF(C91="","Missing source",IF(OR(AND(G91&lt;&gt;"",G91&lt;B91),AND(H91&lt;&gt;"",H91&lt;B91),AND(I91&lt;&gt;"",I91&lt;H91),AND(J91&lt;&gt;"",J91&lt;I91)),"Date error","OK")))</f>
        <v>OK</v>
      </c>
    </row>
    <row r="92" customFormat="false" ht="15" hidden="false" customHeight="false" outlineLevel="0" collapsed="false">
      <c r="A92" s="24" t="s">
        <v>173</v>
      </c>
      <c r="B92" s="31" t="n">
        <v>46105</v>
      </c>
      <c r="C92" s="24" t="s">
        <v>23</v>
      </c>
      <c r="D92" s="24" t="s">
        <v>36</v>
      </c>
      <c r="E92" s="24" t="s">
        <v>94</v>
      </c>
      <c r="F92" s="24" t="s">
        <v>44</v>
      </c>
      <c r="G92" s="31" t="n">
        <v>46109</v>
      </c>
      <c r="H92" s="24"/>
      <c r="I92" s="24"/>
      <c r="J92" s="24"/>
      <c r="K92" s="24" t="n">
        <v>3</v>
      </c>
      <c r="L92" s="24" t="str">
        <f aca="false">IF(J92&lt;&gt;"","Enrolled",IF(I92&lt;&gt;"","Admitted",IF(H92&lt;&gt;"","Applied",IF(G92&lt;&gt;"","Contacted","New"))))</f>
        <v>Contacted</v>
      </c>
      <c r="M92" s="32" t="n">
        <f aca="false">IF(G92="","",G92-B92)</f>
        <v>4</v>
      </c>
      <c r="N92" s="24" t="str">
        <f aca="false">IF(COUNTIF($A$2:A92,A92)&gt;1,"Duplicate ID",IF(C92="","Missing source",IF(OR(AND(G92&lt;&gt;"",G92&lt;B92),AND(H92&lt;&gt;"",H92&lt;B92),AND(I92&lt;&gt;"",I92&lt;H92),AND(J92&lt;&gt;"",J92&lt;I92)),"Date error","OK")))</f>
        <v>OK</v>
      </c>
    </row>
    <row r="93" customFormat="false" ht="15" hidden="false" customHeight="false" outlineLevel="0" collapsed="false">
      <c r="A93" s="24" t="s">
        <v>174</v>
      </c>
      <c r="B93" s="31" t="n">
        <v>46106</v>
      </c>
      <c r="C93" s="24" t="s">
        <v>26</v>
      </c>
      <c r="D93" s="24" t="s">
        <v>35</v>
      </c>
      <c r="E93" s="24" t="s">
        <v>79</v>
      </c>
      <c r="F93" s="24" t="s">
        <v>43</v>
      </c>
      <c r="G93" s="31" t="n">
        <v>46107</v>
      </c>
      <c r="H93" s="24"/>
      <c r="I93" s="24"/>
      <c r="J93" s="24"/>
      <c r="K93" s="24" t="n">
        <v>2</v>
      </c>
      <c r="L93" s="24" t="str">
        <f aca="false">IF(J93&lt;&gt;"","Enrolled",IF(I93&lt;&gt;"","Admitted",IF(H93&lt;&gt;"","Applied",IF(G93&lt;&gt;"","Contacted","New"))))</f>
        <v>Contacted</v>
      </c>
      <c r="M93" s="32" t="n">
        <f aca="false">IF(G93="","",G93-B93)</f>
        <v>1</v>
      </c>
      <c r="N93" s="24" t="str">
        <f aca="false">IF(COUNTIF($A$2:A93,A93)&gt;1,"Duplicate ID",IF(C93="","Missing source",IF(OR(AND(G93&lt;&gt;"",G93&lt;B93),AND(H93&lt;&gt;"",H93&lt;B93),AND(I93&lt;&gt;"",I93&lt;H93),AND(J93&lt;&gt;"",J93&lt;I93)),"Date error","OK")))</f>
        <v>OK</v>
      </c>
    </row>
    <row r="94" customFormat="false" ht="15" hidden="false" customHeight="false" outlineLevel="0" collapsed="false">
      <c r="A94" s="24" t="s">
        <v>175</v>
      </c>
      <c r="B94" s="31" t="n">
        <v>46106</v>
      </c>
      <c r="C94" s="24" t="s">
        <v>22</v>
      </c>
      <c r="D94" s="24" t="s">
        <v>35</v>
      </c>
      <c r="E94" s="24" t="s">
        <v>81</v>
      </c>
      <c r="F94" s="24" t="s">
        <v>41</v>
      </c>
      <c r="G94" s="31" t="n">
        <v>46106</v>
      </c>
      <c r="H94" s="31" t="n">
        <v>46123</v>
      </c>
      <c r="I94" s="31" t="n">
        <v>46134</v>
      </c>
      <c r="J94" s="31" t="n">
        <v>46168</v>
      </c>
      <c r="K94" s="24" t="n">
        <v>3</v>
      </c>
      <c r="L94" s="24" t="str">
        <f aca="false">IF(J94&lt;&gt;"","Enrolled",IF(I94&lt;&gt;"","Admitted",IF(H94&lt;&gt;"","Applied",IF(G94&lt;&gt;"","Contacted","New"))))</f>
        <v>Enrolled</v>
      </c>
      <c r="M94" s="32" t="n">
        <f aca="false">IF(G94="","",G94-B94)</f>
        <v>0</v>
      </c>
      <c r="N94" s="24" t="str">
        <f aca="false">IF(COUNTIF($A$2:A94,A94)&gt;1,"Duplicate ID",IF(C94="","Missing source",IF(OR(AND(G94&lt;&gt;"",G94&lt;B94),AND(H94&lt;&gt;"",H94&lt;B94),AND(I94&lt;&gt;"",I94&lt;H94),AND(J94&lt;&gt;"",J94&lt;I94)),"Date error","OK")))</f>
        <v>OK</v>
      </c>
    </row>
    <row r="95" customFormat="false" ht="15" hidden="false" customHeight="false" outlineLevel="0" collapsed="false">
      <c r="A95" s="24" t="s">
        <v>176</v>
      </c>
      <c r="B95" s="31" t="n">
        <v>46107</v>
      </c>
      <c r="C95" s="24" t="s">
        <v>25</v>
      </c>
      <c r="D95" s="24" t="s">
        <v>36</v>
      </c>
      <c r="E95" s="24" t="s">
        <v>89</v>
      </c>
      <c r="F95" s="24" t="s">
        <v>41</v>
      </c>
      <c r="G95" s="31" t="n">
        <v>46108</v>
      </c>
      <c r="H95" s="24"/>
      <c r="I95" s="24"/>
      <c r="J95" s="24"/>
      <c r="K95" s="24" t="n">
        <v>3</v>
      </c>
      <c r="L95" s="24" t="str">
        <f aca="false">IF(J95&lt;&gt;"","Enrolled",IF(I95&lt;&gt;"","Admitted",IF(H95&lt;&gt;"","Applied",IF(G95&lt;&gt;"","Contacted","New"))))</f>
        <v>Contacted</v>
      </c>
      <c r="M95" s="32" t="n">
        <f aca="false">IF(G95="","",G95-B95)</f>
        <v>1</v>
      </c>
      <c r="N95" s="24" t="str">
        <f aca="false">IF(COUNTIF($A$2:A95,A95)&gt;1,"Duplicate ID",IF(C95="","Missing source",IF(OR(AND(G95&lt;&gt;"",G95&lt;B95),AND(H95&lt;&gt;"",H95&lt;B95),AND(I95&lt;&gt;"",I95&lt;H95),AND(J95&lt;&gt;"",J95&lt;I95)),"Date error","OK")))</f>
        <v>OK</v>
      </c>
    </row>
    <row r="96" customFormat="false" ht="15" hidden="false" customHeight="false" outlineLevel="0" collapsed="false">
      <c r="A96" s="24" t="s">
        <v>177</v>
      </c>
      <c r="B96" s="31" t="n">
        <v>46107</v>
      </c>
      <c r="C96" s="24" t="s">
        <v>23</v>
      </c>
      <c r="D96" s="24" t="s">
        <v>32</v>
      </c>
      <c r="E96" s="24" t="s">
        <v>89</v>
      </c>
      <c r="F96" s="24" t="s">
        <v>40</v>
      </c>
      <c r="G96" s="31" t="n">
        <v>46107</v>
      </c>
      <c r="H96" s="24"/>
      <c r="I96" s="24"/>
      <c r="J96" s="24"/>
      <c r="K96" s="24" t="n">
        <v>3</v>
      </c>
      <c r="L96" s="24" t="str">
        <f aca="false">IF(J96&lt;&gt;"","Enrolled",IF(I96&lt;&gt;"","Admitted",IF(H96&lt;&gt;"","Applied",IF(G96&lt;&gt;"","Contacted","New"))))</f>
        <v>Contacted</v>
      </c>
      <c r="M96" s="32" t="n">
        <f aca="false">IF(G96="","",G96-B96)</f>
        <v>0</v>
      </c>
      <c r="N96" s="24" t="str">
        <f aca="false">IF(COUNTIF($A$2:A96,A96)&gt;1,"Duplicate ID",IF(C96="","Missing source",IF(OR(AND(G96&lt;&gt;"",G96&lt;B96),AND(H96&lt;&gt;"",H96&lt;B96),AND(I96&lt;&gt;"",I96&lt;H96),AND(J96&lt;&gt;"",J96&lt;I96)),"Date error","OK")))</f>
        <v>OK</v>
      </c>
    </row>
    <row r="97" customFormat="false" ht="15" hidden="false" customHeight="false" outlineLevel="0" collapsed="false">
      <c r="A97" s="24" t="s">
        <v>178</v>
      </c>
      <c r="B97" s="31" t="n">
        <v>46107</v>
      </c>
      <c r="C97" s="24" t="s">
        <v>22</v>
      </c>
      <c r="D97" s="24" t="s">
        <v>36</v>
      </c>
      <c r="E97" s="24" t="s">
        <v>89</v>
      </c>
      <c r="F97" s="24" t="s">
        <v>41</v>
      </c>
      <c r="G97" s="31" t="n">
        <v>46107</v>
      </c>
      <c r="H97" s="24"/>
      <c r="I97" s="24"/>
      <c r="J97" s="24"/>
      <c r="K97" s="24" t="n">
        <v>3</v>
      </c>
      <c r="L97" s="24" t="str">
        <f aca="false">IF(J97&lt;&gt;"","Enrolled",IF(I97&lt;&gt;"","Admitted",IF(H97&lt;&gt;"","Applied",IF(G97&lt;&gt;"","Contacted","New"))))</f>
        <v>Contacted</v>
      </c>
      <c r="M97" s="32" t="n">
        <f aca="false">IF(G97="","",G97-B97)</f>
        <v>0</v>
      </c>
      <c r="N97" s="24" t="str">
        <f aca="false">IF(COUNTIF($A$2:A97,A97)&gt;1,"Duplicate ID",IF(C97="","Missing source",IF(OR(AND(G97&lt;&gt;"",G97&lt;B97),AND(H97&lt;&gt;"",H97&lt;B97),AND(I97&lt;&gt;"",I97&lt;H97),AND(J97&lt;&gt;"",J97&lt;I97)),"Date error","OK")))</f>
        <v>OK</v>
      </c>
    </row>
    <row r="98" customFormat="false" ht="15" hidden="false" customHeight="false" outlineLevel="0" collapsed="false">
      <c r="A98" s="24" t="s">
        <v>179</v>
      </c>
      <c r="B98" s="31" t="n">
        <v>46107</v>
      </c>
      <c r="C98" s="24" t="s">
        <v>22</v>
      </c>
      <c r="D98" s="24" t="s">
        <v>35</v>
      </c>
      <c r="E98" s="24" t="s">
        <v>89</v>
      </c>
      <c r="F98" s="24" t="s">
        <v>41</v>
      </c>
      <c r="G98" s="31" t="n">
        <v>46109</v>
      </c>
      <c r="H98" s="31" t="n">
        <v>46134</v>
      </c>
      <c r="I98" s="24"/>
      <c r="J98" s="24"/>
      <c r="K98" s="24" t="n">
        <v>4</v>
      </c>
      <c r="L98" s="24" t="str">
        <f aca="false">IF(J98&lt;&gt;"","Enrolled",IF(I98&lt;&gt;"","Admitted",IF(H98&lt;&gt;"","Applied",IF(G98&lt;&gt;"","Contacted","New"))))</f>
        <v>Applied</v>
      </c>
      <c r="M98" s="32" t="n">
        <f aca="false">IF(G98="","",G98-B98)</f>
        <v>2</v>
      </c>
      <c r="N98" s="24" t="str">
        <f aca="false">IF(COUNTIF($A$2:A98,A98)&gt;1,"Duplicate ID",IF(C98="","Missing source",IF(OR(AND(G98&lt;&gt;"",G98&lt;B98),AND(H98&lt;&gt;"",H98&lt;B98),AND(I98&lt;&gt;"",I98&lt;H98),AND(J98&lt;&gt;"",J98&lt;I98)),"Date error","OK")))</f>
        <v>OK</v>
      </c>
    </row>
    <row r="99" customFormat="false" ht="15" hidden="false" customHeight="false" outlineLevel="0" collapsed="false">
      <c r="A99" s="24" t="s">
        <v>180</v>
      </c>
      <c r="B99" s="31" t="n">
        <v>46107</v>
      </c>
      <c r="C99" s="24" t="s">
        <v>21</v>
      </c>
      <c r="D99" s="24" t="s">
        <v>32</v>
      </c>
      <c r="E99" s="24" t="s">
        <v>81</v>
      </c>
      <c r="F99" s="24" t="s">
        <v>45</v>
      </c>
      <c r="G99" s="31" t="n">
        <v>46108</v>
      </c>
      <c r="H99" s="31" t="n">
        <v>46133</v>
      </c>
      <c r="I99" s="31" t="n">
        <v>46140</v>
      </c>
      <c r="J99" s="24"/>
      <c r="K99" s="24" t="n">
        <v>3</v>
      </c>
      <c r="L99" s="24" t="str">
        <f aca="false">IF(J99&lt;&gt;"","Enrolled",IF(I99&lt;&gt;"","Admitted",IF(H99&lt;&gt;"","Applied",IF(G99&lt;&gt;"","Contacted","New"))))</f>
        <v>Admitted</v>
      </c>
      <c r="M99" s="32" t="n">
        <f aca="false">IF(G99="","",G99-B99)</f>
        <v>1</v>
      </c>
      <c r="N99" s="24" t="str">
        <f aca="false">IF(COUNTIF($A$2:A99,A99)&gt;1,"Duplicate ID",IF(C99="","Missing source",IF(OR(AND(G99&lt;&gt;"",G99&lt;B99),AND(H99&lt;&gt;"",H99&lt;B99),AND(I99&lt;&gt;"",I99&lt;H99),AND(J99&lt;&gt;"",J99&lt;I99)),"Date error","OK")))</f>
        <v>OK</v>
      </c>
    </row>
    <row r="100" customFormat="false" ht="15" hidden="false" customHeight="false" outlineLevel="0" collapsed="false">
      <c r="A100" s="24" t="s">
        <v>181</v>
      </c>
      <c r="B100" s="31" t="n">
        <v>46107</v>
      </c>
      <c r="C100" s="24" t="s">
        <v>25</v>
      </c>
      <c r="D100" s="24" t="s">
        <v>33</v>
      </c>
      <c r="E100" s="24" t="s">
        <v>89</v>
      </c>
      <c r="F100" s="24" t="s">
        <v>42</v>
      </c>
      <c r="G100" s="31" t="n">
        <v>46108</v>
      </c>
      <c r="H100" s="24"/>
      <c r="I100" s="24"/>
      <c r="J100" s="24"/>
      <c r="K100" s="24" t="n">
        <v>4</v>
      </c>
      <c r="L100" s="24" t="str">
        <f aca="false">IF(J100&lt;&gt;"","Enrolled",IF(I100&lt;&gt;"","Admitted",IF(H100&lt;&gt;"","Applied",IF(G100&lt;&gt;"","Contacted","New"))))</f>
        <v>Contacted</v>
      </c>
      <c r="M100" s="32" t="n">
        <f aca="false">IF(G100="","",G100-B100)</f>
        <v>1</v>
      </c>
      <c r="N100" s="24" t="str">
        <f aca="false">IF(COUNTIF($A$2:A100,A100)&gt;1,"Duplicate ID",IF(C100="","Missing source",IF(OR(AND(G100&lt;&gt;"",G100&lt;B100),AND(H100&lt;&gt;"",H100&lt;B100),AND(I100&lt;&gt;"",I100&lt;H100),AND(J100&lt;&gt;"",J100&lt;I100)),"Date error","OK")))</f>
        <v>OK</v>
      </c>
    </row>
    <row r="101" customFormat="false" ht="15" hidden="false" customHeight="false" outlineLevel="0" collapsed="false">
      <c r="A101" s="24" t="s">
        <v>182</v>
      </c>
      <c r="B101" s="31" t="n">
        <v>46108</v>
      </c>
      <c r="C101" s="24" t="s">
        <v>23</v>
      </c>
      <c r="D101" s="24" t="s">
        <v>32</v>
      </c>
      <c r="E101" s="24" t="s">
        <v>79</v>
      </c>
      <c r="F101" s="24" t="s">
        <v>40</v>
      </c>
      <c r="G101" s="31" t="n">
        <v>46108</v>
      </c>
      <c r="H101" s="24"/>
      <c r="I101" s="24"/>
      <c r="J101" s="24"/>
      <c r="K101" s="24" t="n">
        <v>3</v>
      </c>
      <c r="L101" s="24" t="str">
        <f aca="false">IF(J101&lt;&gt;"","Enrolled",IF(I101&lt;&gt;"","Admitted",IF(H101&lt;&gt;"","Applied",IF(G101&lt;&gt;"","Contacted","New"))))</f>
        <v>Contacted</v>
      </c>
      <c r="M101" s="32" t="n">
        <f aca="false">IF(G101="","",G101-B101)</f>
        <v>0</v>
      </c>
      <c r="N101" s="24" t="str">
        <f aca="false">IF(COUNTIF($A$2:A101,A101)&gt;1,"Duplicate ID",IF(C101="","Missing source",IF(OR(AND(G101&lt;&gt;"",G101&lt;B101),AND(H101&lt;&gt;"",H101&lt;B101),AND(I101&lt;&gt;"",I101&lt;H101),AND(J101&lt;&gt;"",J101&lt;I101)),"Date error","OK")))</f>
        <v>OK</v>
      </c>
    </row>
    <row r="102" customFormat="false" ht="15" hidden="false" customHeight="false" outlineLevel="0" collapsed="false">
      <c r="A102" s="24" t="s">
        <v>183</v>
      </c>
      <c r="B102" s="31" t="n">
        <v>46108</v>
      </c>
      <c r="C102" s="24" t="s">
        <v>24</v>
      </c>
      <c r="D102" s="24" t="s">
        <v>36</v>
      </c>
      <c r="E102" s="24" t="s">
        <v>81</v>
      </c>
      <c r="F102" s="24" t="s">
        <v>44</v>
      </c>
      <c r="G102" s="31" t="n">
        <v>46112</v>
      </c>
      <c r="H102" s="24"/>
      <c r="I102" s="24"/>
      <c r="J102" s="24"/>
      <c r="K102" s="24" t="n">
        <v>3</v>
      </c>
      <c r="L102" s="24" t="str">
        <f aca="false">IF(J102&lt;&gt;"","Enrolled",IF(I102&lt;&gt;"","Admitted",IF(H102&lt;&gt;"","Applied",IF(G102&lt;&gt;"","Contacted","New"))))</f>
        <v>Contacted</v>
      </c>
      <c r="M102" s="32" t="n">
        <f aca="false">IF(G102="","",G102-B102)</f>
        <v>4</v>
      </c>
      <c r="N102" s="24" t="str">
        <f aca="false">IF(COUNTIF($A$2:A102,A102)&gt;1,"Duplicate ID",IF(C102="","Missing source",IF(OR(AND(G102&lt;&gt;"",G102&lt;B102),AND(H102&lt;&gt;"",H102&lt;B102),AND(I102&lt;&gt;"",I102&lt;H102),AND(J102&lt;&gt;"",J102&lt;I102)),"Date error","OK")))</f>
        <v>OK</v>
      </c>
    </row>
    <row r="103" customFormat="false" ht="15" hidden="false" customHeight="false" outlineLevel="0" collapsed="false">
      <c r="A103" s="24" t="s">
        <v>184</v>
      </c>
      <c r="B103" s="31" t="n">
        <v>46108</v>
      </c>
      <c r="C103" s="24" t="s">
        <v>24</v>
      </c>
      <c r="D103" s="24" t="s">
        <v>34</v>
      </c>
      <c r="E103" s="24" t="s">
        <v>89</v>
      </c>
      <c r="F103" s="24" t="s">
        <v>42</v>
      </c>
      <c r="G103" s="31" t="n">
        <v>46109</v>
      </c>
      <c r="H103" s="24"/>
      <c r="I103" s="24"/>
      <c r="J103" s="24"/>
      <c r="K103" s="24" t="n">
        <v>5</v>
      </c>
      <c r="L103" s="24" t="str">
        <f aca="false">IF(J103&lt;&gt;"","Enrolled",IF(I103&lt;&gt;"","Admitted",IF(H103&lt;&gt;"","Applied",IF(G103&lt;&gt;"","Contacted","New"))))</f>
        <v>Contacted</v>
      </c>
      <c r="M103" s="32" t="n">
        <f aca="false">IF(G103="","",G103-B103)</f>
        <v>1</v>
      </c>
      <c r="N103" s="24" t="str">
        <f aca="false">IF(COUNTIF($A$2:A103,A103)&gt;1,"Duplicate ID",IF(C103="","Missing source",IF(OR(AND(G103&lt;&gt;"",G103&lt;B103),AND(H103&lt;&gt;"",H103&lt;B103),AND(I103&lt;&gt;"",I103&lt;H103),AND(J103&lt;&gt;"",J103&lt;I103)),"Date error","OK")))</f>
        <v>OK</v>
      </c>
    </row>
    <row r="104" customFormat="false" ht="15" hidden="false" customHeight="false" outlineLevel="0" collapsed="false">
      <c r="A104" s="24" t="s">
        <v>185</v>
      </c>
      <c r="B104" s="31" t="n">
        <v>46108</v>
      </c>
      <c r="C104" s="24" t="s">
        <v>22</v>
      </c>
      <c r="D104" s="24" t="s">
        <v>32</v>
      </c>
      <c r="E104" s="24" t="s">
        <v>79</v>
      </c>
      <c r="F104" s="24" t="s">
        <v>44</v>
      </c>
      <c r="G104" s="31" t="n">
        <v>46109</v>
      </c>
      <c r="H104" s="24"/>
      <c r="I104" s="24"/>
      <c r="J104" s="24"/>
      <c r="K104" s="24" t="n">
        <v>3</v>
      </c>
      <c r="L104" s="24" t="str">
        <f aca="false">IF(J104&lt;&gt;"","Enrolled",IF(I104&lt;&gt;"","Admitted",IF(H104&lt;&gt;"","Applied",IF(G104&lt;&gt;"","Contacted","New"))))</f>
        <v>Contacted</v>
      </c>
      <c r="M104" s="32" t="n">
        <f aca="false">IF(G104="","",G104-B104)</f>
        <v>1</v>
      </c>
      <c r="N104" s="24" t="str">
        <f aca="false">IF(COUNTIF($A$2:A104,A104)&gt;1,"Duplicate ID",IF(C104="","Missing source",IF(OR(AND(G104&lt;&gt;"",G104&lt;B104),AND(H104&lt;&gt;"",H104&lt;B104),AND(I104&lt;&gt;"",I104&lt;H104),AND(J104&lt;&gt;"",J104&lt;I104)),"Date error","OK")))</f>
        <v>OK</v>
      </c>
    </row>
    <row r="105" customFormat="false" ht="15" hidden="false" customHeight="false" outlineLevel="0" collapsed="false">
      <c r="A105" s="24" t="s">
        <v>186</v>
      </c>
      <c r="B105" s="31" t="n">
        <v>46108</v>
      </c>
      <c r="C105" s="24" t="s">
        <v>22</v>
      </c>
      <c r="D105" s="24" t="s">
        <v>35</v>
      </c>
      <c r="E105" s="24" t="s">
        <v>94</v>
      </c>
      <c r="F105" s="24" t="s">
        <v>42</v>
      </c>
      <c r="G105" s="31" t="n">
        <v>46109</v>
      </c>
      <c r="H105" s="31" t="n">
        <v>46128</v>
      </c>
      <c r="I105" s="31" t="n">
        <v>46143</v>
      </c>
      <c r="J105" s="31" t="n">
        <v>46174</v>
      </c>
      <c r="K105" s="24" t="n">
        <v>5</v>
      </c>
      <c r="L105" s="24" t="str">
        <f aca="false">IF(J105&lt;&gt;"","Enrolled",IF(I105&lt;&gt;"","Admitted",IF(H105&lt;&gt;"","Applied",IF(G105&lt;&gt;"","Contacted","New"))))</f>
        <v>Enrolled</v>
      </c>
      <c r="M105" s="32" t="n">
        <f aca="false">IF(G105="","",G105-B105)</f>
        <v>1</v>
      </c>
      <c r="N105" s="24" t="str">
        <f aca="false">IF(COUNTIF($A$2:A105,A105)&gt;1,"Duplicate ID",IF(C105="","Missing source",IF(OR(AND(G105&lt;&gt;"",G105&lt;B105),AND(H105&lt;&gt;"",H105&lt;B105),AND(I105&lt;&gt;"",I105&lt;H105),AND(J105&lt;&gt;"",J105&lt;I105)),"Date error","OK")))</f>
        <v>OK</v>
      </c>
    </row>
    <row r="106" customFormat="false" ht="15" hidden="false" customHeight="false" outlineLevel="0" collapsed="false">
      <c r="A106" s="24" t="s">
        <v>187</v>
      </c>
      <c r="B106" s="31" t="n">
        <v>46108</v>
      </c>
      <c r="C106" s="24" t="s">
        <v>23</v>
      </c>
      <c r="D106" s="24" t="s">
        <v>36</v>
      </c>
      <c r="E106" s="24" t="s">
        <v>79</v>
      </c>
      <c r="F106" s="24" t="s">
        <v>42</v>
      </c>
      <c r="G106" s="31" t="n">
        <v>46110</v>
      </c>
      <c r="H106" s="24"/>
      <c r="I106" s="24"/>
      <c r="J106" s="24"/>
      <c r="K106" s="24" t="n">
        <v>6</v>
      </c>
      <c r="L106" s="24" t="str">
        <f aca="false">IF(J106&lt;&gt;"","Enrolled",IF(I106&lt;&gt;"","Admitted",IF(H106&lt;&gt;"","Applied",IF(G106&lt;&gt;"","Contacted","New"))))</f>
        <v>Contacted</v>
      </c>
      <c r="M106" s="32" t="n">
        <f aca="false">IF(G106="","",G106-B106)</f>
        <v>2</v>
      </c>
      <c r="N106" s="24" t="str">
        <f aca="false">IF(COUNTIF($A$2:A106,A106)&gt;1,"Duplicate ID",IF(C106="","Missing source",IF(OR(AND(G106&lt;&gt;"",G106&lt;B106),AND(H106&lt;&gt;"",H106&lt;B106),AND(I106&lt;&gt;"",I106&lt;H106),AND(J106&lt;&gt;"",J106&lt;I106)),"Date error","OK")))</f>
        <v>OK</v>
      </c>
    </row>
    <row r="107" customFormat="false" ht="15" hidden="false" customHeight="false" outlineLevel="0" collapsed="false">
      <c r="A107" s="24" t="s">
        <v>188</v>
      </c>
      <c r="B107" s="31" t="n">
        <v>46108</v>
      </c>
      <c r="C107" s="24" t="s">
        <v>25</v>
      </c>
      <c r="D107" s="24" t="s">
        <v>33</v>
      </c>
      <c r="E107" s="24" t="s">
        <v>79</v>
      </c>
      <c r="F107" s="24" t="s">
        <v>43</v>
      </c>
      <c r="G107" s="31" t="n">
        <v>46109</v>
      </c>
      <c r="H107" s="24"/>
      <c r="I107" s="24"/>
      <c r="J107" s="24"/>
      <c r="K107" s="24" t="n">
        <v>3</v>
      </c>
      <c r="L107" s="24" t="str">
        <f aca="false">IF(J107&lt;&gt;"","Enrolled",IF(I107&lt;&gt;"","Admitted",IF(H107&lt;&gt;"","Applied",IF(G107&lt;&gt;"","Contacted","New"))))</f>
        <v>Contacted</v>
      </c>
      <c r="M107" s="32" t="n">
        <f aca="false">IF(G107="","",G107-B107)</f>
        <v>1</v>
      </c>
      <c r="N107" s="24" t="str">
        <f aca="false">IF(COUNTIF($A$2:A107,A107)&gt;1,"Duplicate ID",IF(C107="","Missing source",IF(OR(AND(G107&lt;&gt;"",G107&lt;B107),AND(H107&lt;&gt;"",H107&lt;B107),AND(I107&lt;&gt;"",I107&lt;H107),AND(J107&lt;&gt;"",J107&lt;I107)),"Date error","OK")))</f>
        <v>OK</v>
      </c>
    </row>
    <row r="108" customFormat="false" ht="15" hidden="false" customHeight="false" outlineLevel="0" collapsed="false">
      <c r="A108" s="24" t="s">
        <v>189</v>
      </c>
      <c r="B108" s="31" t="n">
        <v>46108</v>
      </c>
      <c r="C108" s="24" t="s">
        <v>22</v>
      </c>
      <c r="D108" s="24" t="s">
        <v>33</v>
      </c>
      <c r="E108" s="24" t="s">
        <v>89</v>
      </c>
      <c r="F108" s="24" t="s">
        <v>40</v>
      </c>
      <c r="G108" s="31" t="n">
        <v>46108</v>
      </c>
      <c r="H108" s="24"/>
      <c r="I108" s="24"/>
      <c r="J108" s="24"/>
      <c r="K108" s="24" t="n">
        <v>6</v>
      </c>
      <c r="L108" s="24" t="str">
        <f aca="false">IF(J108&lt;&gt;"","Enrolled",IF(I108&lt;&gt;"","Admitted",IF(H108&lt;&gt;"","Applied",IF(G108&lt;&gt;"","Contacted","New"))))</f>
        <v>Contacted</v>
      </c>
      <c r="M108" s="32" t="n">
        <f aca="false">IF(G108="","",G108-B108)</f>
        <v>0</v>
      </c>
      <c r="N108" s="24" t="str">
        <f aca="false">IF(COUNTIF($A$2:A108,A108)&gt;1,"Duplicate ID",IF(C108="","Missing source",IF(OR(AND(G108&lt;&gt;"",G108&lt;B108),AND(H108&lt;&gt;"",H108&lt;B108),AND(I108&lt;&gt;"",I108&lt;H108),AND(J108&lt;&gt;"",J108&lt;I108)),"Date error","OK")))</f>
        <v>OK</v>
      </c>
    </row>
    <row r="109" customFormat="false" ht="15" hidden="false" customHeight="false" outlineLevel="0" collapsed="false">
      <c r="A109" s="24" t="s">
        <v>190</v>
      </c>
      <c r="B109" s="31" t="n">
        <v>46108</v>
      </c>
      <c r="C109" s="24" t="s">
        <v>26</v>
      </c>
      <c r="D109" s="24" t="s">
        <v>36</v>
      </c>
      <c r="E109" s="24" t="s">
        <v>84</v>
      </c>
      <c r="F109" s="24" t="s">
        <v>44</v>
      </c>
      <c r="G109" s="31" t="n">
        <v>46108</v>
      </c>
      <c r="H109" s="24"/>
      <c r="I109" s="24"/>
      <c r="J109" s="24"/>
      <c r="K109" s="24" t="n">
        <v>2</v>
      </c>
      <c r="L109" s="24" t="str">
        <f aca="false">IF(J109&lt;&gt;"","Enrolled",IF(I109&lt;&gt;"","Admitted",IF(H109&lt;&gt;"","Applied",IF(G109&lt;&gt;"","Contacted","New"))))</f>
        <v>Contacted</v>
      </c>
      <c r="M109" s="32" t="n">
        <f aca="false">IF(G109="","",G109-B109)</f>
        <v>0</v>
      </c>
      <c r="N109" s="24" t="str">
        <f aca="false">IF(COUNTIF($A$2:A109,A109)&gt;1,"Duplicate ID",IF(C109="","Missing source",IF(OR(AND(G109&lt;&gt;"",G109&lt;B109),AND(H109&lt;&gt;"",H109&lt;B109),AND(I109&lt;&gt;"",I109&lt;H109),AND(J109&lt;&gt;"",J109&lt;I109)),"Date error","OK")))</f>
        <v>OK</v>
      </c>
    </row>
    <row r="110" customFormat="false" ht="15" hidden="false" customHeight="false" outlineLevel="0" collapsed="false">
      <c r="A110" s="24" t="s">
        <v>191</v>
      </c>
      <c r="B110" s="31" t="n">
        <v>46109</v>
      </c>
      <c r="C110" s="24" t="s">
        <v>26</v>
      </c>
      <c r="D110" s="24" t="s">
        <v>33</v>
      </c>
      <c r="E110" s="24" t="s">
        <v>89</v>
      </c>
      <c r="F110" s="24" t="s">
        <v>44</v>
      </c>
      <c r="G110" s="31" t="n">
        <v>46113</v>
      </c>
      <c r="H110" s="24"/>
      <c r="I110" s="24"/>
      <c r="J110" s="24"/>
      <c r="K110" s="24" t="n">
        <v>1</v>
      </c>
      <c r="L110" s="24" t="str">
        <f aca="false">IF(J110&lt;&gt;"","Enrolled",IF(I110&lt;&gt;"","Admitted",IF(H110&lt;&gt;"","Applied",IF(G110&lt;&gt;"","Contacted","New"))))</f>
        <v>Contacted</v>
      </c>
      <c r="M110" s="32" t="n">
        <f aca="false">IF(G110="","",G110-B110)</f>
        <v>4</v>
      </c>
      <c r="N110" s="24" t="str">
        <f aca="false">IF(COUNTIF($A$2:A110,A110)&gt;1,"Duplicate ID",IF(C110="","Missing source",IF(OR(AND(G110&lt;&gt;"",G110&lt;B110),AND(H110&lt;&gt;"",H110&lt;B110),AND(I110&lt;&gt;"",I110&lt;H110),AND(J110&lt;&gt;"",J110&lt;I110)),"Date error","OK")))</f>
        <v>OK</v>
      </c>
    </row>
    <row r="111" customFormat="false" ht="15" hidden="false" customHeight="false" outlineLevel="0" collapsed="false">
      <c r="A111" s="24" t="s">
        <v>192</v>
      </c>
      <c r="B111" s="31" t="n">
        <v>46109</v>
      </c>
      <c r="C111" s="24" t="s">
        <v>25</v>
      </c>
      <c r="D111" s="24" t="s">
        <v>32</v>
      </c>
      <c r="E111" s="24" t="s">
        <v>84</v>
      </c>
      <c r="F111" s="24" t="s">
        <v>40</v>
      </c>
      <c r="G111" s="31" t="n">
        <v>46109</v>
      </c>
      <c r="H111" s="24"/>
      <c r="I111" s="24"/>
      <c r="J111" s="24"/>
      <c r="K111" s="24" t="n">
        <v>1</v>
      </c>
      <c r="L111" s="24" t="str">
        <f aca="false">IF(J111&lt;&gt;"","Enrolled",IF(I111&lt;&gt;"","Admitted",IF(H111&lt;&gt;"","Applied",IF(G111&lt;&gt;"","Contacted","New"))))</f>
        <v>Contacted</v>
      </c>
      <c r="M111" s="32" t="n">
        <f aca="false">IF(G111="","",G111-B111)</f>
        <v>0</v>
      </c>
      <c r="N111" s="24" t="str">
        <f aca="false">IF(COUNTIF($A$2:A111,A111)&gt;1,"Duplicate ID",IF(C111="","Missing source",IF(OR(AND(G111&lt;&gt;"",G111&lt;B111),AND(H111&lt;&gt;"",H111&lt;B111),AND(I111&lt;&gt;"",I111&lt;H111),AND(J111&lt;&gt;"",J111&lt;I111)),"Date error","OK")))</f>
        <v>OK</v>
      </c>
    </row>
    <row r="112" customFormat="false" ht="15" hidden="false" customHeight="false" outlineLevel="0" collapsed="false">
      <c r="A112" s="24" t="s">
        <v>193</v>
      </c>
      <c r="B112" s="31" t="n">
        <v>46109</v>
      </c>
      <c r="C112" s="24" t="s">
        <v>22</v>
      </c>
      <c r="D112" s="24" t="s">
        <v>33</v>
      </c>
      <c r="E112" s="24" t="s">
        <v>89</v>
      </c>
      <c r="F112" s="24" t="s">
        <v>44</v>
      </c>
      <c r="G112" s="31" t="n">
        <v>46114</v>
      </c>
      <c r="H112" s="31" t="n">
        <v>46126</v>
      </c>
      <c r="I112" s="31" t="n">
        <v>46133</v>
      </c>
      <c r="J112" s="31" t="n">
        <v>46157</v>
      </c>
      <c r="K112" s="24" t="n">
        <v>2</v>
      </c>
      <c r="L112" s="24" t="str">
        <f aca="false">IF(J112&lt;&gt;"","Enrolled",IF(I112&lt;&gt;"","Admitted",IF(H112&lt;&gt;"","Applied",IF(G112&lt;&gt;"","Contacted","New"))))</f>
        <v>Enrolled</v>
      </c>
      <c r="M112" s="32" t="n">
        <f aca="false">IF(G112="","",G112-B112)</f>
        <v>5</v>
      </c>
      <c r="N112" s="24" t="str">
        <f aca="false">IF(COUNTIF($A$2:A112,A112)&gt;1,"Duplicate ID",IF(C112="","Missing source",IF(OR(AND(G112&lt;&gt;"",G112&lt;B112),AND(H112&lt;&gt;"",H112&lt;B112),AND(I112&lt;&gt;"",I112&lt;H112),AND(J112&lt;&gt;"",J112&lt;I112)),"Date error","OK")))</f>
        <v>OK</v>
      </c>
    </row>
    <row r="113" customFormat="false" ht="15" hidden="false" customHeight="false" outlineLevel="0" collapsed="false">
      <c r="A113" s="24" t="s">
        <v>194</v>
      </c>
      <c r="B113" s="31" t="n">
        <v>46109</v>
      </c>
      <c r="C113" s="24" t="s">
        <v>23</v>
      </c>
      <c r="D113" s="24" t="s">
        <v>32</v>
      </c>
      <c r="E113" s="24" t="s">
        <v>79</v>
      </c>
      <c r="F113" s="24" t="s">
        <v>41</v>
      </c>
      <c r="G113" s="31" t="n">
        <v>46109</v>
      </c>
      <c r="H113" s="24"/>
      <c r="I113" s="24"/>
      <c r="J113" s="24"/>
      <c r="K113" s="24" t="n">
        <v>3</v>
      </c>
      <c r="L113" s="24" t="str">
        <f aca="false">IF(J113&lt;&gt;"","Enrolled",IF(I113&lt;&gt;"","Admitted",IF(H113&lt;&gt;"","Applied",IF(G113&lt;&gt;"","Contacted","New"))))</f>
        <v>Contacted</v>
      </c>
      <c r="M113" s="32" t="n">
        <f aca="false">IF(G113="","",G113-B113)</f>
        <v>0</v>
      </c>
      <c r="N113" s="24" t="str">
        <f aca="false">IF(COUNTIF($A$2:A113,A113)&gt;1,"Duplicate ID",IF(C113="","Missing source",IF(OR(AND(G113&lt;&gt;"",G113&lt;B113),AND(H113&lt;&gt;"",H113&lt;B113),AND(I113&lt;&gt;"",I113&lt;H113),AND(J113&lt;&gt;"",J113&lt;I113)),"Date error","OK")))</f>
        <v>OK</v>
      </c>
    </row>
    <row r="114" customFormat="false" ht="15" hidden="false" customHeight="false" outlineLevel="0" collapsed="false">
      <c r="A114" s="24" t="s">
        <v>195</v>
      </c>
      <c r="B114" s="31" t="n">
        <v>46109</v>
      </c>
      <c r="C114" s="24" t="s">
        <v>22</v>
      </c>
      <c r="D114" s="24" t="s">
        <v>35</v>
      </c>
      <c r="E114" s="24" t="s">
        <v>79</v>
      </c>
      <c r="F114" s="24" t="s">
        <v>42</v>
      </c>
      <c r="G114" s="31" t="n">
        <v>46110</v>
      </c>
      <c r="H114" s="31" t="n">
        <v>46128</v>
      </c>
      <c r="I114" s="31" t="n">
        <v>46135</v>
      </c>
      <c r="J114" s="31" t="n">
        <v>46152</v>
      </c>
      <c r="K114" s="24" t="n">
        <v>4</v>
      </c>
      <c r="L114" s="24" t="str">
        <f aca="false">IF(J114&lt;&gt;"","Enrolled",IF(I114&lt;&gt;"","Admitted",IF(H114&lt;&gt;"","Applied",IF(G114&lt;&gt;"","Contacted","New"))))</f>
        <v>Enrolled</v>
      </c>
      <c r="M114" s="32" t="n">
        <f aca="false">IF(G114="","",G114-B114)</f>
        <v>1</v>
      </c>
      <c r="N114" s="24" t="str">
        <f aca="false">IF(COUNTIF($A$2:A114,A114)&gt;1,"Duplicate ID",IF(C114="","Missing source",IF(OR(AND(G114&lt;&gt;"",G114&lt;B114),AND(H114&lt;&gt;"",H114&lt;B114),AND(I114&lt;&gt;"",I114&lt;H114),AND(J114&lt;&gt;"",J114&lt;I114)),"Date error","OK")))</f>
        <v>OK</v>
      </c>
    </row>
    <row r="115" customFormat="false" ht="15" hidden="false" customHeight="false" outlineLevel="0" collapsed="false">
      <c r="A115" s="24" t="s">
        <v>196</v>
      </c>
      <c r="B115" s="31" t="n">
        <v>46109</v>
      </c>
      <c r="C115" s="24" t="s">
        <v>26</v>
      </c>
      <c r="D115" s="24" t="s">
        <v>34</v>
      </c>
      <c r="E115" s="24" t="s">
        <v>81</v>
      </c>
      <c r="F115" s="24" t="s">
        <v>42</v>
      </c>
      <c r="G115" s="31" t="n">
        <v>46110</v>
      </c>
      <c r="H115" s="24"/>
      <c r="I115" s="24"/>
      <c r="J115" s="24"/>
      <c r="K115" s="24" t="n">
        <v>1</v>
      </c>
      <c r="L115" s="24" t="str">
        <f aca="false">IF(J115&lt;&gt;"","Enrolled",IF(I115&lt;&gt;"","Admitted",IF(H115&lt;&gt;"","Applied",IF(G115&lt;&gt;"","Contacted","New"))))</f>
        <v>Contacted</v>
      </c>
      <c r="M115" s="32" t="n">
        <f aca="false">IF(G115="","",G115-B115)</f>
        <v>1</v>
      </c>
      <c r="N115" s="24" t="str">
        <f aca="false">IF(COUNTIF($A$2:A115,A115)&gt;1,"Duplicate ID",IF(C115="","Missing source",IF(OR(AND(G115&lt;&gt;"",G115&lt;B115),AND(H115&lt;&gt;"",H115&lt;B115),AND(I115&lt;&gt;"",I115&lt;H115),AND(J115&lt;&gt;"",J115&lt;I115)),"Date error","OK")))</f>
        <v>OK</v>
      </c>
    </row>
    <row r="116" customFormat="false" ht="15" hidden="false" customHeight="false" outlineLevel="0" collapsed="false">
      <c r="A116" s="24" t="s">
        <v>197</v>
      </c>
      <c r="B116" s="31" t="n">
        <v>46110</v>
      </c>
      <c r="C116" s="24" t="s">
        <v>22</v>
      </c>
      <c r="D116" s="24" t="s">
        <v>36</v>
      </c>
      <c r="E116" s="24" t="s">
        <v>89</v>
      </c>
      <c r="F116" s="24" t="s">
        <v>41</v>
      </c>
      <c r="G116" s="31" t="n">
        <v>46110</v>
      </c>
      <c r="H116" s="24"/>
      <c r="I116" s="24"/>
      <c r="J116" s="24"/>
      <c r="K116" s="24" t="n">
        <v>4</v>
      </c>
      <c r="L116" s="24" t="str">
        <f aca="false">IF(J116&lt;&gt;"","Enrolled",IF(I116&lt;&gt;"","Admitted",IF(H116&lt;&gt;"","Applied",IF(G116&lt;&gt;"","Contacted","New"))))</f>
        <v>Contacted</v>
      </c>
      <c r="M116" s="32" t="n">
        <f aca="false">IF(G116="","",G116-B116)</f>
        <v>0</v>
      </c>
      <c r="N116" s="24" t="str">
        <f aca="false">IF(COUNTIF($A$2:A116,A116)&gt;1,"Duplicate ID",IF(C116="","Missing source",IF(OR(AND(G116&lt;&gt;"",G116&lt;B116),AND(H116&lt;&gt;"",H116&lt;B116),AND(I116&lt;&gt;"",I116&lt;H116),AND(J116&lt;&gt;"",J116&lt;I116)),"Date error","OK")))</f>
        <v>OK</v>
      </c>
    </row>
    <row r="117" customFormat="false" ht="15" hidden="false" customHeight="false" outlineLevel="0" collapsed="false">
      <c r="A117" s="24" t="s">
        <v>198</v>
      </c>
      <c r="B117" s="31" t="n">
        <v>46111</v>
      </c>
      <c r="C117" s="24" t="s">
        <v>21</v>
      </c>
      <c r="D117" s="24" t="s">
        <v>33</v>
      </c>
      <c r="E117" s="24" t="s">
        <v>89</v>
      </c>
      <c r="F117" s="24" t="s">
        <v>44</v>
      </c>
      <c r="G117" s="31" t="n">
        <v>46112</v>
      </c>
      <c r="H117" s="24"/>
      <c r="I117" s="24"/>
      <c r="J117" s="24"/>
      <c r="K117" s="24" t="n">
        <v>1</v>
      </c>
      <c r="L117" s="24" t="str">
        <f aca="false">IF(J117&lt;&gt;"","Enrolled",IF(I117&lt;&gt;"","Admitted",IF(H117&lt;&gt;"","Applied",IF(G117&lt;&gt;"","Contacted","New"))))</f>
        <v>Contacted</v>
      </c>
      <c r="M117" s="32" t="n">
        <f aca="false">IF(G117="","",G117-B117)</f>
        <v>1</v>
      </c>
      <c r="N117" s="24" t="str">
        <f aca="false">IF(COUNTIF($A$2:A117,A117)&gt;1,"Duplicate ID",IF(C117="","Missing source",IF(OR(AND(G117&lt;&gt;"",G117&lt;B117),AND(H117&lt;&gt;"",H117&lt;B117),AND(I117&lt;&gt;"",I117&lt;H117),AND(J117&lt;&gt;"",J117&lt;I117)),"Date error","OK")))</f>
        <v>OK</v>
      </c>
    </row>
    <row r="118" customFormat="false" ht="15" hidden="false" customHeight="false" outlineLevel="0" collapsed="false">
      <c r="A118" s="24" t="s">
        <v>199</v>
      </c>
      <c r="B118" s="31" t="n">
        <v>46111</v>
      </c>
      <c r="C118" s="24" t="s">
        <v>27</v>
      </c>
      <c r="D118" s="24" t="s">
        <v>36</v>
      </c>
      <c r="E118" s="24" t="s">
        <v>89</v>
      </c>
      <c r="F118" s="24" t="s">
        <v>42</v>
      </c>
      <c r="G118" s="31" t="n">
        <v>46111</v>
      </c>
      <c r="H118" s="24"/>
      <c r="I118" s="24"/>
      <c r="J118" s="24"/>
      <c r="K118" s="24" t="n">
        <v>2</v>
      </c>
      <c r="L118" s="24" t="str">
        <f aca="false">IF(J118&lt;&gt;"","Enrolled",IF(I118&lt;&gt;"","Admitted",IF(H118&lt;&gt;"","Applied",IF(G118&lt;&gt;"","Contacted","New"))))</f>
        <v>Contacted</v>
      </c>
      <c r="M118" s="32" t="n">
        <f aca="false">IF(G118="","",G118-B118)</f>
        <v>0</v>
      </c>
      <c r="N118" s="24" t="str">
        <f aca="false">IF(COUNTIF($A$2:A118,A118)&gt;1,"Duplicate ID",IF(C118="","Missing source",IF(OR(AND(G118&lt;&gt;"",G118&lt;B118),AND(H118&lt;&gt;"",H118&lt;B118),AND(I118&lt;&gt;"",I118&lt;H118),AND(J118&lt;&gt;"",J118&lt;I118)),"Date error","OK")))</f>
        <v>OK</v>
      </c>
    </row>
    <row r="119" customFormat="false" ht="15" hidden="false" customHeight="false" outlineLevel="0" collapsed="false">
      <c r="A119" s="24" t="s">
        <v>200</v>
      </c>
      <c r="B119" s="31" t="n">
        <v>46111</v>
      </c>
      <c r="C119" s="24" t="s">
        <v>26</v>
      </c>
      <c r="D119" s="24" t="s">
        <v>32</v>
      </c>
      <c r="E119" s="24" t="s">
        <v>94</v>
      </c>
      <c r="F119" s="24" t="s">
        <v>40</v>
      </c>
      <c r="G119" s="24"/>
      <c r="H119" s="24"/>
      <c r="I119" s="24"/>
      <c r="J119" s="24"/>
      <c r="K119" s="24" t="n">
        <v>0</v>
      </c>
      <c r="L119" s="24" t="str">
        <f aca="false">IF(J119&lt;&gt;"","Enrolled",IF(I119&lt;&gt;"","Admitted",IF(H119&lt;&gt;"","Applied",IF(G119&lt;&gt;"","Contacted","New"))))</f>
        <v>New</v>
      </c>
      <c r="M119" s="32" t="str">
        <f aca="false">IF(G119="","",G119-B119)</f>
        <v/>
      </c>
      <c r="N119" s="24" t="str">
        <f aca="false">IF(COUNTIF($A$2:A119,A119)&gt;1,"Duplicate ID",IF(C119="","Missing source",IF(OR(AND(G119&lt;&gt;"",G119&lt;B119),AND(H119&lt;&gt;"",H119&lt;B119),AND(I119&lt;&gt;"",I119&lt;H119),AND(J119&lt;&gt;"",J119&lt;I119)),"Date error","OK")))</f>
        <v>OK</v>
      </c>
    </row>
    <row r="120" customFormat="false" ht="15" hidden="false" customHeight="false" outlineLevel="0" collapsed="false">
      <c r="A120" s="24" t="s">
        <v>201</v>
      </c>
      <c r="B120" s="31" t="n">
        <v>46111</v>
      </c>
      <c r="C120" s="24" t="s">
        <v>27</v>
      </c>
      <c r="D120" s="24" t="s">
        <v>36</v>
      </c>
      <c r="E120" s="24" t="s">
        <v>94</v>
      </c>
      <c r="F120" s="24" t="s">
        <v>40</v>
      </c>
      <c r="G120" s="31" t="n">
        <v>46112</v>
      </c>
      <c r="H120" s="24"/>
      <c r="I120" s="24"/>
      <c r="J120" s="24"/>
      <c r="K120" s="24" t="n">
        <v>0</v>
      </c>
      <c r="L120" s="24" t="str">
        <f aca="false">IF(J120&lt;&gt;"","Enrolled",IF(I120&lt;&gt;"","Admitted",IF(H120&lt;&gt;"","Applied",IF(G120&lt;&gt;"","Contacted","New"))))</f>
        <v>Contacted</v>
      </c>
      <c r="M120" s="32" t="n">
        <f aca="false">IF(G120="","",G120-B120)</f>
        <v>1</v>
      </c>
      <c r="N120" s="24" t="str">
        <f aca="false">IF(COUNTIF($A$2:A120,A120)&gt;1,"Duplicate ID",IF(C120="","Missing source",IF(OR(AND(G120&lt;&gt;"",G120&lt;B120),AND(H120&lt;&gt;"",H120&lt;B120),AND(I120&lt;&gt;"",I120&lt;H120),AND(J120&lt;&gt;"",J120&lt;I120)),"Date error","OK")))</f>
        <v>OK</v>
      </c>
    </row>
    <row r="121" customFormat="false" ht="15" hidden="false" customHeight="false" outlineLevel="0" collapsed="false">
      <c r="A121" s="24" t="s">
        <v>202</v>
      </c>
      <c r="B121" s="31" t="n">
        <v>46111</v>
      </c>
      <c r="C121" s="24" t="s">
        <v>24</v>
      </c>
      <c r="D121" s="24" t="s">
        <v>32</v>
      </c>
      <c r="E121" s="24" t="s">
        <v>81</v>
      </c>
      <c r="F121" s="24" t="s">
        <v>44</v>
      </c>
      <c r="G121" s="31" t="n">
        <v>46112</v>
      </c>
      <c r="H121" s="24"/>
      <c r="I121" s="24"/>
      <c r="J121" s="24"/>
      <c r="K121" s="24" t="n">
        <v>0</v>
      </c>
      <c r="L121" s="24" t="str">
        <f aca="false">IF(J121&lt;&gt;"","Enrolled",IF(I121&lt;&gt;"","Admitted",IF(H121&lt;&gt;"","Applied",IF(G121&lt;&gt;"","Contacted","New"))))</f>
        <v>Contacted</v>
      </c>
      <c r="M121" s="32" t="n">
        <f aca="false">IF(G121="","",G121-B121)</f>
        <v>1</v>
      </c>
      <c r="N121" s="24" t="str">
        <f aca="false">IF(COUNTIF($A$2:A121,A121)&gt;1,"Duplicate ID",IF(C121="","Missing source",IF(OR(AND(G121&lt;&gt;"",G121&lt;B121),AND(H121&lt;&gt;"",H121&lt;B121),AND(I121&lt;&gt;"",I121&lt;H121),AND(J121&lt;&gt;"",J121&lt;I121)),"Date error","OK")))</f>
        <v>OK</v>
      </c>
    </row>
    <row r="122" customFormat="false" ht="15" hidden="false" customHeight="false" outlineLevel="0" collapsed="false">
      <c r="A122" s="24" t="s">
        <v>203</v>
      </c>
      <c r="B122" s="31" t="n">
        <v>46112</v>
      </c>
      <c r="C122" s="24" t="s">
        <v>24</v>
      </c>
      <c r="D122" s="24" t="s">
        <v>36</v>
      </c>
      <c r="E122" s="24" t="s">
        <v>89</v>
      </c>
      <c r="F122" s="24" t="s">
        <v>45</v>
      </c>
      <c r="G122" s="31" t="n">
        <v>46119</v>
      </c>
      <c r="H122" s="24"/>
      <c r="I122" s="24"/>
      <c r="J122" s="24"/>
      <c r="K122" s="24" t="n">
        <v>4</v>
      </c>
      <c r="L122" s="24" t="str">
        <f aca="false">IF(J122&lt;&gt;"","Enrolled",IF(I122&lt;&gt;"","Admitted",IF(H122&lt;&gt;"","Applied",IF(G122&lt;&gt;"","Contacted","New"))))</f>
        <v>Contacted</v>
      </c>
      <c r="M122" s="32" t="n">
        <f aca="false">IF(G122="","",G122-B122)</f>
        <v>7</v>
      </c>
      <c r="N122" s="24" t="str">
        <f aca="false">IF(COUNTIF($A$2:A122,A122)&gt;1,"Duplicate ID",IF(C122="","Missing source",IF(OR(AND(G122&lt;&gt;"",G122&lt;B122),AND(H122&lt;&gt;"",H122&lt;B122),AND(I122&lt;&gt;"",I122&lt;H122),AND(J122&lt;&gt;"",J122&lt;I122)),"Date error","OK")))</f>
        <v>OK</v>
      </c>
    </row>
    <row r="123" customFormat="false" ht="15" hidden="false" customHeight="false" outlineLevel="0" collapsed="false">
      <c r="A123" s="24" t="s">
        <v>204</v>
      </c>
      <c r="B123" s="31" t="n">
        <v>46112</v>
      </c>
      <c r="C123" s="24" t="s">
        <v>25</v>
      </c>
      <c r="D123" s="24" t="s">
        <v>36</v>
      </c>
      <c r="E123" s="24" t="s">
        <v>79</v>
      </c>
      <c r="F123" s="24" t="s">
        <v>42</v>
      </c>
      <c r="G123" s="31" t="n">
        <v>46114</v>
      </c>
      <c r="H123" s="24"/>
      <c r="I123" s="24"/>
      <c r="J123" s="24"/>
      <c r="K123" s="24" t="n">
        <v>5</v>
      </c>
      <c r="L123" s="24" t="str">
        <f aca="false">IF(J123&lt;&gt;"","Enrolled",IF(I123&lt;&gt;"","Admitted",IF(H123&lt;&gt;"","Applied",IF(G123&lt;&gt;"","Contacted","New"))))</f>
        <v>Contacted</v>
      </c>
      <c r="M123" s="32" t="n">
        <f aca="false">IF(G123="","",G123-B123)</f>
        <v>2</v>
      </c>
      <c r="N123" s="24" t="str">
        <f aca="false">IF(COUNTIF($A$2:A123,A123)&gt;1,"Duplicate ID",IF(C123="","Missing source",IF(OR(AND(G123&lt;&gt;"",G123&lt;B123),AND(H123&lt;&gt;"",H123&lt;B123),AND(I123&lt;&gt;"",I123&lt;H123),AND(J123&lt;&gt;"",J123&lt;I123)),"Date error","OK")))</f>
        <v>OK</v>
      </c>
    </row>
    <row r="124" customFormat="false" ht="15" hidden="false" customHeight="false" outlineLevel="0" collapsed="false">
      <c r="A124" s="24" t="s">
        <v>205</v>
      </c>
      <c r="B124" s="31" t="n">
        <v>46112</v>
      </c>
      <c r="C124" s="24" t="s">
        <v>21</v>
      </c>
      <c r="D124" s="24" t="s">
        <v>36</v>
      </c>
      <c r="E124" s="24" t="s">
        <v>89</v>
      </c>
      <c r="F124" s="24" t="s">
        <v>41</v>
      </c>
      <c r="G124" s="31" t="n">
        <v>46112</v>
      </c>
      <c r="H124" s="31" t="n">
        <v>46129</v>
      </c>
      <c r="I124" s="31" t="n">
        <v>46136</v>
      </c>
      <c r="J124" s="31" t="n">
        <v>46164</v>
      </c>
      <c r="K124" s="24" t="n">
        <v>3</v>
      </c>
      <c r="L124" s="24" t="str">
        <f aca="false">IF(J124&lt;&gt;"","Enrolled",IF(I124&lt;&gt;"","Admitted",IF(H124&lt;&gt;"","Applied",IF(G124&lt;&gt;"","Contacted","New"))))</f>
        <v>Enrolled</v>
      </c>
      <c r="M124" s="32" t="n">
        <f aca="false">IF(G124="","",G124-B124)</f>
        <v>0</v>
      </c>
      <c r="N124" s="24" t="str">
        <f aca="false">IF(COUNTIF($A$2:A124,A124)&gt;1,"Duplicate ID",IF(C124="","Missing source",IF(OR(AND(G124&lt;&gt;"",G124&lt;B124),AND(H124&lt;&gt;"",H124&lt;B124),AND(I124&lt;&gt;"",I124&lt;H124),AND(J124&lt;&gt;"",J124&lt;I124)),"Date error","OK")))</f>
        <v>OK</v>
      </c>
    </row>
    <row r="125" customFormat="false" ht="15" hidden="false" customHeight="false" outlineLevel="0" collapsed="false">
      <c r="A125" s="24" t="s">
        <v>206</v>
      </c>
      <c r="B125" s="31" t="n">
        <v>46112</v>
      </c>
      <c r="C125" s="24" t="s">
        <v>26</v>
      </c>
      <c r="D125" s="24" t="s">
        <v>34</v>
      </c>
      <c r="E125" s="24" t="s">
        <v>79</v>
      </c>
      <c r="F125" s="24" t="s">
        <v>42</v>
      </c>
      <c r="G125" s="31" t="n">
        <v>46113</v>
      </c>
      <c r="H125" s="24"/>
      <c r="I125" s="24"/>
      <c r="J125" s="24"/>
      <c r="K125" s="24" t="n">
        <v>3</v>
      </c>
      <c r="L125" s="24" t="str">
        <f aca="false">IF(J125&lt;&gt;"","Enrolled",IF(I125&lt;&gt;"","Admitted",IF(H125&lt;&gt;"","Applied",IF(G125&lt;&gt;"","Contacted","New"))))</f>
        <v>Contacted</v>
      </c>
      <c r="M125" s="32" t="n">
        <f aca="false">IF(G125="","",G125-B125)</f>
        <v>1</v>
      </c>
      <c r="N125" s="24" t="str">
        <f aca="false">IF(COUNTIF($A$2:A125,A125)&gt;1,"Duplicate ID",IF(C125="","Missing source",IF(OR(AND(G125&lt;&gt;"",G125&lt;B125),AND(H125&lt;&gt;"",H125&lt;B125),AND(I125&lt;&gt;"",I125&lt;H125),AND(J125&lt;&gt;"",J125&lt;I125)),"Date error","OK")))</f>
        <v>OK</v>
      </c>
    </row>
    <row r="126" customFormat="false" ht="15" hidden="false" customHeight="false" outlineLevel="0" collapsed="false">
      <c r="A126" s="24" t="s">
        <v>207</v>
      </c>
      <c r="B126" s="31" t="n">
        <v>46112</v>
      </c>
      <c r="C126" s="24" t="s">
        <v>23</v>
      </c>
      <c r="D126" s="24" t="s">
        <v>33</v>
      </c>
      <c r="E126" s="24" t="s">
        <v>79</v>
      </c>
      <c r="F126" s="24" t="s">
        <v>40</v>
      </c>
      <c r="G126" s="24"/>
      <c r="H126" s="24"/>
      <c r="I126" s="24"/>
      <c r="J126" s="24"/>
      <c r="K126" s="24" t="n">
        <v>0</v>
      </c>
      <c r="L126" s="24" t="str">
        <f aca="false">IF(J126&lt;&gt;"","Enrolled",IF(I126&lt;&gt;"","Admitted",IF(H126&lt;&gt;"","Applied",IF(G126&lt;&gt;"","Contacted","New"))))</f>
        <v>New</v>
      </c>
      <c r="M126" s="32" t="str">
        <f aca="false">IF(G126="","",G126-B126)</f>
        <v/>
      </c>
      <c r="N126" s="24" t="str">
        <f aca="false">IF(COUNTIF($A$2:A126,A126)&gt;1,"Duplicate ID",IF(C126="","Missing source",IF(OR(AND(G126&lt;&gt;"",G126&lt;B126),AND(H126&lt;&gt;"",H126&lt;B126),AND(I126&lt;&gt;"",I126&lt;H126),AND(J126&lt;&gt;"",J126&lt;I126)),"Date error","OK")))</f>
        <v>OK</v>
      </c>
    </row>
    <row r="127" customFormat="false" ht="15" hidden="false" customHeight="false" outlineLevel="0" collapsed="false">
      <c r="A127" s="24" t="s">
        <v>208</v>
      </c>
      <c r="B127" s="31" t="n">
        <v>46113</v>
      </c>
      <c r="C127" s="24" t="s">
        <v>22</v>
      </c>
      <c r="D127" s="24" t="s">
        <v>36</v>
      </c>
      <c r="E127" s="24" t="s">
        <v>94</v>
      </c>
      <c r="F127" s="24" t="s">
        <v>40</v>
      </c>
      <c r="G127" s="31" t="n">
        <v>46113</v>
      </c>
      <c r="H127" s="31" t="n">
        <v>46122</v>
      </c>
      <c r="I127" s="31" t="n">
        <v>46128</v>
      </c>
      <c r="J127" s="31" t="n">
        <v>46149</v>
      </c>
      <c r="K127" s="24" t="n">
        <v>2</v>
      </c>
      <c r="L127" s="24" t="str">
        <f aca="false">IF(J127&lt;&gt;"","Enrolled",IF(I127&lt;&gt;"","Admitted",IF(H127&lt;&gt;"","Applied",IF(G127&lt;&gt;"","Contacted","New"))))</f>
        <v>Enrolled</v>
      </c>
      <c r="M127" s="32" t="n">
        <f aca="false">IF(G127="","",G127-B127)</f>
        <v>0</v>
      </c>
      <c r="N127" s="24" t="str">
        <f aca="false">IF(COUNTIF($A$2:A127,A127)&gt;1,"Duplicate ID",IF(C127="","Missing source",IF(OR(AND(G127&lt;&gt;"",G127&lt;B127),AND(H127&lt;&gt;"",H127&lt;B127),AND(I127&lt;&gt;"",I127&lt;H127),AND(J127&lt;&gt;"",J127&lt;I127)),"Date error","OK")))</f>
        <v>OK</v>
      </c>
    </row>
    <row r="128" customFormat="false" ht="15" hidden="false" customHeight="false" outlineLevel="0" collapsed="false">
      <c r="A128" s="24" t="s">
        <v>209</v>
      </c>
      <c r="B128" s="31" t="n">
        <v>46113</v>
      </c>
      <c r="C128" s="24" t="s">
        <v>26</v>
      </c>
      <c r="D128" s="24" t="s">
        <v>32</v>
      </c>
      <c r="E128" s="24" t="s">
        <v>89</v>
      </c>
      <c r="F128" s="24" t="s">
        <v>42</v>
      </c>
      <c r="G128" s="31" t="n">
        <v>46115</v>
      </c>
      <c r="H128" s="24"/>
      <c r="I128" s="24"/>
      <c r="J128" s="24"/>
      <c r="K128" s="24" t="n">
        <v>2</v>
      </c>
      <c r="L128" s="24" t="str">
        <f aca="false">IF(J128&lt;&gt;"","Enrolled",IF(I128&lt;&gt;"","Admitted",IF(H128&lt;&gt;"","Applied",IF(G128&lt;&gt;"","Contacted","New"))))</f>
        <v>Contacted</v>
      </c>
      <c r="M128" s="32" t="n">
        <f aca="false">IF(G128="","",G128-B128)</f>
        <v>2</v>
      </c>
      <c r="N128" s="24" t="str">
        <f aca="false">IF(COUNTIF($A$2:A128,A128)&gt;1,"Duplicate ID",IF(C128="","Missing source",IF(OR(AND(G128&lt;&gt;"",G128&lt;B128),AND(H128&lt;&gt;"",H128&lt;B128),AND(I128&lt;&gt;"",I128&lt;H128),AND(J128&lt;&gt;"",J128&lt;I128)),"Date error","OK")))</f>
        <v>OK</v>
      </c>
    </row>
    <row r="129" customFormat="false" ht="15" hidden="false" customHeight="false" outlineLevel="0" collapsed="false">
      <c r="A129" s="24" t="s">
        <v>210</v>
      </c>
      <c r="B129" s="31" t="n">
        <v>46113</v>
      </c>
      <c r="C129" s="24" t="s">
        <v>26</v>
      </c>
      <c r="D129" s="24" t="s">
        <v>36</v>
      </c>
      <c r="E129" s="24" t="s">
        <v>89</v>
      </c>
      <c r="F129" s="24" t="s">
        <v>44</v>
      </c>
      <c r="G129" s="31" t="n">
        <v>46113</v>
      </c>
      <c r="H129" s="24"/>
      <c r="I129" s="24"/>
      <c r="J129" s="24"/>
      <c r="K129" s="24" t="n">
        <v>5</v>
      </c>
      <c r="L129" s="24" t="str">
        <f aca="false">IF(J129&lt;&gt;"","Enrolled",IF(I129&lt;&gt;"","Admitted",IF(H129&lt;&gt;"","Applied",IF(G129&lt;&gt;"","Contacted","New"))))</f>
        <v>Contacted</v>
      </c>
      <c r="M129" s="32" t="n">
        <f aca="false">IF(G129="","",G129-B129)</f>
        <v>0</v>
      </c>
      <c r="N129" s="24" t="str">
        <f aca="false">IF(COUNTIF($A$2:A129,A129)&gt;1,"Duplicate ID",IF(C129="","Missing source",IF(OR(AND(G129&lt;&gt;"",G129&lt;B129),AND(H129&lt;&gt;"",H129&lt;B129),AND(I129&lt;&gt;"",I129&lt;H129),AND(J129&lt;&gt;"",J129&lt;I129)),"Date error","OK")))</f>
        <v>OK</v>
      </c>
    </row>
    <row r="130" customFormat="false" ht="15" hidden="false" customHeight="false" outlineLevel="0" collapsed="false">
      <c r="A130" s="24" t="s">
        <v>211</v>
      </c>
      <c r="B130" s="31" t="n">
        <v>46113</v>
      </c>
      <c r="C130" s="24" t="s">
        <v>26</v>
      </c>
      <c r="D130" s="24" t="s">
        <v>36</v>
      </c>
      <c r="E130" s="24" t="s">
        <v>94</v>
      </c>
      <c r="F130" s="24" t="s">
        <v>44</v>
      </c>
      <c r="G130" s="31" t="n">
        <v>46114</v>
      </c>
      <c r="H130" s="24"/>
      <c r="I130" s="24"/>
      <c r="J130" s="24"/>
      <c r="K130" s="24" t="n">
        <v>2</v>
      </c>
      <c r="L130" s="24" t="str">
        <f aca="false">IF(J130&lt;&gt;"","Enrolled",IF(I130&lt;&gt;"","Admitted",IF(H130&lt;&gt;"","Applied",IF(G130&lt;&gt;"","Contacted","New"))))</f>
        <v>Contacted</v>
      </c>
      <c r="M130" s="32" t="n">
        <f aca="false">IF(G130="","",G130-B130)</f>
        <v>1</v>
      </c>
      <c r="N130" s="24" t="str">
        <f aca="false">IF(COUNTIF($A$2:A130,A130)&gt;1,"Duplicate ID",IF(C130="","Missing source",IF(OR(AND(G130&lt;&gt;"",G130&lt;B130),AND(H130&lt;&gt;"",H130&lt;B130),AND(I130&lt;&gt;"",I130&lt;H130),AND(J130&lt;&gt;"",J130&lt;I130)),"Date error","OK")))</f>
        <v>OK</v>
      </c>
    </row>
    <row r="131" customFormat="false" ht="15" hidden="false" customHeight="false" outlineLevel="0" collapsed="false">
      <c r="A131" s="24" t="s">
        <v>212</v>
      </c>
      <c r="B131" s="31" t="n">
        <v>46113</v>
      </c>
      <c r="C131" s="24" t="s">
        <v>23</v>
      </c>
      <c r="D131" s="24" t="s">
        <v>32</v>
      </c>
      <c r="E131" s="24" t="s">
        <v>94</v>
      </c>
      <c r="F131" s="24" t="s">
        <v>44</v>
      </c>
      <c r="G131" s="31" t="n">
        <v>46115</v>
      </c>
      <c r="H131" s="24"/>
      <c r="I131" s="24"/>
      <c r="J131" s="24"/>
      <c r="K131" s="24" t="n">
        <v>6</v>
      </c>
      <c r="L131" s="24" t="str">
        <f aca="false">IF(J131&lt;&gt;"","Enrolled",IF(I131&lt;&gt;"","Admitted",IF(H131&lt;&gt;"","Applied",IF(G131&lt;&gt;"","Contacted","New"))))</f>
        <v>Contacted</v>
      </c>
      <c r="M131" s="32" t="n">
        <f aca="false">IF(G131="","",G131-B131)</f>
        <v>2</v>
      </c>
      <c r="N131" s="24" t="str">
        <f aca="false">IF(COUNTIF($A$2:A131,A131)&gt;1,"Duplicate ID",IF(C131="","Missing source",IF(OR(AND(G131&lt;&gt;"",G131&lt;B131),AND(H131&lt;&gt;"",H131&lt;B131),AND(I131&lt;&gt;"",I131&lt;H131),AND(J131&lt;&gt;"",J131&lt;I131)),"Date error","OK")))</f>
        <v>OK</v>
      </c>
    </row>
    <row r="132" customFormat="false" ht="15" hidden="false" customHeight="false" outlineLevel="0" collapsed="false">
      <c r="A132" s="24" t="s">
        <v>213</v>
      </c>
      <c r="B132" s="31" t="n">
        <v>46114</v>
      </c>
      <c r="C132" s="24" t="s">
        <v>27</v>
      </c>
      <c r="D132" s="24" t="s">
        <v>36</v>
      </c>
      <c r="E132" s="24" t="s">
        <v>81</v>
      </c>
      <c r="F132" s="24" t="s">
        <v>44</v>
      </c>
      <c r="G132" s="31" t="n">
        <v>46117</v>
      </c>
      <c r="H132" s="24"/>
      <c r="I132" s="24"/>
      <c r="J132" s="24"/>
      <c r="K132" s="24" t="n">
        <v>8</v>
      </c>
      <c r="L132" s="24" t="str">
        <f aca="false">IF(J132&lt;&gt;"","Enrolled",IF(I132&lt;&gt;"","Admitted",IF(H132&lt;&gt;"","Applied",IF(G132&lt;&gt;"","Contacted","New"))))</f>
        <v>Contacted</v>
      </c>
      <c r="M132" s="32" t="n">
        <f aca="false">IF(G132="","",G132-B132)</f>
        <v>3</v>
      </c>
      <c r="N132" s="24" t="str">
        <f aca="false">IF(COUNTIF($A$2:A132,A132)&gt;1,"Duplicate ID",IF(C132="","Missing source",IF(OR(AND(G132&lt;&gt;"",G132&lt;B132),AND(H132&lt;&gt;"",H132&lt;B132),AND(I132&lt;&gt;"",I132&lt;H132),AND(J132&lt;&gt;"",J132&lt;I132)),"Date error","OK")))</f>
        <v>OK</v>
      </c>
    </row>
    <row r="133" customFormat="false" ht="15" hidden="false" customHeight="false" outlineLevel="0" collapsed="false">
      <c r="A133" s="24" t="s">
        <v>214</v>
      </c>
      <c r="B133" s="31" t="n">
        <v>46114</v>
      </c>
      <c r="C133" s="24" t="s">
        <v>26</v>
      </c>
      <c r="D133" s="24" t="s">
        <v>32</v>
      </c>
      <c r="E133" s="24" t="s">
        <v>84</v>
      </c>
      <c r="F133" s="24" t="s">
        <v>40</v>
      </c>
      <c r="G133" s="31" t="n">
        <v>46115</v>
      </c>
      <c r="H133" s="31" t="n">
        <v>46124</v>
      </c>
      <c r="I133" s="31" t="n">
        <v>46136</v>
      </c>
      <c r="J133" s="31" t="n">
        <v>46170</v>
      </c>
      <c r="K133" s="24" t="n">
        <v>2</v>
      </c>
      <c r="L133" s="24" t="str">
        <f aca="false">IF(J133&lt;&gt;"","Enrolled",IF(I133&lt;&gt;"","Admitted",IF(H133&lt;&gt;"","Applied",IF(G133&lt;&gt;"","Contacted","New"))))</f>
        <v>Enrolled</v>
      </c>
      <c r="M133" s="32" t="n">
        <f aca="false">IF(G133="","",G133-B133)</f>
        <v>1</v>
      </c>
      <c r="N133" s="24" t="str">
        <f aca="false">IF(COUNTIF($A$2:A133,A133)&gt;1,"Duplicate ID",IF(C133="","Missing source",IF(OR(AND(G133&lt;&gt;"",G133&lt;B133),AND(H133&lt;&gt;"",H133&lt;B133),AND(I133&lt;&gt;"",I133&lt;H133),AND(J133&lt;&gt;"",J133&lt;I133)),"Date error","OK")))</f>
        <v>OK</v>
      </c>
    </row>
    <row r="134" customFormat="false" ht="15" hidden="false" customHeight="false" outlineLevel="0" collapsed="false">
      <c r="A134" s="24" t="s">
        <v>215</v>
      </c>
      <c r="B134" s="31" t="n">
        <v>46114</v>
      </c>
      <c r="C134" s="24" t="s">
        <v>27</v>
      </c>
      <c r="D134" s="24" t="s">
        <v>32</v>
      </c>
      <c r="E134" s="24" t="s">
        <v>94</v>
      </c>
      <c r="F134" s="24" t="s">
        <v>43</v>
      </c>
      <c r="G134" s="31" t="n">
        <v>46115</v>
      </c>
      <c r="H134" s="24"/>
      <c r="I134" s="24"/>
      <c r="J134" s="24"/>
      <c r="K134" s="24" t="n">
        <v>2</v>
      </c>
      <c r="L134" s="24" t="str">
        <f aca="false">IF(J134&lt;&gt;"","Enrolled",IF(I134&lt;&gt;"","Admitted",IF(H134&lt;&gt;"","Applied",IF(G134&lt;&gt;"","Contacted","New"))))</f>
        <v>Contacted</v>
      </c>
      <c r="M134" s="32" t="n">
        <f aca="false">IF(G134="","",G134-B134)</f>
        <v>1</v>
      </c>
      <c r="N134" s="24" t="str">
        <f aca="false">IF(COUNTIF($A$2:A134,A134)&gt;1,"Duplicate ID",IF(C134="","Missing source",IF(OR(AND(G134&lt;&gt;"",G134&lt;B134),AND(H134&lt;&gt;"",H134&lt;B134),AND(I134&lt;&gt;"",I134&lt;H134),AND(J134&lt;&gt;"",J134&lt;I134)),"Date error","OK")))</f>
        <v>OK</v>
      </c>
    </row>
    <row r="135" customFormat="false" ht="15" hidden="false" customHeight="false" outlineLevel="0" collapsed="false">
      <c r="A135" s="24" t="s">
        <v>216</v>
      </c>
      <c r="B135" s="31" t="n">
        <v>46114</v>
      </c>
      <c r="C135" s="24" t="s">
        <v>27</v>
      </c>
      <c r="D135" s="24" t="s">
        <v>35</v>
      </c>
      <c r="E135" s="24" t="s">
        <v>89</v>
      </c>
      <c r="F135" s="24" t="s">
        <v>44</v>
      </c>
      <c r="G135" s="31" t="n">
        <v>46121</v>
      </c>
      <c r="H135" s="31" t="n">
        <v>46140</v>
      </c>
      <c r="I135" s="31" t="n">
        <v>46148</v>
      </c>
      <c r="J135" s="24"/>
      <c r="K135" s="24" t="n">
        <v>4</v>
      </c>
      <c r="L135" s="24" t="str">
        <f aca="false">IF(J135&lt;&gt;"","Enrolled",IF(I135&lt;&gt;"","Admitted",IF(H135&lt;&gt;"","Applied",IF(G135&lt;&gt;"","Contacted","New"))))</f>
        <v>Admitted</v>
      </c>
      <c r="M135" s="32" t="n">
        <f aca="false">IF(G135="","",G135-B135)</f>
        <v>7</v>
      </c>
      <c r="N135" s="24" t="str">
        <f aca="false">IF(COUNTIF($A$2:A135,A135)&gt;1,"Duplicate ID",IF(C135="","Missing source",IF(OR(AND(G135&lt;&gt;"",G135&lt;B135),AND(H135&lt;&gt;"",H135&lt;B135),AND(I135&lt;&gt;"",I135&lt;H135),AND(J135&lt;&gt;"",J135&lt;I135)),"Date error","OK")))</f>
        <v>OK</v>
      </c>
    </row>
    <row r="136" customFormat="false" ht="15" hidden="false" customHeight="false" outlineLevel="0" collapsed="false">
      <c r="A136" s="24" t="s">
        <v>217</v>
      </c>
      <c r="B136" s="31" t="n">
        <v>46114</v>
      </c>
      <c r="C136" s="24" t="s">
        <v>23</v>
      </c>
      <c r="D136" s="24" t="s">
        <v>33</v>
      </c>
      <c r="E136" s="24" t="s">
        <v>89</v>
      </c>
      <c r="F136" s="24" t="s">
        <v>44</v>
      </c>
      <c r="G136" s="31" t="n">
        <v>46116</v>
      </c>
      <c r="H136" s="24"/>
      <c r="I136" s="24"/>
      <c r="J136" s="24"/>
      <c r="K136" s="24" t="n">
        <v>1</v>
      </c>
      <c r="L136" s="24" t="str">
        <f aca="false">IF(J136&lt;&gt;"","Enrolled",IF(I136&lt;&gt;"","Admitted",IF(H136&lt;&gt;"","Applied",IF(G136&lt;&gt;"","Contacted","New"))))</f>
        <v>Contacted</v>
      </c>
      <c r="M136" s="32" t="n">
        <f aca="false">IF(G136="","",G136-B136)</f>
        <v>2</v>
      </c>
      <c r="N136" s="24" t="str">
        <f aca="false">IF(COUNTIF($A$2:A136,A136)&gt;1,"Duplicate ID",IF(C136="","Missing source",IF(OR(AND(G136&lt;&gt;"",G136&lt;B136),AND(H136&lt;&gt;"",H136&lt;B136),AND(I136&lt;&gt;"",I136&lt;H136),AND(J136&lt;&gt;"",J136&lt;I136)),"Date error","OK")))</f>
        <v>OK</v>
      </c>
    </row>
    <row r="137" customFormat="false" ht="15" hidden="false" customHeight="false" outlineLevel="0" collapsed="false">
      <c r="A137" s="24" t="s">
        <v>218</v>
      </c>
      <c r="B137" s="31" t="n">
        <v>46114</v>
      </c>
      <c r="C137" s="24" t="s">
        <v>24</v>
      </c>
      <c r="D137" s="24" t="s">
        <v>34</v>
      </c>
      <c r="E137" s="24" t="s">
        <v>94</v>
      </c>
      <c r="F137" s="24" t="s">
        <v>41</v>
      </c>
      <c r="G137" s="31" t="n">
        <v>46115</v>
      </c>
      <c r="H137" s="24"/>
      <c r="I137" s="24"/>
      <c r="J137" s="24"/>
      <c r="K137" s="24" t="n">
        <v>3</v>
      </c>
      <c r="L137" s="24" t="str">
        <f aca="false">IF(J137&lt;&gt;"","Enrolled",IF(I137&lt;&gt;"","Admitted",IF(H137&lt;&gt;"","Applied",IF(G137&lt;&gt;"","Contacted","New"))))</f>
        <v>Contacted</v>
      </c>
      <c r="M137" s="32" t="n">
        <f aca="false">IF(G137="","",G137-B137)</f>
        <v>1</v>
      </c>
      <c r="N137" s="24" t="str">
        <f aca="false">IF(COUNTIF($A$2:A137,A137)&gt;1,"Duplicate ID",IF(C137="","Missing source",IF(OR(AND(G137&lt;&gt;"",G137&lt;B137),AND(H137&lt;&gt;"",H137&lt;B137),AND(I137&lt;&gt;"",I137&lt;H137),AND(J137&lt;&gt;"",J137&lt;I137)),"Date error","OK")))</f>
        <v>OK</v>
      </c>
    </row>
    <row r="138" customFormat="false" ht="15" hidden="false" customHeight="false" outlineLevel="0" collapsed="false">
      <c r="A138" s="24" t="s">
        <v>219</v>
      </c>
      <c r="B138" s="31" t="n">
        <v>46114</v>
      </c>
      <c r="C138" s="24" t="s">
        <v>27</v>
      </c>
      <c r="D138" s="24" t="s">
        <v>35</v>
      </c>
      <c r="E138" s="24" t="s">
        <v>89</v>
      </c>
      <c r="F138" s="24" t="s">
        <v>41</v>
      </c>
      <c r="G138" s="24"/>
      <c r="H138" s="24"/>
      <c r="I138" s="24"/>
      <c r="J138" s="24"/>
      <c r="K138" s="24" t="n">
        <v>0</v>
      </c>
      <c r="L138" s="24" t="str">
        <f aca="false">IF(J138&lt;&gt;"","Enrolled",IF(I138&lt;&gt;"","Admitted",IF(H138&lt;&gt;"","Applied",IF(G138&lt;&gt;"","Contacted","New"))))</f>
        <v>New</v>
      </c>
      <c r="M138" s="32" t="str">
        <f aca="false">IF(G138="","",G138-B138)</f>
        <v/>
      </c>
      <c r="N138" s="24" t="str">
        <f aca="false">IF(COUNTIF($A$2:A138,A138)&gt;1,"Duplicate ID",IF(C138="","Missing source",IF(OR(AND(G138&lt;&gt;"",G138&lt;B138),AND(H138&lt;&gt;"",H138&lt;B138),AND(I138&lt;&gt;"",I138&lt;H138),AND(J138&lt;&gt;"",J138&lt;I138)),"Date error","OK")))</f>
        <v>OK</v>
      </c>
    </row>
    <row r="139" customFormat="false" ht="15" hidden="false" customHeight="false" outlineLevel="0" collapsed="false">
      <c r="A139" s="24" t="s">
        <v>220</v>
      </c>
      <c r="B139" s="31" t="n">
        <v>46115</v>
      </c>
      <c r="C139" s="24" t="s">
        <v>26</v>
      </c>
      <c r="D139" s="24" t="s">
        <v>35</v>
      </c>
      <c r="E139" s="24" t="s">
        <v>89</v>
      </c>
      <c r="F139" s="24" t="s">
        <v>44</v>
      </c>
      <c r="G139" s="31" t="n">
        <v>46115</v>
      </c>
      <c r="H139" s="24"/>
      <c r="I139" s="24"/>
      <c r="J139" s="24"/>
      <c r="K139" s="24" t="n">
        <v>3</v>
      </c>
      <c r="L139" s="24" t="str">
        <f aca="false">IF(J139&lt;&gt;"","Enrolled",IF(I139&lt;&gt;"","Admitted",IF(H139&lt;&gt;"","Applied",IF(G139&lt;&gt;"","Contacted","New"))))</f>
        <v>Contacted</v>
      </c>
      <c r="M139" s="32" t="n">
        <f aca="false">IF(G139="","",G139-B139)</f>
        <v>0</v>
      </c>
      <c r="N139" s="24" t="str">
        <f aca="false">IF(COUNTIF($A$2:A139,A139)&gt;1,"Duplicate ID",IF(C139="","Missing source",IF(OR(AND(G139&lt;&gt;"",G139&lt;B139),AND(H139&lt;&gt;"",H139&lt;B139),AND(I139&lt;&gt;"",I139&lt;H139),AND(J139&lt;&gt;"",J139&lt;I139)),"Date error","OK")))</f>
        <v>OK</v>
      </c>
    </row>
    <row r="140" customFormat="false" ht="15" hidden="false" customHeight="false" outlineLevel="0" collapsed="false">
      <c r="A140" s="24" t="s">
        <v>221</v>
      </c>
      <c r="B140" s="31" t="n">
        <v>46115</v>
      </c>
      <c r="C140" s="24" t="s">
        <v>21</v>
      </c>
      <c r="D140" s="24" t="s">
        <v>35</v>
      </c>
      <c r="E140" s="24" t="s">
        <v>89</v>
      </c>
      <c r="F140" s="24" t="s">
        <v>44</v>
      </c>
      <c r="G140" s="31" t="n">
        <v>46115</v>
      </c>
      <c r="H140" s="24"/>
      <c r="I140" s="24"/>
      <c r="J140" s="24"/>
      <c r="K140" s="24" t="n">
        <v>4</v>
      </c>
      <c r="L140" s="24" t="str">
        <f aca="false">IF(J140&lt;&gt;"","Enrolled",IF(I140&lt;&gt;"","Admitted",IF(H140&lt;&gt;"","Applied",IF(G140&lt;&gt;"","Contacted","New"))))</f>
        <v>Contacted</v>
      </c>
      <c r="M140" s="32" t="n">
        <f aca="false">IF(G140="","",G140-B140)</f>
        <v>0</v>
      </c>
      <c r="N140" s="24" t="str">
        <f aca="false">IF(COUNTIF($A$2:A140,A140)&gt;1,"Duplicate ID",IF(C140="","Missing source",IF(OR(AND(G140&lt;&gt;"",G140&lt;B140),AND(H140&lt;&gt;"",H140&lt;B140),AND(I140&lt;&gt;"",I140&lt;H140),AND(J140&lt;&gt;"",J140&lt;I140)),"Date error","OK")))</f>
        <v>OK</v>
      </c>
    </row>
    <row r="141" customFormat="false" ht="15" hidden="false" customHeight="false" outlineLevel="0" collapsed="false">
      <c r="A141" s="24" t="s">
        <v>222</v>
      </c>
      <c r="B141" s="31" t="n">
        <v>46115</v>
      </c>
      <c r="C141" s="24" t="s">
        <v>25</v>
      </c>
      <c r="D141" s="24" t="s">
        <v>33</v>
      </c>
      <c r="E141" s="24" t="s">
        <v>79</v>
      </c>
      <c r="F141" s="24" t="s">
        <v>45</v>
      </c>
      <c r="G141" s="31" t="n">
        <v>46116</v>
      </c>
      <c r="H141" s="24"/>
      <c r="I141" s="24"/>
      <c r="J141" s="24"/>
      <c r="K141" s="24" t="n">
        <v>0</v>
      </c>
      <c r="L141" s="24" t="str">
        <f aca="false">IF(J141&lt;&gt;"","Enrolled",IF(I141&lt;&gt;"","Admitted",IF(H141&lt;&gt;"","Applied",IF(G141&lt;&gt;"","Contacted","New"))))</f>
        <v>Contacted</v>
      </c>
      <c r="M141" s="32" t="n">
        <f aca="false">IF(G141="","",G141-B141)</f>
        <v>1</v>
      </c>
      <c r="N141" s="24" t="str">
        <f aca="false">IF(COUNTIF($A$2:A141,A141)&gt;1,"Duplicate ID",IF(C141="","Missing source",IF(OR(AND(G141&lt;&gt;"",G141&lt;B141),AND(H141&lt;&gt;"",H141&lt;B141),AND(I141&lt;&gt;"",I141&lt;H141),AND(J141&lt;&gt;"",J141&lt;I141)),"Date error","OK")))</f>
        <v>OK</v>
      </c>
    </row>
    <row r="142" customFormat="false" ht="15" hidden="false" customHeight="false" outlineLevel="0" collapsed="false">
      <c r="A142" s="24" t="s">
        <v>223</v>
      </c>
      <c r="B142" s="31" t="n">
        <v>46115</v>
      </c>
      <c r="C142" s="24" t="s">
        <v>25</v>
      </c>
      <c r="D142" s="24" t="s">
        <v>32</v>
      </c>
      <c r="E142" s="24" t="s">
        <v>89</v>
      </c>
      <c r="F142" s="24" t="s">
        <v>43</v>
      </c>
      <c r="G142" s="31" t="n">
        <v>46117</v>
      </c>
      <c r="H142" s="24"/>
      <c r="I142" s="24"/>
      <c r="J142" s="24"/>
      <c r="K142" s="24" t="n">
        <v>1</v>
      </c>
      <c r="L142" s="24" t="str">
        <f aca="false">IF(J142&lt;&gt;"","Enrolled",IF(I142&lt;&gt;"","Admitted",IF(H142&lt;&gt;"","Applied",IF(G142&lt;&gt;"","Contacted","New"))))</f>
        <v>Contacted</v>
      </c>
      <c r="M142" s="32" t="n">
        <f aca="false">IF(G142="","",G142-B142)</f>
        <v>2</v>
      </c>
      <c r="N142" s="24" t="str">
        <f aca="false">IF(COUNTIF($A$2:A142,A142)&gt;1,"Duplicate ID",IF(C142="","Missing source",IF(OR(AND(G142&lt;&gt;"",G142&lt;B142),AND(H142&lt;&gt;"",H142&lt;B142),AND(I142&lt;&gt;"",I142&lt;H142),AND(J142&lt;&gt;"",J142&lt;I142)),"Date error","OK")))</f>
        <v>OK</v>
      </c>
    </row>
    <row r="143" customFormat="false" ht="15" hidden="false" customHeight="false" outlineLevel="0" collapsed="false">
      <c r="A143" s="24" t="s">
        <v>224</v>
      </c>
      <c r="B143" s="31" t="n">
        <v>46115</v>
      </c>
      <c r="C143" s="24" t="s">
        <v>25</v>
      </c>
      <c r="D143" s="24" t="s">
        <v>35</v>
      </c>
      <c r="E143" s="24" t="s">
        <v>89</v>
      </c>
      <c r="F143" s="24" t="s">
        <v>43</v>
      </c>
      <c r="G143" s="31" t="n">
        <v>46117</v>
      </c>
      <c r="H143" s="24"/>
      <c r="I143" s="24"/>
      <c r="J143" s="24"/>
      <c r="K143" s="24" t="n">
        <v>1</v>
      </c>
      <c r="L143" s="24" t="str">
        <f aca="false">IF(J143&lt;&gt;"","Enrolled",IF(I143&lt;&gt;"","Admitted",IF(H143&lt;&gt;"","Applied",IF(G143&lt;&gt;"","Contacted","New"))))</f>
        <v>Contacted</v>
      </c>
      <c r="M143" s="32" t="n">
        <f aca="false">IF(G143="","",G143-B143)</f>
        <v>2</v>
      </c>
      <c r="N143" s="24" t="str">
        <f aca="false">IF(COUNTIF($A$2:A143,A143)&gt;1,"Duplicate ID",IF(C143="","Missing source",IF(OR(AND(G143&lt;&gt;"",G143&lt;B143),AND(H143&lt;&gt;"",H143&lt;B143),AND(I143&lt;&gt;"",I143&lt;H143),AND(J143&lt;&gt;"",J143&lt;I143)),"Date error","OK")))</f>
        <v>OK</v>
      </c>
    </row>
    <row r="144" customFormat="false" ht="15" hidden="false" customHeight="false" outlineLevel="0" collapsed="false">
      <c r="A144" s="24" t="s">
        <v>225</v>
      </c>
      <c r="B144" s="31" t="n">
        <v>46115</v>
      </c>
      <c r="C144" s="24" t="s">
        <v>26</v>
      </c>
      <c r="D144" s="24" t="s">
        <v>36</v>
      </c>
      <c r="E144" s="24" t="s">
        <v>94</v>
      </c>
      <c r="F144" s="24" t="s">
        <v>45</v>
      </c>
      <c r="G144" s="31" t="n">
        <v>46116</v>
      </c>
      <c r="H144" s="24"/>
      <c r="I144" s="24"/>
      <c r="J144" s="24"/>
      <c r="K144" s="24" t="n">
        <v>1</v>
      </c>
      <c r="L144" s="24" t="str">
        <f aca="false">IF(J144&lt;&gt;"","Enrolled",IF(I144&lt;&gt;"","Admitted",IF(H144&lt;&gt;"","Applied",IF(G144&lt;&gt;"","Contacted","New"))))</f>
        <v>Contacted</v>
      </c>
      <c r="M144" s="32" t="n">
        <f aca="false">IF(G144="","",G144-B144)</f>
        <v>1</v>
      </c>
      <c r="N144" s="24" t="str">
        <f aca="false">IF(COUNTIF($A$2:A144,A144)&gt;1,"Duplicate ID",IF(C144="","Missing source",IF(OR(AND(G144&lt;&gt;"",G144&lt;B144),AND(H144&lt;&gt;"",H144&lt;B144),AND(I144&lt;&gt;"",I144&lt;H144),AND(J144&lt;&gt;"",J144&lt;I144)),"Date error","OK")))</f>
        <v>OK</v>
      </c>
    </row>
    <row r="145" customFormat="false" ht="15" hidden="false" customHeight="false" outlineLevel="0" collapsed="false">
      <c r="A145" s="24" t="s">
        <v>226</v>
      </c>
      <c r="B145" s="31" t="n">
        <v>46115</v>
      </c>
      <c r="C145" s="24" t="s">
        <v>25</v>
      </c>
      <c r="D145" s="24" t="s">
        <v>36</v>
      </c>
      <c r="E145" s="24" t="s">
        <v>89</v>
      </c>
      <c r="F145" s="24" t="s">
        <v>40</v>
      </c>
      <c r="G145" s="24"/>
      <c r="H145" s="24"/>
      <c r="I145" s="24"/>
      <c r="J145" s="24"/>
      <c r="K145" s="24" t="n">
        <v>0</v>
      </c>
      <c r="L145" s="24" t="str">
        <f aca="false">IF(J145&lt;&gt;"","Enrolled",IF(I145&lt;&gt;"","Admitted",IF(H145&lt;&gt;"","Applied",IF(G145&lt;&gt;"","Contacted","New"))))</f>
        <v>New</v>
      </c>
      <c r="M145" s="32" t="str">
        <f aca="false">IF(G145="","",G145-B145)</f>
        <v/>
      </c>
      <c r="N145" s="24" t="str">
        <f aca="false">IF(COUNTIF($A$2:A145,A145)&gt;1,"Duplicate ID",IF(C145="","Missing source",IF(OR(AND(G145&lt;&gt;"",G145&lt;B145),AND(H145&lt;&gt;"",H145&lt;B145),AND(I145&lt;&gt;"",I145&lt;H145),AND(J145&lt;&gt;"",J145&lt;I145)),"Date error","OK")))</f>
        <v>OK</v>
      </c>
    </row>
    <row r="146" customFormat="false" ht="15" hidden="false" customHeight="false" outlineLevel="0" collapsed="false">
      <c r="A146" s="24" t="s">
        <v>227</v>
      </c>
      <c r="B146" s="31" t="n">
        <v>46115</v>
      </c>
      <c r="C146" s="24" t="s">
        <v>23</v>
      </c>
      <c r="D146" s="24" t="s">
        <v>32</v>
      </c>
      <c r="E146" s="24" t="s">
        <v>94</v>
      </c>
      <c r="F146" s="24" t="s">
        <v>41</v>
      </c>
      <c r="G146" s="31" t="n">
        <v>46115</v>
      </c>
      <c r="H146" s="31" t="n">
        <v>46123</v>
      </c>
      <c r="I146" s="31" t="n">
        <v>46129</v>
      </c>
      <c r="J146" s="31" t="n">
        <v>46148</v>
      </c>
      <c r="K146" s="24" t="n">
        <v>2</v>
      </c>
      <c r="L146" s="24" t="str">
        <f aca="false">IF(J146&lt;&gt;"","Enrolled",IF(I146&lt;&gt;"","Admitted",IF(H146&lt;&gt;"","Applied",IF(G146&lt;&gt;"","Contacted","New"))))</f>
        <v>Enrolled</v>
      </c>
      <c r="M146" s="32" t="n">
        <f aca="false">IF(G146="","",G146-B146)</f>
        <v>0</v>
      </c>
      <c r="N146" s="24" t="str">
        <f aca="false">IF(COUNTIF($A$2:A146,A146)&gt;1,"Duplicate ID",IF(C146="","Missing source",IF(OR(AND(G146&lt;&gt;"",G146&lt;B146),AND(H146&lt;&gt;"",H146&lt;B146),AND(I146&lt;&gt;"",I146&lt;H146),AND(J146&lt;&gt;"",J146&lt;I146)),"Date error","OK")))</f>
        <v>OK</v>
      </c>
    </row>
    <row r="147" customFormat="false" ht="15" hidden="false" customHeight="false" outlineLevel="0" collapsed="false">
      <c r="A147" s="24" t="s">
        <v>228</v>
      </c>
      <c r="B147" s="31" t="n">
        <v>46115</v>
      </c>
      <c r="C147" s="24" t="s">
        <v>26</v>
      </c>
      <c r="D147" s="24" t="s">
        <v>32</v>
      </c>
      <c r="E147" s="24" t="s">
        <v>79</v>
      </c>
      <c r="F147" s="24" t="s">
        <v>44</v>
      </c>
      <c r="G147" s="31" t="n">
        <v>46117</v>
      </c>
      <c r="H147" s="24"/>
      <c r="I147" s="24"/>
      <c r="J147" s="24"/>
      <c r="K147" s="24" t="n">
        <v>4</v>
      </c>
      <c r="L147" s="24" t="str">
        <f aca="false">IF(J147&lt;&gt;"","Enrolled",IF(I147&lt;&gt;"","Admitted",IF(H147&lt;&gt;"","Applied",IF(G147&lt;&gt;"","Contacted","New"))))</f>
        <v>Contacted</v>
      </c>
      <c r="M147" s="32" t="n">
        <f aca="false">IF(G147="","",G147-B147)</f>
        <v>2</v>
      </c>
      <c r="N147" s="24" t="str">
        <f aca="false">IF(COUNTIF($A$2:A147,A147)&gt;1,"Duplicate ID",IF(C147="","Missing source",IF(OR(AND(G147&lt;&gt;"",G147&lt;B147),AND(H147&lt;&gt;"",H147&lt;B147),AND(I147&lt;&gt;"",I147&lt;H147),AND(J147&lt;&gt;"",J147&lt;I147)),"Date error","OK")))</f>
        <v>OK</v>
      </c>
    </row>
    <row r="148" customFormat="false" ht="15" hidden="false" customHeight="false" outlineLevel="0" collapsed="false">
      <c r="A148" s="24" t="s">
        <v>229</v>
      </c>
      <c r="B148" s="31" t="n">
        <v>46116</v>
      </c>
      <c r="C148" s="24" t="s">
        <v>26</v>
      </c>
      <c r="D148" s="24" t="s">
        <v>32</v>
      </c>
      <c r="E148" s="24" t="s">
        <v>94</v>
      </c>
      <c r="F148" s="24" t="s">
        <v>41</v>
      </c>
      <c r="G148" s="31" t="n">
        <v>46117</v>
      </c>
      <c r="H148" s="24"/>
      <c r="I148" s="24"/>
      <c r="J148" s="24"/>
      <c r="K148" s="24" t="n">
        <v>3</v>
      </c>
      <c r="L148" s="24" t="str">
        <f aca="false">IF(J148&lt;&gt;"","Enrolled",IF(I148&lt;&gt;"","Admitted",IF(H148&lt;&gt;"","Applied",IF(G148&lt;&gt;"","Contacted","New"))))</f>
        <v>Contacted</v>
      </c>
      <c r="M148" s="32" t="n">
        <f aca="false">IF(G148="","",G148-B148)</f>
        <v>1</v>
      </c>
      <c r="N148" s="24" t="str">
        <f aca="false">IF(COUNTIF($A$2:A148,A148)&gt;1,"Duplicate ID",IF(C148="","Missing source",IF(OR(AND(G148&lt;&gt;"",G148&lt;B148),AND(H148&lt;&gt;"",H148&lt;B148),AND(I148&lt;&gt;"",I148&lt;H148),AND(J148&lt;&gt;"",J148&lt;I148)),"Date error","OK")))</f>
        <v>OK</v>
      </c>
    </row>
    <row r="149" customFormat="false" ht="15" hidden="false" customHeight="false" outlineLevel="0" collapsed="false">
      <c r="A149" s="24" t="s">
        <v>230</v>
      </c>
      <c r="B149" s="31" t="n">
        <v>46116</v>
      </c>
      <c r="C149" s="24" t="s">
        <v>21</v>
      </c>
      <c r="D149" s="24" t="s">
        <v>33</v>
      </c>
      <c r="E149" s="24" t="s">
        <v>89</v>
      </c>
      <c r="F149" s="24" t="s">
        <v>41</v>
      </c>
      <c r="G149" s="31" t="n">
        <v>46117</v>
      </c>
      <c r="H149" s="31" t="n">
        <v>46137</v>
      </c>
      <c r="I149" s="31" t="n">
        <v>46152</v>
      </c>
      <c r="J149" s="24"/>
      <c r="K149" s="24" t="n">
        <v>4</v>
      </c>
      <c r="L149" s="24" t="str">
        <f aca="false">IF(J149&lt;&gt;"","Enrolled",IF(I149&lt;&gt;"","Admitted",IF(H149&lt;&gt;"","Applied",IF(G149&lt;&gt;"","Contacted","New"))))</f>
        <v>Admitted</v>
      </c>
      <c r="M149" s="32" t="n">
        <f aca="false">IF(G149="","",G149-B149)</f>
        <v>1</v>
      </c>
      <c r="N149" s="24" t="str">
        <f aca="false">IF(COUNTIF($A$2:A149,A149)&gt;1,"Duplicate ID",IF(C149="","Missing source",IF(OR(AND(G149&lt;&gt;"",G149&lt;B149),AND(H149&lt;&gt;"",H149&lt;B149),AND(I149&lt;&gt;"",I149&lt;H149),AND(J149&lt;&gt;"",J149&lt;I149)),"Date error","OK")))</f>
        <v>OK</v>
      </c>
    </row>
    <row r="150" customFormat="false" ht="15" hidden="false" customHeight="false" outlineLevel="0" collapsed="false">
      <c r="A150" s="24" t="s">
        <v>231</v>
      </c>
      <c r="B150" s="31" t="n">
        <v>46116</v>
      </c>
      <c r="C150" s="24" t="s">
        <v>25</v>
      </c>
      <c r="D150" s="24" t="s">
        <v>33</v>
      </c>
      <c r="E150" s="24" t="s">
        <v>79</v>
      </c>
      <c r="F150" s="24" t="s">
        <v>40</v>
      </c>
      <c r="G150" s="31" t="n">
        <v>46116</v>
      </c>
      <c r="H150" s="24"/>
      <c r="I150" s="24"/>
      <c r="J150" s="24"/>
      <c r="K150" s="24" t="n">
        <v>0</v>
      </c>
      <c r="L150" s="24" t="str">
        <f aca="false">IF(J150&lt;&gt;"","Enrolled",IF(I150&lt;&gt;"","Admitted",IF(H150&lt;&gt;"","Applied",IF(G150&lt;&gt;"","Contacted","New"))))</f>
        <v>Contacted</v>
      </c>
      <c r="M150" s="32" t="n">
        <f aca="false">IF(G150="","",G150-B150)</f>
        <v>0</v>
      </c>
      <c r="N150" s="24" t="str">
        <f aca="false">IF(COUNTIF($A$2:A150,A150)&gt;1,"Duplicate ID",IF(C150="","Missing source",IF(OR(AND(G150&lt;&gt;"",G150&lt;B150),AND(H150&lt;&gt;"",H150&lt;B150),AND(I150&lt;&gt;"",I150&lt;H150),AND(J150&lt;&gt;"",J150&lt;I150)),"Date error","OK")))</f>
        <v>OK</v>
      </c>
    </row>
    <row r="151" customFormat="false" ht="15" hidden="false" customHeight="false" outlineLevel="0" collapsed="false">
      <c r="A151" s="24" t="s">
        <v>232</v>
      </c>
      <c r="B151" s="31" t="n">
        <v>46116</v>
      </c>
      <c r="C151" s="24" t="s">
        <v>25</v>
      </c>
      <c r="D151" s="24" t="s">
        <v>33</v>
      </c>
      <c r="E151" s="24" t="s">
        <v>79</v>
      </c>
      <c r="F151" s="24" t="s">
        <v>41</v>
      </c>
      <c r="G151" s="24"/>
      <c r="H151" s="24"/>
      <c r="I151" s="24"/>
      <c r="J151" s="24"/>
      <c r="K151" s="24" t="n">
        <v>0</v>
      </c>
      <c r="L151" s="24" t="str">
        <f aca="false">IF(J151&lt;&gt;"","Enrolled",IF(I151&lt;&gt;"","Admitted",IF(H151&lt;&gt;"","Applied",IF(G151&lt;&gt;"","Contacted","New"))))</f>
        <v>New</v>
      </c>
      <c r="M151" s="32" t="str">
        <f aca="false">IF(G151="","",G151-B151)</f>
        <v/>
      </c>
      <c r="N151" s="24" t="str">
        <f aca="false">IF(COUNTIF($A$2:A151,A151)&gt;1,"Duplicate ID",IF(C151="","Missing source",IF(OR(AND(G151&lt;&gt;"",G151&lt;B151),AND(H151&lt;&gt;"",H151&lt;B151),AND(I151&lt;&gt;"",I151&lt;H151),AND(J151&lt;&gt;"",J151&lt;I151)),"Date error","OK")))</f>
        <v>OK</v>
      </c>
    </row>
    <row r="152" customFormat="false" ht="15" hidden="false" customHeight="false" outlineLevel="0" collapsed="false">
      <c r="A152" s="24" t="s">
        <v>233</v>
      </c>
      <c r="B152" s="31" t="n">
        <v>46116</v>
      </c>
      <c r="C152" s="24" t="s">
        <v>25</v>
      </c>
      <c r="D152" s="24" t="s">
        <v>32</v>
      </c>
      <c r="E152" s="24" t="s">
        <v>89</v>
      </c>
      <c r="F152" s="24" t="s">
        <v>42</v>
      </c>
      <c r="G152" s="31" t="n">
        <v>46117</v>
      </c>
      <c r="H152" s="24"/>
      <c r="I152" s="24"/>
      <c r="J152" s="24"/>
      <c r="K152" s="24" t="n">
        <v>2</v>
      </c>
      <c r="L152" s="24" t="str">
        <f aca="false">IF(J152&lt;&gt;"","Enrolled",IF(I152&lt;&gt;"","Admitted",IF(H152&lt;&gt;"","Applied",IF(G152&lt;&gt;"","Contacted","New"))))</f>
        <v>Contacted</v>
      </c>
      <c r="M152" s="32" t="n">
        <f aca="false">IF(G152="","",G152-B152)</f>
        <v>1</v>
      </c>
      <c r="N152" s="24" t="str">
        <f aca="false">IF(COUNTIF($A$2:A152,A152)&gt;1,"Duplicate ID",IF(C152="","Missing source",IF(OR(AND(G152&lt;&gt;"",G152&lt;B152),AND(H152&lt;&gt;"",H152&lt;B152),AND(I152&lt;&gt;"",I152&lt;H152),AND(J152&lt;&gt;"",J152&lt;I152)),"Date error","OK")))</f>
        <v>OK</v>
      </c>
    </row>
    <row r="153" customFormat="false" ht="15" hidden="false" customHeight="false" outlineLevel="0" collapsed="false">
      <c r="A153" s="24" t="s">
        <v>234</v>
      </c>
      <c r="B153" s="31" t="n">
        <v>46116</v>
      </c>
      <c r="C153" s="24" t="s">
        <v>23</v>
      </c>
      <c r="D153" s="24" t="s">
        <v>33</v>
      </c>
      <c r="E153" s="24" t="s">
        <v>89</v>
      </c>
      <c r="F153" s="24" t="s">
        <v>43</v>
      </c>
      <c r="G153" s="31" t="n">
        <v>46116</v>
      </c>
      <c r="H153" s="31" t="n">
        <v>46131</v>
      </c>
      <c r="I153" s="31" t="n">
        <v>46140</v>
      </c>
      <c r="J153" s="24"/>
      <c r="K153" s="24" t="n">
        <v>2</v>
      </c>
      <c r="L153" s="24" t="str">
        <f aca="false">IF(J153&lt;&gt;"","Enrolled",IF(I153&lt;&gt;"","Admitted",IF(H153&lt;&gt;"","Applied",IF(G153&lt;&gt;"","Contacted","New"))))</f>
        <v>Admitted</v>
      </c>
      <c r="M153" s="32" t="n">
        <f aca="false">IF(G153="","",G153-B153)</f>
        <v>0</v>
      </c>
      <c r="N153" s="24" t="str">
        <f aca="false">IF(COUNTIF($A$2:A153,A153)&gt;1,"Duplicate ID",IF(C153="","Missing source",IF(OR(AND(G153&lt;&gt;"",G153&lt;B153),AND(H153&lt;&gt;"",H153&lt;B153),AND(I153&lt;&gt;"",I153&lt;H153),AND(J153&lt;&gt;"",J153&lt;I153)),"Date error","OK")))</f>
        <v>OK</v>
      </c>
    </row>
    <row r="154" customFormat="false" ht="15" hidden="false" customHeight="false" outlineLevel="0" collapsed="false">
      <c r="A154" s="24" t="s">
        <v>235</v>
      </c>
      <c r="B154" s="31" t="n">
        <v>46116</v>
      </c>
      <c r="C154" s="24" t="s">
        <v>27</v>
      </c>
      <c r="D154" s="24" t="s">
        <v>34</v>
      </c>
      <c r="E154" s="24" t="s">
        <v>89</v>
      </c>
      <c r="F154" s="24" t="s">
        <v>41</v>
      </c>
      <c r="G154" s="31" t="n">
        <v>46117</v>
      </c>
      <c r="H154" s="24"/>
      <c r="I154" s="24"/>
      <c r="J154" s="24"/>
      <c r="K154" s="24" t="n">
        <v>5</v>
      </c>
      <c r="L154" s="24" t="str">
        <f aca="false">IF(J154&lt;&gt;"","Enrolled",IF(I154&lt;&gt;"","Admitted",IF(H154&lt;&gt;"","Applied",IF(G154&lt;&gt;"","Contacted","New"))))</f>
        <v>Contacted</v>
      </c>
      <c r="M154" s="32" t="n">
        <f aca="false">IF(G154="","",G154-B154)</f>
        <v>1</v>
      </c>
      <c r="N154" s="24" t="str">
        <f aca="false">IF(COUNTIF($A$2:A154,A154)&gt;1,"Duplicate ID",IF(C154="","Missing source",IF(OR(AND(G154&lt;&gt;"",G154&lt;B154),AND(H154&lt;&gt;"",H154&lt;B154),AND(I154&lt;&gt;"",I154&lt;H154),AND(J154&lt;&gt;"",J154&lt;I154)),"Date error","OK")))</f>
        <v>OK</v>
      </c>
    </row>
    <row r="155" customFormat="false" ht="15" hidden="false" customHeight="false" outlineLevel="0" collapsed="false">
      <c r="A155" s="24" t="s">
        <v>236</v>
      </c>
      <c r="B155" s="31" t="n">
        <v>46116</v>
      </c>
      <c r="C155" s="24" t="s">
        <v>26</v>
      </c>
      <c r="D155" s="24" t="s">
        <v>36</v>
      </c>
      <c r="E155" s="24" t="s">
        <v>89</v>
      </c>
      <c r="F155" s="24" t="s">
        <v>45</v>
      </c>
      <c r="G155" s="31" t="n">
        <v>46118</v>
      </c>
      <c r="H155" s="24"/>
      <c r="I155" s="24"/>
      <c r="J155" s="24"/>
      <c r="K155" s="24" t="n">
        <v>3</v>
      </c>
      <c r="L155" s="24" t="str">
        <f aca="false">IF(J155&lt;&gt;"","Enrolled",IF(I155&lt;&gt;"","Admitted",IF(H155&lt;&gt;"","Applied",IF(G155&lt;&gt;"","Contacted","New"))))</f>
        <v>Contacted</v>
      </c>
      <c r="M155" s="32" t="n">
        <f aca="false">IF(G155="","",G155-B155)</f>
        <v>2</v>
      </c>
      <c r="N155" s="24" t="str">
        <f aca="false">IF(COUNTIF($A$2:A155,A155)&gt;1,"Duplicate ID",IF(C155="","Missing source",IF(OR(AND(G155&lt;&gt;"",G155&lt;B155),AND(H155&lt;&gt;"",H155&lt;B155),AND(I155&lt;&gt;"",I155&lt;H155),AND(J155&lt;&gt;"",J155&lt;I155)),"Date error","OK")))</f>
        <v>OK</v>
      </c>
    </row>
    <row r="156" customFormat="false" ht="15" hidden="false" customHeight="false" outlineLevel="0" collapsed="false">
      <c r="A156" s="24" t="s">
        <v>237</v>
      </c>
      <c r="B156" s="31" t="n">
        <v>46117</v>
      </c>
      <c r="C156" s="24" t="s">
        <v>23</v>
      </c>
      <c r="D156" s="24" t="s">
        <v>35</v>
      </c>
      <c r="E156" s="24" t="s">
        <v>89</v>
      </c>
      <c r="F156" s="24" t="s">
        <v>43</v>
      </c>
      <c r="G156" s="31" t="n">
        <v>46119</v>
      </c>
      <c r="H156" s="24"/>
      <c r="I156" s="24"/>
      <c r="J156" s="24"/>
      <c r="K156" s="24" t="n">
        <v>3</v>
      </c>
      <c r="L156" s="24" t="str">
        <f aca="false">IF(J156&lt;&gt;"","Enrolled",IF(I156&lt;&gt;"","Admitted",IF(H156&lt;&gt;"","Applied",IF(G156&lt;&gt;"","Contacted","New"))))</f>
        <v>Contacted</v>
      </c>
      <c r="M156" s="32" t="n">
        <f aca="false">IF(G156="","",G156-B156)</f>
        <v>2</v>
      </c>
      <c r="N156" s="24" t="str">
        <f aca="false">IF(COUNTIF($A$2:A156,A156)&gt;1,"Duplicate ID",IF(C156="","Missing source",IF(OR(AND(G156&lt;&gt;"",G156&lt;B156),AND(H156&lt;&gt;"",H156&lt;B156),AND(I156&lt;&gt;"",I156&lt;H156),AND(J156&lt;&gt;"",J156&lt;I156)),"Date error","OK")))</f>
        <v>OK</v>
      </c>
    </row>
    <row r="157" customFormat="false" ht="15" hidden="false" customHeight="false" outlineLevel="0" collapsed="false">
      <c r="A157" s="24" t="s">
        <v>238</v>
      </c>
      <c r="B157" s="31" t="n">
        <v>46117</v>
      </c>
      <c r="C157" s="24" t="s">
        <v>21</v>
      </c>
      <c r="D157" s="24" t="s">
        <v>36</v>
      </c>
      <c r="E157" s="24" t="s">
        <v>79</v>
      </c>
      <c r="F157" s="24" t="s">
        <v>44</v>
      </c>
      <c r="G157" s="31" t="n">
        <v>46121</v>
      </c>
      <c r="H157" s="24"/>
      <c r="I157" s="24"/>
      <c r="J157" s="24"/>
      <c r="K157" s="24" t="n">
        <v>5</v>
      </c>
      <c r="L157" s="24" t="str">
        <f aca="false">IF(J157&lt;&gt;"","Enrolled",IF(I157&lt;&gt;"","Admitted",IF(H157&lt;&gt;"","Applied",IF(G157&lt;&gt;"","Contacted","New"))))</f>
        <v>Contacted</v>
      </c>
      <c r="M157" s="32" t="n">
        <f aca="false">IF(G157="","",G157-B157)</f>
        <v>4</v>
      </c>
      <c r="N157" s="24" t="str">
        <f aca="false">IF(COUNTIF($A$2:A157,A157)&gt;1,"Duplicate ID",IF(C157="","Missing source",IF(OR(AND(G157&lt;&gt;"",G157&lt;B157),AND(H157&lt;&gt;"",H157&lt;B157),AND(I157&lt;&gt;"",I157&lt;H157),AND(J157&lt;&gt;"",J157&lt;I157)),"Date error","OK")))</f>
        <v>OK</v>
      </c>
    </row>
    <row r="158" customFormat="false" ht="15" hidden="false" customHeight="false" outlineLevel="0" collapsed="false">
      <c r="A158" s="24" t="s">
        <v>239</v>
      </c>
      <c r="B158" s="31" t="n">
        <v>46117</v>
      </c>
      <c r="C158" s="24" t="s">
        <v>22</v>
      </c>
      <c r="D158" s="24" t="s">
        <v>35</v>
      </c>
      <c r="E158" s="24" t="s">
        <v>89</v>
      </c>
      <c r="F158" s="24" t="s">
        <v>41</v>
      </c>
      <c r="G158" s="31" t="n">
        <v>46119</v>
      </c>
      <c r="H158" s="24"/>
      <c r="I158" s="24"/>
      <c r="J158" s="24"/>
      <c r="K158" s="24" t="n">
        <v>3</v>
      </c>
      <c r="L158" s="24" t="str">
        <f aca="false">IF(J158&lt;&gt;"","Enrolled",IF(I158&lt;&gt;"","Admitted",IF(H158&lt;&gt;"","Applied",IF(G158&lt;&gt;"","Contacted","New"))))</f>
        <v>Contacted</v>
      </c>
      <c r="M158" s="32" t="n">
        <f aca="false">IF(G158="","",G158-B158)</f>
        <v>2</v>
      </c>
      <c r="N158" s="24" t="str">
        <f aca="false">IF(COUNTIF($A$2:A158,A158)&gt;1,"Duplicate ID",IF(C158="","Missing source",IF(OR(AND(G158&lt;&gt;"",G158&lt;B158),AND(H158&lt;&gt;"",H158&lt;B158),AND(I158&lt;&gt;"",I158&lt;H158),AND(J158&lt;&gt;"",J158&lt;I158)),"Date error","OK")))</f>
        <v>OK</v>
      </c>
    </row>
    <row r="159" customFormat="false" ht="15" hidden="false" customHeight="false" outlineLevel="0" collapsed="false">
      <c r="A159" s="24" t="s">
        <v>240</v>
      </c>
      <c r="B159" s="31" t="n">
        <v>46117</v>
      </c>
      <c r="C159" s="24" t="s">
        <v>27</v>
      </c>
      <c r="D159" s="24" t="s">
        <v>35</v>
      </c>
      <c r="E159" s="24" t="s">
        <v>81</v>
      </c>
      <c r="F159" s="24" t="s">
        <v>42</v>
      </c>
      <c r="G159" s="31" t="n">
        <v>46119</v>
      </c>
      <c r="H159" s="24"/>
      <c r="I159" s="24"/>
      <c r="J159" s="24"/>
      <c r="K159" s="24" t="n">
        <v>2</v>
      </c>
      <c r="L159" s="24" t="str">
        <f aca="false">IF(J159&lt;&gt;"","Enrolled",IF(I159&lt;&gt;"","Admitted",IF(H159&lt;&gt;"","Applied",IF(G159&lt;&gt;"","Contacted","New"))))</f>
        <v>Contacted</v>
      </c>
      <c r="M159" s="32" t="n">
        <f aca="false">IF(G159="","",G159-B159)</f>
        <v>2</v>
      </c>
      <c r="N159" s="24" t="str">
        <f aca="false">IF(COUNTIF($A$2:A159,A159)&gt;1,"Duplicate ID",IF(C159="","Missing source",IF(OR(AND(G159&lt;&gt;"",G159&lt;B159),AND(H159&lt;&gt;"",H159&lt;B159),AND(I159&lt;&gt;"",I159&lt;H159),AND(J159&lt;&gt;"",J159&lt;I159)),"Date error","OK")))</f>
        <v>OK</v>
      </c>
    </row>
    <row r="160" customFormat="false" ht="15" hidden="false" customHeight="false" outlineLevel="0" collapsed="false">
      <c r="A160" s="24" t="s">
        <v>241</v>
      </c>
      <c r="B160" s="31" t="n">
        <v>46117</v>
      </c>
      <c r="C160" s="24" t="s">
        <v>26</v>
      </c>
      <c r="D160" s="24" t="s">
        <v>36</v>
      </c>
      <c r="E160" s="24" t="s">
        <v>89</v>
      </c>
      <c r="F160" s="24" t="s">
        <v>45</v>
      </c>
      <c r="G160" s="24"/>
      <c r="H160" s="24"/>
      <c r="I160" s="24"/>
      <c r="J160" s="24"/>
      <c r="K160" s="24" t="n">
        <v>0</v>
      </c>
      <c r="L160" s="24" t="str">
        <f aca="false">IF(J160&lt;&gt;"","Enrolled",IF(I160&lt;&gt;"","Admitted",IF(H160&lt;&gt;"","Applied",IF(G160&lt;&gt;"","Contacted","New"))))</f>
        <v>New</v>
      </c>
      <c r="M160" s="32" t="str">
        <f aca="false">IF(G160="","",G160-B160)</f>
        <v/>
      </c>
      <c r="N160" s="24" t="str">
        <f aca="false">IF(COUNTIF($A$2:A160,A160)&gt;1,"Duplicate ID",IF(C160="","Missing source",IF(OR(AND(G160&lt;&gt;"",G160&lt;B160),AND(H160&lt;&gt;"",H160&lt;B160),AND(I160&lt;&gt;"",I160&lt;H160),AND(J160&lt;&gt;"",J160&lt;I160)),"Date error","OK")))</f>
        <v>OK</v>
      </c>
    </row>
    <row r="161" customFormat="false" ht="15" hidden="false" customHeight="false" outlineLevel="0" collapsed="false">
      <c r="A161" s="24" t="s">
        <v>242</v>
      </c>
      <c r="B161" s="31" t="n">
        <v>46117</v>
      </c>
      <c r="C161" s="24" t="s">
        <v>23</v>
      </c>
      <c r="D161" s="24" t="s">
        <v>32</v>
      </c>
      <c r="E161" s="24" t="s">
        <v>79</v>
      </c>
      <c r="F161" s="24" t="s">
        <v>45</v>
      </c>
      <c r="G161" s="31" t="n">
        <v>46120</v>
      </c>
      <c r="H161" s="24"/>
      <c r="I161" s="24"/>
      <c r="J161" s="24"/>
      <c r="K161" s="24" t="n">
        <v>3</v>
      </c>
      <c r="L161" s="24" t="str">
        <f aca="false">IF(J161&lt;&gt;"","Enrolled",IF(I161&lt;&gt;"","Admitted",IF(H161&lt;&gt;"","Applied",IF(G161&lt;&gt;"","Contacted","New"))))</f>
        <v>Contacted</v>
      </c>
      <c r="M161" s="32" t="n">
        <f aca="false">IF(G161="","",G161-B161)</f>
        <v>3</v>
      </c>
      <c r="N161" s="24" t="str">
        <f aca="false">IF(COUNTIF($A$2:A161,A161)&gt;1,"Duplicate ID",IF(C161="","Missing source",IF(OR(AND(G161&lt;&gt;"",G161&lt;B161),AND(H161&lt;&gt;"",H161&lt;B161),AND(I161&lt;&gt;"",I161&lt;H161),AND(J161&lt;&gt;"",J161&lt;I161)),"Date error","OK")))</f>
        <v>OK</v>
      </c>
    </row>
    <row r="162" customFormat="false" ht="15" hidden="false" customHeight="false" outlineLevel="0" collapsed="false">
      <c r="A162" s="24" t="s">
        <v>243</v>
      </c>
      <c r="B162" s="31" t="n">
        <v>46117</v>
      </c>
      <c r="C162" s="24" t="s">
        <v>24</v>
      </c>
      <c r="D162" s="24" t="s">
        <v>36</v>
      </c>
      <c r="E162" s="24" t="s">
        <v>89</v>
      </c>
      <c r="F162" s="24" t="s">
        <v>45</v>
      </c>
      <c r="G162" s="24"/>
      <c r="H162" s="24"/>
      <c r="I162" s="24"/>
      <c r="J162" s="24"/>
      <c r="K162" s="24" t="n">
        <v>0</v>
      </c>
      <c r="L162" s="24" t="str">
        <f aca="false">IF(J162&lt;&gt;"","Enrolled",IF(I162&lt;&gt;"","Admitted",IF(H162&lt;&gt;"","Applied",IF(G162&lt;&gt;"","Contacted","New"))))</f>
        <v>New</v>
      </c>
      <c r="M162" s="32" t="str">
        <f aca="false">IF(G162="","",G162-B162)</f>
        <v/>
      </c>
      <c r="N162" s="24" t="str">
        <f aca="false">IF(COUNTIF($A$2:A162,A162)&gt;1,"Duplicate ID",IF(C162="","Missing source",IF(OR(AND(G162&lt;&gt;"",G162&lt;B162),AND(H162&lt;&gt;"",H162&lt;B162),AND(I162&lt;&gt;"",I162&lt;H162),AND(J162&lt;&gt;"",J162&lt;I162)),"Date error","OK")))</f>
        <v>OK</v>
      </c>
    </row>
    <row r="163" customFormat="false" ht="15" hidden="false" customHeight="false" outlineLevel="0" collapsed="false">
      <c r="A163" s="24" t="s">
        <v>244</v>
      </c>
      <c r="B163" s="31" t="n">
        <v>46117</v>
      </c>
      <c r="C163" s="24" t="s">
        <v>26</v>
      </c>
      <c r="D163" s="24" t="s">
        <v>32</v>
      </c>
      <c r="E163" s="24" t="s">
        <v>84</v>
      </c>
      <c r="F163" s="24" t="s">
        <v>41</v>
      </c>
      <c r="G163" s="31" t="n">
        <v>46117</v>
      </c>
      <c r="H163" s="24"/>
      <c r="I163" s="24"/>
      <c r="J163" s="24"/>
      <c r="K163" s="24" t="n">
        <v>1</v>
      </c>
      <c r="L163" s="24" t="str">
        <f aca="false">IF(J163&lt;&gt;"","Enrolled",IF(I163&lt;&gt;"","Admitted",IF(H163&lt;&gt;"","Applied",IF(G163&lt;&gt;"","Contacted","New"))))</f>
        <v>Contacted</v>
      </c>
      <c r="M163" s="32" t="n">
        <f aca="false">IF(G163="","",G163-B163)</f>
        <v>0</v>
      </c>
      <c r="N163" s="24" t="str">
        <f aca="false">IF(COUNTIF($A$2:A163,A163)&gt;1,"Duplicate ID",IF(C163="","Missing source",IF(OR(AND(G163&lt;&gt;"",G163&lt;B163),AND(H163&lt;&gt;"",H163&lt;B163),AND(I163&lt;&gt;"",I163&lt;H163),AND(J163&lt;&gt;"",J163&lt;I163)),"Date error","OK")))</f>
        <v>OK</v>
      </c>
    </row>
    <row r="164" customFormat="false" ht="15" hidden="false" customHeight="false" outlineLevel="0" collapsed="false">
      <c r="A164" s="24" t="s">
        <v>245</v>
      </c>
      <c r="B164" s="31" t="n">
        <v>46118</v>
      </c>
      <c r="C164" s="24" t="s">
        <v>26</v>
      </c>
      <c r="D164" s="24" t="s">
        <v>36</v>
      </c>
      <c r="E164" s="24" t="s">
        <v>79</v>
      </c>
      <c r="F164" s="24" t="s">
        <v>42</v>
      </c>
      <c r="G164" s="24"/>
      <c r="H164" s="24"/>
      <c r="I164" s="24"/>
      <c r="J164" s="24"/>
      <c r="K164" s="24" t="n">
        <v>0</v>
      </c>
      <c r="L164" s="24" t="str">
        <f aca="false">IF(J164&lt;&gt;"","Enrolled",IF(I164&lt;&gt;"","Admitted",IF(H164&lt;&gt;"","Applied",IF(G164&lt;&gt;"","Contacted","New"))))</f>
        <v>New</v>
      </c>
      <c r="M164" s="32" t="str">
        <f aca="false">IF(G164="","",G164-B164)</f>
        <v/>
      </c>
      <c r="N164" s="24" t="str">
        <f aca="false">IF(COUNTIF($A$2:A164,A164)&gt;1,"Duplicate ID",IF(C164="","Missing source",IF(OR(AND(G164&lt;&gt;"",G164&lt;B164),AND(H164&lt;&gt;"",H164&lt;B164),AND(I164&lt;&gt;"",I164&lt;H164),AND(J164&lt;&gt;"",J164&lt;I164)),"Date error","OK")))</f>
        <v>OK</v>
      </c>
    </row>
    <row r="165" customFormat="false" ht="15" hidden="false" customHeight="false" outlineLevel="0" collapsed="false">
      <c r="A165" s="24" t="s">
        <v>246</v>
      </c>
      <c r="B165" s="31" t="n">
        <v>46118</v>
      </c>
      <c r="C165" s="24" t="s">
        <v>23</v>
      </c>
      <c r="D165" s="24" t="s">
        <v>32</v>
      </c>
      <c r="E165" s="24" t="s">
        <v>89</v>
      </c>
      <c r="F165" s="24" t="s">
        <v>42</v>
      </c>
      <c r="G165" s="31" t="n">
        <v>46120</v>
      </c>
      <c r="H165" s="24"/>
      <c r="I165" s="24"/>
      <c r="J165" s="24"/>
      <c r="K165" s="24" t="n">
        <v>3</v>
      </c>
      <c r="L165" s="24" t="str">
        <f aca="false">IF(J165&lt;&gt;"","Enrolled",IF(I165&lt;&gt;"","Admitted",IF(H165&lt;&gt;"","Applied",IF(G165&lt;&gt;"","Contacted","New"))))</f>
        <v>Contacted</v>
      </c>
      <c r="M165" s="32" t="n">
        <f aca="false">IF(G165="","",G165-B165)</f>
        <v>2</v>
      </c>
      <c r="N165" s="24" t="str">
        <f aca="false">IF(COUNTIF($A$2:A165,A165)&gt;1,"Duplicate ID",IF(C165="","Missing source",IF(OR(AND(G165&lt;&gt;"",G165&lt;B165),AND(H165&lt;&gt;"",H165&lt;B165),AND(I165&lt;&gt;"",I165&lt;H165),AND(J165&lt;&gt;"",J165&lt;I165)),"Date error","OK")))</f>
        <v>OK</v>
      </c>
    </row>
    <row r="166" customFormat="false" ht="15" hidden="false" customHeight="false" outlineLevel="0" collapsed="false">
      <c r="A166" s="24" t="s">
        <v>247</v>
      </c>
      <c r="B166" s="31" t="n">
        <v>46118</v>
      </c>
      <c r="C166" s="24" t="s">
        <v>26</v>
      </c>
      <c r="D166" s="24" t="s">
        <v>35</v>
      </c>
      <c r="E166" s="24" t="s">
        <v>89</v>
      </c>
      <c r="F166" s="24" t="s">
        <v>43</v>
      </c>
      <c r="G166" s="31" t="n">
        <v>46122</v>
      </c>
      <c r="H166" s="24"/>
      <c r="I166" s="24"/>
      <c r="J166" s="24"/>
      <c r="K166" s="24" t="n">
        <v>8</v>
      </c>
      <c r="L166" s="24" t="str">
        <f aca="false">IF(J166&lt;&gt;"","Enrolled",IF(I166&lt;&gt;"","Admitted",IF(H166&lt;&gt;"","Applied",IF(G166&lt;&gt;"","Contacted","New"))))</f>
        <v>Contacted</v>
      </c>
      <c r="M166" s="32" t="n">
        <f aca="false">IF(G166="","",G166-B166)</f>
        <v>4</v>
      </c>
      <c r="N166" s="24" t="str">
        <f aca="false">IF(COUNTIF($A$2:A166,A166)&gt;1,"Duplicate ID",IF(C166="","Missing source",IF(OR(AND(G166&lt;&gt;"",G166&lt;B166),AND(H166&lt;&gt;"",H166&lt;B166),AND(I166&lt;&gt;"",I166&lt;H166),AND(J166&lt;&gt;"",J166&lt;I166)),"Date error","OK")))</f>
        <v>OK</v>
      </c>
    </row>
    <row r="167" customFormat="false" ht="15" hidden="false" customHeight="false" outlineLevel="0" collapsed="false">
      <c r="A167" s="24" t="s">
        <v>248</v>
      </c>
      <c r="B167" s="31" t="n">
        <v>46118</v>
      </c>
      <c r="C167" s="24" t="s">
        <v>26</v>
      </c>
      <c r="D167" s="24" t="s">
        <v>35</v>
      </c>
      <c r="E167" s="24" t="s">
        <v>89</v>
      </c>
      <c r="F167" s="24" t="s">
        <v>42</v>
      </c>
      <c r="G167" s="31" t="n">
        <v>46119</v>
      </c>
      <c r="H167" s="24"/>
      <c r="I167" s="24"/>
      <c r="J167" s="24"/>
      <c r="K167" s="24" t="n">
        <v>2</v>
      </c>
      <c r="L167" s="24" t="str">
        <f aca="false">IF(J167&lt;&gt;"","Enrolled",IF(I167&lt;&gt;"","Admitted",IF(H167&lt;&gt;"","Applied",IF(G167&lt;&gt;"","Contacted","New"))))</f>
        <v>Contacted</v>
      </c>
      <c r="M167" s="32" t="n">
        <f aca="false">IF(G167="","",G167-B167)</f>
        <v>1</v>
      </c>
      <c r="N167" s="24" t="str">
        <f aca="false">IF(COUNTIF($A$2:A167,A167)&gt;1,"Duplicate ID",IF(C167="","Missing source",IF(OR(AND(G167&lt;&gt;"",G167&lt;B167),AND(H167&lt;&gt;"",H167&lt;B167),AND(I167&lt;&gt;"",I167&lt;H167),AND(J167&lt;&gt;"",J167&lt;I167)),"Date error","OK")))</f>
        <v>OK</v>
      </c>
    </row>
    <row r="168" customFormat="false" ht="15" hidden="false" customHeight="false" outlineLevel="0" collapsed="false">
      <c r="A168" s="24" t="s">
        <v>249</v>
      </c>
      <c r="B168" s="31" t="n">
        <v>46118</v>
      </c>
      <c r="C168" s="24" t="s">
        <v>26</v>
      </c>
      <c r="D168" s="24" t="s">
        <v>33</v>
      </c>
      <c r="E168" s="24" t="s">
        <v>94</v>
      </c>
      <c r="F168" s="24" t="s">
        <v>42</v>
      </c>
      <c r="G168" s="31" t="n">
        <v>46119</v>
      </c>
      <c r="H168" s="24"/>
      <c r="I168" s="24"/>
      <c r="J168" s="24"/>
      <c r="K168" s="24" t="n">
        <v>5</v>
      </c>
      <c r="L168" s="24" t="str">
        <f aca="false">IF(J168&lt;&gt;"","Enrolled",IF(I168&lt;&gt;"","Admitted",IF(H168&lt;&gt;"","Applied",IF(G168&lt;&gt;"","Contacted","New"))))</f>
        <v>Contacted</v>
      </c>
      <c r="M168" s="32" t="n">
        <f aca="false">IF(G168="","",G168-B168)</f>
        <v>1</v>
      </c>
      <c r="N168" s="24" t="str">
        <f aca="false">IF(COUNTIF($A$2:A168,A168)&gt;1,"Duplicate ID",IF(C168="","Missing source",IF(OR(AND(G168&lt;&gt;"",G168&lt;B168),AND(H168&lt;&gt;"",H168&lt;B168),AND(I168&lt;&gt;"",I168&lt;H168),AND(J168&lt;&gt;"",J168&lt;I168)),"Date error","OK")))</f>
        <v>OK</v>
      </c>
    </row>
    <row r="169" customFormat="false" ht="15" hidden="false" customHeight="false" outlineLevel="0" collapsed="false">
      <c r="A169" s="24" t="s">
        <v>250</v>
      </c>
      <c r="B169" s="31" t="n">
        <v>46118</v>
      </c>
      <c r="C169" s="24" t="s">
        <v>21</v>
      </c>
      <c r="D169" s="24" t="s">
        <v>34</v>
      </c>
      <c r="E169" s="24" t="s">
        <v>89</v>
      </c>
      <c r="F169" s="24" t="s">
        <v>45</v>
      </c>
      <c r="G169" s="31" t="n">
        <v>46120</v>
      </c>
      <c r="H169" s="31" t="n">
        <v>46124</v>
      </c>
      <c r="I169" s="31" t="n">
        <v>46130</v>
      </c>
      <c r="J169" s="31" t="n">
        <v>46140</v>
      </c>
      <c r="K169" s="24" t="n">
        <v>2</v>
      </c>
      <c r="L169" s="24" t="str">
        <f aca="false">IF(J169&lt;&gt;"","Enrolled",IF(I169&lt;&gt;"","Admitted",IF(H169&lt;&gt;"","Applied",IF(G169&lt;&gt;"","Contacted","New"))))</f>
        <v>Enrolled</v>
      </c>
      <c r="M169" s="32" t="n">
        <f aca="false">IF(G169="","",G169-B169)</f>
        <v>2</v>
      </c>
      <c r="N169" s="24" t="str">
        <f aca="false">IF(COUNTIF($A$2:A169,A169)&gt;1,"Duplicate ID",IF(C169="","Missing source",IF(OR(AND(G169&lt;&gt;"",G169&lt;B169),AND(H169&lt;&gt;"",H169&lt;B169),AND(I169&lt;&gt;"",I169&lt;H169),AND(J169&lt;&gt;"",J169&lt;I169)),"Date error","OK")))</f>
        <v>OK</v>
      </c>
    </row>
    <row r="170" customFormat="false" ht="15" hidden="false" customHeight="false" outlineLevel="0" collapsed="false">
      <c r="A170" s="24" t="s">
        <v>251</v>
      </c>
      <c r="B170" s="31" t="n">
        <v>46118</v>
      </c>
      <c r="C170" s="24" t="s">
        <v>25</v>
      </c>
      <c r="D170" s="24" t="s">
        <v>35</v>
      </c>
      <c r="E170" s="24" t="s">
        <v>89</v>
      </c>
      <c r="F170" s="24" t="s">
        <v>41</v>
      </c>
      <c r="G170" s="31" t="n">
        <v>46120</v>
      </c>
      <c r="H170" s="24"/>
      <c r="I170" s="24"/>
      <c r="J170" s="24"/>
      <c r="K170" s="24" t="n">
        <v>2</v>
      </c>
      <c r="L170" s="24" t="str">
        <f aca="false">IF(J170&lt;&gt;"","Enrolled",IF(I170&lt;&gt;"","Admitted",IF(H170&lt;&gt;"","Applied",IF(G170&lt;&gt;"","Contacted","New"))))</f>
        <v>Contacted</v>
      </c>
      <c r="M170" s="32" t="n">
        <f aca="false">IF(G170="","",G170-B170)</f>
        <v>2</v>
      </c>
      <c r="N170" s="24" t="str">
        <f aca="false">IF(COUNTIF($A$2:A170,A170)&gt;1,"Duplicate ID",IF(C170="","Missing source",IF(OR(AND(G170&lt;&gt;"",G170&lt;B170),AND(H170&lt;&gt;"",H170&lt;B170),AND(I170&lt;&gt;"",I170&lt;H170),AND(J170&lt;&gt;"",J170&lt;I170)),"Date error","OK")))</f>
        <v>OK</v>
      </c>
    </row>
    <row r="171" customFormat="false" ht="15" hidden="false" customHeight="false" outlineLevel="0" collapsed="false">
      <c r="A171" s="24" t="s">
        <v>252</v>
      </c>
      <c r="B171" s="31" t="n">
        <v>46118</v>
      </c>
      <c r="C171" s="24" t="s">
        <v>27</v>
      </c>
      <c r="D171" s="24" t="s">
        <v>36</v>
      </c>
      <c r="E171" s="24" t="s">
        <v>89</v>
      </c>
      <c r="F171" s="24" t="s">
        <v>43</v>
      </c>
      <c r="G171" s="31" t="n">
        <v>46119</v>
      </c>
      <c r="H171" s="24"/>
      <c r="I171" s="24"/>
      <c r="J171" s="24"/>
      <c r="K171" s="24" t="n">
        <v>4</v>
      </c>
      <c r="L171" s="24" t="str">
        <f aca="false">IF(J171&lt;&gt;"","Enrolled",IF(I171&lt;&gt;"","Admitted",IF(H171&lt;&gt;"","Applied",IF(G171&lt;&gt;"","Contacted","New"))))</f>
        <v>Contacted</v>
      </c>
      <c r="M171" s="32" t="n">
        <f aca="false">IF(G171="","",G171-B171)</f>
        <v>1</v>
      </c>
      <c r="N171" s="24" t="str">
        <f aca="false">IF(COUNTIF($A$2:A171,A171)&gt;1,"Duplicate ID",IF(C171="","Missing source",IF(OR(AND(G171&lt;&gt;"",G171&lt;B171),AND(H171&lt;&gt;"",H171&lt;B171),AND(I171&lt;&gt;"",I171&lt;H171),AND(J171&lt;&gt;"",J171&lt;I171)),"Date error","OK")))</f>
        <v>OK</v>
      </c>
    </row>
    <row r="172" customFormat="false" ht="15" hidden="false" customHeight="false" outlineLevel="0" collapsed="false">
      <c r="A172" s="24" t="s">
        <v>253</v>
      </c>
      <c r="B172" s="31" t="n">
        <v>46119</v>
      </c>
      <c r="C172" s="24" t="s">
        <v>24</v>
      </c>
      <c r="D172" s="24" t="s">
        <v>35</v>
      </c>
      <c r="E172" s="24" t="s">
        <v>89</v>
      </c>
      <c r="F172" s="24" t="s">
        <v>40</v>
      </c>
      <c r="G172" s="31" t="n">
        <v>46121</v>
      </c>
      <c r="H172" s="31" t="n">
        <v>46139</v>
      </c>
      <c r="I172" s="31" t="n">
        <v>46147</v>
      </c>
      <c r="J172" s="31" t="n">
        <v>46155</v>
      </c>
      <c r="K172" s="24" t="n">
        <v>2</v>
      </c>
      <c r="L172" s="24" t="str">
        <f aca="false">IF(J172&lt;&gt;"","Enrolled",IF(I172&lt;&gt;"","Admitted",IF(H172&lt;&gt;"","Applied",IF(G172&lt;&gt;"","Contacted","New"))))</f>
        <v>Enrolled</v>
      </c>
      <c r="M172" s="32" t="n">
        <f aca="false">IF(G172="","",G172-B172)</f>
        <v>2</v>
      </c>
      <c r="N172" s="24" t="str">
        <f aca="false">IF(COUNTIF($A$2:A172,A172)&gt;1,"Duplicate ID",IF(C172="","Missing source",IF(OR(AND(G172&lt;&gt;"",G172&lt;B172),AND(H172&lt;&gt;"",H172&lt;B172),AND(I172&lt;&gt;"",I172&lt;H172),AND(J172&lt;&gt;"",J172&lt;I172)),"Date error","OK")))</f>
        <v>OK</v>
      </c>
    </row>
    <row r="173" customFormat="false" ht="15" hidden="false" customHeight="false" outlineLevel="0" collapsed="false">
      <c r="A173" s="24" t="s">
        <v>254</v>
      </c>
      <c r="B173" s="31" t="n">
        <v>46119</v>
      </c>
      <c r="C173" s="24" t="s">
        <v>27</v>
      </c>
      <c r="D173" s="24" t="s">
        <v>32</v>
      </c>
      <c r="E173" s="24" t="s">
        <v>84</v>
      </c>
      <c r="F173" s="24" t="s">
        <v>40</v>
      </c>
      <c r="G173" s="31" t="n">
        <v>46120</v>
      </c>
      <c r="H173" s="31" t="n">
        <v>46139</v>
      </c>
      <c r="I173" s="31" t="n">
        <v>46146</v>
      </c>
      <c r="J173" s="31" t="n">
        <v>46172</v>
      </c>
      <c r="K173" s="24" t="n">
        <v>8</v>
      </c>
      <c r="L173" s="24" t="str">
        <f aca="false">IF(J173&lt;&gt;"","Enrolled",IF(I173&lt;&gt;"","Admitted",IF(H173&lt;&gt;"","Applied",IF(G173&lt;&gt;"","Contacted","New"))))</f>
        <v>Enrolled</v>
      </c>
      <c r="M173" s="32" t="n">
        <f aca="false">IF(G173="","",G173-B173)</f>
        <v>1</v>
      </c>
      <c r="N173" s="24" t="str">
        <f aca="false">IF(COUNTIF($A$2:A173,A173)&gt;1,"Duplicate ID",IF(C173="","Missing source",IF(OR(AND(G173&lt;&gt;"",G173&lt;B173),AND(H173&lt;&gt;"",H173&lt;B173),AND(I173&lt;&gt;"",I173&lt;H173),AND(J173&lt;&gt;"",J173&lt;I173)),"Date error","OK")))</f>
        <v>OK</v>
      </c>
    </row>
    <row r="174" customFormat="false" ht="15" hidden="false" customHeight="false" outlineLevel="0" collapsed="false">
      <c r="A174" s="24" t="s">
        <v>255</v>
      </c>
      <c r="B174" s="31" t="n">
        <v>46119</v>
      </c>
      <c r="C174" s="24" t="s">
        <v>23</v>
      </c>
      <c r="D174" s="24" t="s">
        <v>34</v>
      </c>
      <c r="E174" s="24" t="s">
        <v>94</v>
      </c>
      <c r="F174" s="24" t="s">
        <v>40</v>
      </c>
      <c r="G174" s="31" t="n">
        <v>46120</v>
      </c>
      <c r="H174" s="24"/>
      <c r="I174" s="24"/>
      <c r="J174" s="24"/>
      <c r="K174" s="24" t="n">
        <v>4</v>
      </c>
      <c r="L174" s="24" t="str">
        <f aca="false">IF(J174&lt;&gt;"","Enrolled",IF(I174&lt;&gt;"","Admitted",IF(H174&lt;&gt;"","Applied",IF(G174&lt;&gt;"","Contacted","New"))))</f>
        <v>Contacted</v>
      </c>
      <c r="M174" s="32" t="n">
        <f aca="false">IF(G174="","",G174-B174)</f>
        <v>1</v>
      </c>
      <c r="N174" s="24" t="str">
        <f aca="false">IF(COUNTIF($A$2:A174,A174)&gt;1,"Duplicate ID",IF(C174="","Missing source",IF(OR(AND(G174&lt;&gt;"",G174&lt;B174),AND(H174&lt;&gt;"",H174&lt;B174),AND(I174&lt;&gt;"",I174&lt;H174),AND(J174&lt;&gt;"",J174&lt;I174)),"Date error","OK")))</f>
        <v>OK</v>
      </c>
    </row>
    <row r="175" customFormat="false" ht="15" hidden="false" customHeight="false" outlineLevel="0" collapsed="false">
      <c r="A175" s="24" t="s">
        <v>256</v>
      </c>
      <c r="B175" s="31" t="n">
        <v>46119</v>
      </c>
      <c r="C175" s="24" t="s">
        <v>26</v>
      </c>
      <c r="D175" s="24" t="s">
        <v>32</v>
      </c>
      <c r="E175" s="24" t="s">
        <v>84</v>
      </c>
      <c r="F175" s="24" t="s">
        <v>42</v>
      </c>
      <c r="G175" s="31" t="n">
        <v>46120</v>
      </c>
      <c r="H175" s="24"/>
      <c r="I175" s="24"/>
      <c r="J175" s="24"/>
      <c r="K175" s="24" t="n">
        <v>1</v>
      </c>
      <c r="L175" s="24" t="str">
        <f aca="false">IF(J175&lt;&gt;"","Enrolled",IF(I175&lt;&gt;"","Admitted",IF(H175&lt;&gt;"","Applied",IF(G175&lt;&gt;"","Contacted","New"))))</f>
        <v>Contacted</v>
      </c>
      <c r="M175" s="32" t="n">
        <f aca="false">IF(G175="","",G175-B175)</f>
        <v>1</v>
      </c>
      <c r="N175" s="24" t="str">
        <f aca="false">IF(COUNTIF($A$2:A175,A175)&gt;1,"Duplicate ID",IF(C175="","Missing source",IF(OR(AND(G175&lt;&gt;"",G175&lt;B175),AND(H175&lt;&gt;"",H175&lt;B175),AND(I175&lt;&gt;"",I175&lt;H175),AND(J175&lt;&gt;"",J175&lt;I175)),"Date error","OK")))</f>
        <v>OK</v>
      </c>
    </row>
    <row r="176" customFormat="false" ht="15" hidden="false" customHeight="false" outlineLevel="0" collapsed="false">
      <c r="A176" s="24" t="s">
        <v>257</v>
      </c>
      <c r="B176" s="31" t="n">
        <v>46119</v>
      </c>
      <c r="C176" s="24" t="s">
        <v>26</v>
      </c>
      <c r="D176" s="24" t="s">
        <v>32</v>
      </c>
      <c r="E176" s="24" t="s">
        <v>89</v>
      </c>
      <c r="F176" s="24" t="s">
        <v>43</v>
      </c>
      <c r="G176" s="31" t="n">
        <v>46120</v>
      </c>
      <c r="H176" s="24"/>
      <c r="I176" s="24"/>
      <c r="J176" s="24"/>
      <c r="K176" s="24" t="n">
        <v>1</v>
      </c>
      <c r="L176" s="24" t="str">
        <f aca="false">IF(J176&lt;&gt;"","Enrolled",IF(I176&lt;&gt;"","Admitted",IF(H176&lt;&gt;"","Applied",IF(G176&lt;&gt;"","Contacted","New"))))</f>
        <v>Contacted</v>
      </c>
      <c r="M176" s="32" t="n">
        <f aca="false">IF(G176="","",G176-B176)</f>
        <v>1</v>
      </c>
      <c r="N176" s="24" t="str">
        <f aca="false">IF(COUNTIF($A$2:A176,A176)&gt;1,"Duplicate ID",IF(C176="","Missing source",IF(OR(AND(G176&lt;&gt;"",G176&lt;B176),AND(H176&lt;&gt;"",H176&lt;B176),AND(I176&lt;&gt;"",I176&lt;H176),AND(J176&lt;&gt;"",J176&lt;I176)),"Date error","OK")))</f>
        <v>OK</v>
      </c>
    </row>
    <row r="177" customFormat="false" ht="15" hidden="false" customHeight="false" outlineLevel="0" collapsed="false">
      <c r="A177" s="24" t="s">
        <v>258</v>
      </c>
      <c r="B177" s="31" t="n">
        <v>46120</v>
      </c>
      <c r="C177" s="24" t="s">
        <v>26</v>
      </c>
      <c r="D177" s="24" t="s">
        <v>36</v>
      </c>
      <c r="E177" s="24" t="s">
        <v>94</v>
      </c>
      <c r="F177" s="24" t="s">
        <v>45</v>
      </c>
      <c r="G177" s="24"/>
      <c r="H177" s="24"/>
      <c r="I177" s="24"/>
      <c r="J177" s="24"/>
      <c r="K177" s="24" t="n">
        <v>0</v>
      </c>
      <c r="L177" s="24" t="str">
        <f aca="false">IF(J177&lt;&gt;"","Enrolled",IF(I177&lt;&gt;"","Admitted",IF(H177&lt;&gt;"","Applied",IF(G177&lt;&gt;"","Contacted","New"))))</f>
        <v>New</v>
      </c>
      <c r="M177" s="32" t="str">
        <f aca="false">IF(G177="","",G177-B177)</f>
        <v/>
      </c>
      <c r="N177" s="24" t="str">
        <f aca="false">IF(COUNTIF($A$2:A177,A177)&gt;1,"Duplicate ID",IF(C177="","Missing source",IF(OR(AND(G177&lt;&gt;"",G177&lt;B177),AND(H177&lt;&gt;"",H177&lt;B177),AND(I177&lt;&gt;"",I177&lt;H177),AND(J177&lt;&gt;"",J177&lt;I177)),"Date error","OK")))</f>
        <v>OK</v>
      </c>
    </row>
    <row r="178" customFormat="false" ht="15" hidden="false" customHeight="false" outlineLevel="0" collapsed="false">
      <c r="A178" s="24" t="s">
        <v>259</v>
      </c>
      <c r="B178" s="31" t="n">
        <v>46120</v>
      </c>
      <c r="C178" s="24" t="s">
        <v>26</v>
      </c>
      <c r="D178" s="24" t="s">
        <v>36</v>
      </c>
      <c r="E178" s="24" t="s">
        <v>94</v>
      </c>
      <c r="F178" s="24" t="s">
        <v>45</v>
      </c>
      <c r="G178" s="31" t="n">
        <v>46120</v>
      </c>
      <c r="H178" s="24"/>
      <c r="I178" s="24"/>
      <c r="J178" s="24"/>
      <c r="K178" s="24" t="n">
        <v>2</v>
      </c>
      <c r="L178" s="24" t="str">
        <f aca="false">IF(J178&lt;&gt;"","Enrolled",IF(I178&lt;&gt;"","Admitted",IF(H178&lt;&gt;"","Applied",IF(G178&lt;&gt;"","Contacted","New"))))</f>
        <v>Contacted</v>
      </c>
      <c r="M178" s="32" t="n">
        <f aca="false">IF(G178="","",G178-B178)</f>
        <v>0</v>
      </c>
      <c r="N178" s="24" t="str">
        <f aca="false">IF(COUNTIF($A$2:A178,A178)&gt;1,"Duplicate ID",IF(C178="","Missing source",IF(OR(AND(G178&lt;&gt;"",G178&lt;B178),AND(H178&lt;&gt;"",H178&lt;B178),AND(I178&lt;&gt;"",I178&lt;H178),AND(J178&lt;&gt;"",J178&lt;I178)),"Date error","OK")))</f>
        <v>OK</v>
      </c>
    </row>
    <row r="179" customFormat="false" ht="15" hidden="false" customHeight="false" outlineLevel="0" collapsed="false">
      <c r="A179" s="24" t="s">
        <v>260</v>
      </c>
      <c r="B179" s="31" t="n">
        <v>46120</v>
      </c>
      <c r="C179" s="24" t="s">
        <v>25</v>
      </c>
      <c r="D179" s="24" t="s">
        <v>32</v>
      </c>
      <c r="E179" s="24" t="s">
        <v>81</v>
      </c>
      <c r="F179" s="24" t="s">
        <v>41</v>
      </c>
      <c r="G179" s="31" t="n">
        <v>46121</v>
      </c>
      <c r="H179" s="24"/>
      <c r="I179" s="24"/>
      <c r="J179" s="24"/>
      <c r="K179" s="24" t="n">
        <v>0</v>
      </c>
      <c r="L179" s="24" t="str">
        <f aca="false">IF(J179&lt;&gt;"","Enrolled",IF(I179&lt;&gt;"","Admitted",IF(H179&lt;&gt;"","Applied",IF(G179&lt;&gt;"","Contacted","New"))))</f>
        <v>Contacted</v>
      </c>
      <c r="M179" s="32" t="n">
        <f aca="false">IF(G179="","",G179-B179)</f>
        <v>1</v>
      </c>
      <c r="N179" s="24" t="str">
        <f aca="false">IF(COUNTIF($A$2:A179,A179)&gt;1,"Duplicate ID",IF(C179="","Missing source",IF(OR(AND(G179&lt;&gt;"",G179&lt;B179),AND(H179&lt;&gt;"",H179&lt;B179),AND(I179&lt;&gt;"",I179&lt;H179),AND(J179&lt;&gt;"",J179&lt;I179)),"Date error","OK")))</f>
        <v>OK</v>
      </c>
    </row>
    <row r="180" customFormat="false" ht="15" hidden="false" customHeight="false" outlineLevel="0" collapsed="false">
      <c r="A180" s="24" t="s">
        <v>261</v>
      </c>
      <c r="B180" s="31" t="n">
        <v>46120</v>
      </c>
      <c r="C180" s="24" t="s">
        <v>26</v>
      </c>
      <c r="D180" s="24" t="s">
        <v>36</v>
      </c>
      <c r="E180" s="24" t="s">
        <v>94</v>
      </c>
      <c r="F180" s="24" t="s">
        <v>41</v>
      </c>
      <c r="G180" s="31" t="n">
        <v>46120</v>
      </c>
      <c r="H180" s="24"/>
      <c r="I180" s="24"/>
      <c r="J180" s="24"/>
      <c r="K180" s="24" t="n">
        <v>4</v>
      </c>
      <c r="L180" s="24" t="str">
        <f aca="false">IF(J180&lt;&gt;"","Enrolled",IF(I180&lt;&gt;"","Admitted",IF(H180&lt;&gt;"","Applied",IF(G180&lt;&gt;"","Contacted","New"))))</f>
        <v>Contacted</v>
      </c>
      <c r="M180" s="32" t="n">
        <f aca="false">IF(G180="","",G180-B180)</f>
        <v>0</v>
      </c>
      <c r="N180" s="24" t="str">
        <f aca="false">IF(COUNTIF($A$2:A180,A180)&gt;1,"Duplicate ID",IF(C180="","Missing source",IF(OR(AND(G180&lt;&gt;"",G180&lt;B180),AND(H180&lt;&gt;"",H180&lt;B180),AND(I180&lt;&gt;"",I180&lt;H180),AND(J180&lt;&gt;"",J180&lt;I180)),"Date error","OK")))</f>
        <v>OK</v>
      </c>
    </row>
    <row r="181" customFormat="false" ht="15" hidden="false" customHeight="false" outlineLevel="0" collapsed="false">
      <c r="A181" s="24" t="s">
        <v>262</v>
      </c>
      <c r="B181" s="31" t="n">
        <v>46120</v>
      </c>
      <c r="C181" s="24" t="s">
        <v>23</v>
      </c>
      <c r="D181" s="24" t="s">
        <v>32</v>
      </c>
      <c r="E181" s="24" t="s">
        <v>94</v>
      </c>
      <c r="F181" s="24" t="s">
        <v>41</v>
      </c>
      <c r="G181" s="31" t="n">
        <v>46120</v>
      </c>
      <c r="H181" s="31" t="n">
        <v>46127</v>
      </c>
      <c r="I181" s="31" t="n">
        <v>46134</v>
      </c>
      <c r="J181" s="31" t="n">
        <v>46165</v>
      </c>
      <c r="K181" s="24" t="n">
        <v>5</v>
      </c>
      <c r="L181" s="24" t="str">
        <f aca="false">IF(J181&lt;&gt;"","Enrolled",IF(I181&lt;&gt;"","Admitted",IF(H181&lt;&gt;"","Applied",IF(G181&lt;&gt;"","Contacted","New"))))</f>
        <v>Enrolled</v>
      </c>
      <c r="M181" s="32" t="n">
        <f aca="false">IF(G181="","",G181-B181)</f>
        <v>0</v>
      </c>
      <c r="N181" s="24" t="str">
        <f aca="false">IF(COUNTIF($A$2:A181,A181)&gt;1,"Duplicate ID",IF(C181="","Missing source",IF(OR(AND(G181&lt;&gt;"",G181&lt;B181),AND(H181&lt;&gt;"",H181&lt;B181),AND(I181&lt;&gt;"",I181&lt;H181),AND(J181&lt;&gt;"",J181&lt;I181)),"Date error","OK")))</f>
        <v>OK</v>
      </c>
    </row>
    <row r="182" customFormat="false" ht="15" hidden="false" customHeight="false" outlineLevel="0" collapsed="false">
      <c r="A182" s="24" t="s">
        <v>263</v>
      </c>
      <c r="B182" s="31" t="n">
        <v>46120</v>
      </c>
      <c r="C182" s="24" t="s">
        <v>25</v>
      </c>
      <c r="D182" s="24" t="s">
        <v>35</v>
      </c>
      <c r="E182" s="24" t="s">
        <v>94</v>
      </c>
      <c r="F182" s="24" t="s">
        <v>45</v>
      </c>
      <c r="G182" s="31" t="n">
        <v>46121</v>
      </c>
      <c r="H182" s="24"/>
      <c r="I182" s="24"/>
      <c r="J182" s="24"/>
      <c r="K182" s="24" t="n">
        <v>3</v>
      </c>
      <c r="L182" s="24" t="str">
        <f aca="false">IF(J182&lt;&gt;"","Enrolled",IF(I182&lt;&gt;"","Admitted",IF(H182&lt;&gt;"","Applied",IF(G182&lt;&gt;"","Contacted","New"))))</f>
        <v>Contacted</v>
      </c>
      <c r="M182" s="32" t="n">
        <f aca="false">IF(G182="","",G182-B182)</f>
        <v>1</v>
      </c>
      <c r="N182" s="24" t="str">
        <f aca="false">IF(COUNTIF($A$2:A182,A182)&gt;1,"Duplicate ID",IF(C182="","Missing source",IF(OR(AND(G182&lt;&gt;"",G182&lt;B182),AND(H182&lt;&gt;"",H182&lt;B182),AND(I182&lt;&gt;"",I182&lt;H182),AND(J182&lt;&gt;"",J182&lt;I182)),"Date error","OK")))</f>
        <v>OK</v>
      </c>
    </row>
    <row r="183" customFormat="false" ht="15" hidden="false" customHeight="false" outlineLevel="0" collapsed="false">
      <c r="A183" s="24" t="s">
        <v>264</v>
      </c>
      <c r="B183" s="31" t="n">
        <v>46120</v>
      </c>
      <c r="C183" s="24" t="s">
        <v>26</v>
      </c>
      <c r="D183" s="24" t="s">
        <v>35</v>
      </c>
      <c r="E183" s="24" t="s">
        <v>94</v>
      </c>
      <c r="F183" s="24" t="s">
        <v>45</v>
      </c>
      <c r="G183" s="31" t="n">
        <v>46121</v>
      </c>
      <c r="H183" s="24"/>
      <c r="I183" s="24"/>
      <c r="J183" s="24"/>
      <c r="K183" s="24" t="n">
        <v>4</v>
      </c>
      <c r="L183" s="24" t="str">
        <f aca="false">IF(J183&lt;&gt;"","Enrolled",IF(I183&lt;&gt;"","Admitted",IF(H183&lt;&gt;"","Applied",IF(G183&lt;&gt;"","Contacted","New"))))</f>
        <v>Contacted</v>
      </c>
      <c r="M183" s="32" t="n">
        <f aca="false">IF(G183="","",G183-B183)</f>
        <v>1</v>
      </c>
      <c r="N183" s="24" t="str">
        <f aca="false">IF(COUNTIF($A$2:A183,A183)&gt;1,"Duplicate ID",IF(C183="","Missing source",IF(OR(AND(G183&lt;&gt;"",G183&lt;B183),AND(H183&lt;&gt;"",H183&lt;B183),AND(I183&lt;&gt;"",I183&lt;H183),AND(J183&lt;&gt;"",J183&lt;I183)),"Date error","OK")))</f>
        <v>OK</v>
      </c>
    </row>
    <row r="184" customFormat="false" ht="15" hidden="false" customHeight="false" outlineLevel="0" collapsed="false">
      <c r="A184" s="24" t="s">
        <v>265</v>
      </c>
      <c r="B184" s="31" t="n">
        <v>46120</v>
      </c>
      <c r="C184" s="24" t="s">
        <v>26</v>
      </c>
      <c r="D184" s="24" t="s">
        <v>34</v>
      </c>
      <c r="E184" s="24" t="s">
        <v>89</v>
      </c>
      <c r="F184" s="24" t="s">
        <v>43</v>
      </c>
      <c r="G184" s="31" t="n">
        <v>46120</v>
      </c>
      <c r="H184" s="24"/>
      <c r="I184" s="24"/>
      <c r="J184" s="24"/>
      <c r="K184" s="24" t="n">
        <v>5</v>
      </c>
      <c r="L184" s="24" t="str">
        <f aca="false">IF(J184&lt;&gt;"","Enrolled",IF(I184&lt;&gt;"","Admitted",IF(H184&lt;&gt;"","Applied",IF(G184&lt;&gt;"","Contacted","New"))))</f>
        <v>Contacted</v>
      </c>
      <c r="M184" s="32" t="n">
        <f aca="false">IF(G184="","",G184-B184)</f>
        <v>0</v>
      </c>
      <c r="N184" s="24" t="str">
        <f aca="false">IF(COUNTIF($A$2:A184,A184)&gt;1,"Duplicate ID",IF(C184="","Missing source",IF(OR(AND(G184&lt;&gt;"",G184&lt;B184),AND(H184&lt;&gt;"",H184&lt;B184),AND(I184&lt;&gt;"",I184&lt;H184),AND(J184&lt;&gt;"",J184&lt;I184)),"Date error","OK")))</f>
        <v>OK</v>
      </c>
    </row>
    <row r="185" customFormat="false" ht="15" hidden="false" customHeight="false" outlineLevel="0" collapsed="false">
      <c r="A185" s="24" t="s">
        <v>266</v>
      </c>
      <c r="B185" s="31" t="n">
        <v>46120</v>
      </c>
      <c r="C185" s="24" t="s">
        <v>26</v>
      </c>
      <c r="D185" s="24" t="s">
        <v>32</v>
      </c>
      <c r="E185" s="24" t="s">
        <v>79</v>
      </c>
      <c r="F185" s="24" t="s">
        <v>40</v>
      </c>
      <c r="G185" s="31" t="n">
        <v>46120</v>
      </c>
      <c r="H185" s="24"/>
      <c r="I185" s="24"/>
      <c r="J185" s="24"/>
      <c r="K185" s="24" t="n">
        <v>3</v>
      </c>
      <c r="L185" s="24" t="str">
        <f aca="false">IF(J185&lt;&gt;"","Enrolled",IF(I185&lt;&gt;"","Admitted",IF(H185&lt;&gt;"","Applied",IF(G185&lt;&gt;"","Contacted","New"))))</f>
        <v>Contacted</v>
      </c>
      <c r="M185" s="32" t="n">
        <f aca="false">IF(G185="","",G185-B185)</f>
        <v>0</v>
      </c>
      <c r="N185" s="24" t="str">
        <f aca="false">IF(COUNTIF($A$2:A185,A185)&gt;1,"Duplicate ID",IF(C185="","Missing source",IF(OR(AND(G185&lt;&gt;"",G185&lt;B185),AND(H185&lt;&gt;"",H185&lt;B185),AND(I185&lt;&gt;"",I185&lt;H185),AND(J185&lt;&gt;"",J185&lt;I185)),"Date error","OK")))</f>
        <v>OK</v>
      </c>
    </row>
    <row r="186" customFormat="false" ht="15" hidden="false" customHeight="false" outlineLevel="0" collapsed="false">
      <c r="A186" s="24" t="s">
        <v>267</v>
      </c>
      <c r="B186" s="31" t="n">
        <v>46120</v>
      </c>
      <c r="C186" s="24" t="s">
        <v>22</v>
      </c>
      <c r="D186" s="24" t="s">
        <v>35</v>
      </c>
      <c r="E186" s="24" t="s">
        <v>89</v>
      </c>
      <c r="F186" s="24" t="s">
        <v>42</v>
      </c>
      <c r="G186" s="31" t="n">
        <v>46124</v>
      </c>
      <c r="H186" s="24"/>
      <c r="I186" s="24"/>
      <c r="J186" s="24"/>
      <c r="K186" s="24" t="n">
        <v>3</v>
      </c>
      <c r="L186" s="24" t="str">
        <f aca="false">IF(J186&lt;&gt;"","Enrolled",IF(I186&lt;&gt;"","Admitted",IF(H186&lt;&gt;"","Applied",IF(G186&lt;&gt;"","Contacted","New"))))</f>
        <v>Contacted</v>
      </c>
      <c r="M186" s="32" t="n">
        <f aca="false">IF(G186="","",G186-B186)</f>
        <v>4</v>
      </c>
      <c r="N186" s="24" t="str">
        <f aca="false">IF(COUNTIF($A$2:A186,A186)&gt;1,"Duplicate ID",IF(C186="","Missing source",IF(OR(AND(G186&lt;&gt;"",G186&lt;B186),AND(H186&lt;&gt;"",H186&lt;B186),AND(I186&lt;&gt;"",I186&lt;H186),AND(J186&lt;&gt;"",J186&lt;I186)),"Date error","OK")))</f>
        <v>OK</v>
      </c>
    </row>
    <row r="187" customFormat="false" ht="15" hidden="false" customHeight="false" outlineLevel="0" collapsed="false">
      <c r="A187" s="24" t="s">
        <v>268</v>
      </c>
      <c r="B187" s="31" t="n">
        <v>46121</v>
      </c>
      <c r="C187" s="24" t="s">
        <v>27</v>
      </c>
      <c r="D187" s="24" t="s">
        <v>36</v>
      </c>
      <c r="E187" s="24" t="s">
        <v>89</v>
      </c>
      <c r="F187" s="24" t="s">
        <v>41</v>
      </c>
      <c r="G187" s="31" t="n">
        <v>46121</v>
      </c>
      <c r="H187" s="24"/>
      <c r="I187" s="24"/>
      <c r="J187" s="24"/>
      <c r="K187" s="24" t="n">
        <v>1</v>
      </c>
      <c r="L187" s="24" t="str">
        <f aca="false">IF(J187&lt;&gt;"","Enrolled",IF(I187&lt;&gt;"","Admitted",IF(H187&lt;&gt;"","Applied",IF(G187&lt;&gt;"","Contacted","New"))))</f>
        <v>Contacted</v>
      </c>
      <c r="M187" s="32" t="n">
        <f aca="false">IF(G187="","",G187-B187)</f>
        <v>0</v>
      </c>
      <c r="N187" s="24" t="str">
        <f aca="false">IF(COUNTIF($A$2:A187,A187)&gt;1,"Duplicate ID",IF(C187="","Missing source",IF(OR(AND(G187&lt;&gt;"",G187&lt;B187),AND(H187&lt;&gt;"",H187&lt;B187),AND(I187&lt;&gt;"",I187&lt;H187),AND(J187&lt;&gt;"",J187&lt;I187)),"Date error","OK")))</f>
        <v>OK</v>
      </c>
    </row>
    <row r="188" customFormat="false" ht="15" hidden="false" customHeight="false" outlineLevel="0" collapsed="false">
      <c r="A188" s="24" t="s">
        <v>269</v>
      </c>
      <c r="B188" s="31" t="n">
        <v>46121</v>
      </c>
      <c r="C188" s="24" t="s">
        <v>23</v>
      </c>
      <c r="D188" s="24" t="s">
        <v>33</v>
      </c>
      <c r="E188" s="24" t="s">
        <v>94</v>
      </c>
      <c r="F188" s="24" t="s">
        <v>43</v>
      </c>
      <c r="G188" s="31" t="n">
        <v>46122</v>
      </c>
      <c r="H188" s="31" t="n">
        <v>46127</v>
      </c>
      <c r="I188" s="31" t="n">
        <v>46138</v>
      </c>
      <c r="J188" s="24"/>
      <c r="K188" s="24" t="n">
        <v>3</v>
      </c>
      <c r="L188" s="24" t="str">
        <f aca="false">IF(J188&lt;&gt;"","Enrolled",IF(I188&lt;&gt;"","Admitted",IF(H188&lt;&gt;"","Applied",IF(G188&lt;&gt;"","Contacted","New"))))</f>
        <v>Admitted</v>
      </c>
      <c r="M188" s="32" t="n">
        <f aca="false">IF(G188="","",G188-B188)</f>
        <v>1</v>
      </c>
      <c r="N188" s="24" t="str">
        <f aca="false">IF(COUNTIF($A$2:A188,A188)&gt;1,"Duplicate ID",IF(C188="","Missing source",IF(OR(AND(G188&lt;&gt;"",G188&lt;B188),AND(H188&lt;&gt;"",H188&lt;B188),AND(I188&lt;&gt;"",I188&lt;H188),AND(J188&lt;&gt;"",J188&lt;I188)),"Date error","OK")))</f>
        <v>OK</v>
      </c>
    </row>
    <row r="189" customFormat="false" ht="15" hidden="false" customHeight="false" outlineLevel="0" collapsed="false">
      <c r="A189" s="24" t="s">
        <v>270</v>
      </c>
      <c r="B189" s="31" t="n">
        <v>46121</v>
      </c>
      <c r="C189" s="24" t="s">
        <v>23</v>
      </c>
      <c r="D189" s="24" t="s">
        <v>33</v>
      </c>
      <c r="E189" s="24" t="s">
        <v>94</v>
      </c>
      <c r="F189" s="24" t="s">
        <v>42</v>
      </c>
      <c r="G189" s="31" t="n">
        <v>46121</v>
      </c>
      <c r="H189" s="24"/>
      <c r="I189" s="24"/>
      <c r="J189" s="24"/>
      <c r="K189" s="24" t="n">
        <v>0</v>
      </c>
      <c r="L189" s="24" t="str">
        <f aca="false">IF(J189&lt;&gt;"","Enrolled",IF(I189&lt;&gt;"","Admitted",IF(H189&lt;&gt;"","Applied",IF(G189&lt;&gt;"","Contacted","New"))))</f>
        <v>Contacted</v>
      </c>
      <c r="M189" s="32" t="n">
        <f aca="false">IF(G189="","",G189-B189)</f>
        <v>0</v>
      </c>
      <c r="N189" s="24" t="str">
        <f aca="false">IF(COUNTIF($A$2:A189,A189)&gt;1,"Duplicate ID",IF(C189="","Missing source",IF(OR(AND(G189&lt;&gt;"",G189&lt;B189),AND(H189&lt;&gt;"",H189&lt;B189),AND(I189&lt;&gt;"",I189&lt;H189),AND(J189&lt;&gt;"",J189&lt;I189)),"Date error","OK")))</f>
        <v>OK</v>
      </c>
    </row>
    <row r="190" customFormat="false" ht="15" hidden="false" customHeight="false" outlineLevel="0" collapsed="false">
      <c r="A190" s="24" t="s">
        <v>271</v>
      </c>
      <c r="B190" s="31" t="n">
        <v>46121</v>
      </c>
      <c r="C190" s="24" t="s">
        <v>25</v>
      </c>
      <c r="D190" s="24" t="s">
        <v>33</v>
      </c>
      <c r="E190" s="24" t="s">
        <v>89</v>
      </c>
      <c r="F190" s="24" t="s">
        <v>45</v>
      </c>
      <c r="G190" s="31" t="n">
        <v>46123</v>
      </c>
      <c r="H190" s="24"/>
      <c r="I190" s="24"/>
      <c r="J190" s="24"/>
      <c r="K190" s="24" t="n">
        <v>4</v>
      </c>
      <c r="L190" s="24" t="str">
        <f aca="false">IF(J190&lt;&gt;"","Enrolled",IF(I190&lt;&gt;"","Admitted",IF(H190&lt;&gt;"","Applied",IF(G190&lt;&gt;"","Contacted","New"))))</f>
        <v>Contacted</v>
      </c>
      <c r="M190" s="32" t="n">
        <f aca="false">IF(G190="","",G190-B190)</f>
        <v>2</v>
      </c>
      <c r="N190" s="24" t="str">
        <f aca="false">IF(COUNTIF($A$2:A190,A190)&gt;1,"Duplicate ID",IF(C190="","Missing source",IF(OR(AND(G190&lt;&gt;"",G190&lt;B190),AND(H190&lt;&gt;"",H190&lt;B190),AND(I190&lt;&gt;"",I190&lt;H190),AND(J190&lt;&gt;"",J190&lt;I190)),"Date error","OK")))</f>
        <v>OK</v>
      </c>
    </row>
    <row r="191" customFormat="false" ht="15" hidden="false" customHeight="false" outlineLevel="0" collapsed="false">
      <c r="A191" s="24" t="s">
        <v>272</v>
      </c>
      <c r="B191" s="31" t="n">
        <v>46121</v>
      </c>
      <c r="C191" s="24" t="s">
        <v>26</v>
      </c>
      <c r="D191" s="24" t="s">
        <v>32</v>
      </c>
      <c r="E191" s="24" t="s">
        <v>79</v>
      </c>
      <c r="F191" s="24" t="s">
        <v>44</v>
      </c>
      <c r="G191" s="24"/>
      <c r="H191" s="24"/>
      <c r="I191" s="24"/>
      <c r="J191" s="24"/>
      <c r="K191" s="24" t="n">
        <v>0</v>
      </c>
      <c r="L191" s="24" t="str">
        <f aca="false">IF(J191&lt;&gt;"","Enrolled",IF(I191&lt;&gt;"","Admitted",IF(H191&lt;&gt;"","Applied",IF(G191&lt;&gt;"","Contacted","New"))))</f>
        <v>New</v>
      </c>
      <c r="M191" s="32" t="str">
        <f aca="false">IF(G191="","",G191-B191)</f>
        <v/>
      </c>
      <c r="N191" s="24" t="str">
        <f aca="false">IF(COUNTIF($A$2:A191,A191)&gt;1,"Duplicate ID",IF(C191="","Missing source",IF(OR(AND(G191&lt;&gt;"",G191&lt;B191),AND(H191&lt;&gt;"",H191&lt;B191),AND(I191&lt;&gt;"",I191&lt;H191),AND(J191&lt;&gt;"",J191&lt;I191)),"Date error","OK")))</f>
        <v>OK</v>
      </c>
    </row>
    <row r="192" customFormat="false" ht="15" hidden="false" customHeight="false" outlineLevel="0" collapsed="false">
      <c r="A192" s="24" t="s">
        <v>273</v>
      </c>
      <c r="B192" s="31" t="n">
        <v>46121</v>
      </c>
      <c r="C192" s="24" t="s">
        <v>26</v>
      </c>
      <c r="D192" s="24" t="s">
        <v>36</v>
      </c>
      <c r="E192" s="24" t="s">
        <v>94</v>
      </c>
      <c r="F192" s="24" t="s">
        <v>41</v>
      </c>
      <c r="G192" s="31" t="n">
        <v>46124</v>
      </c>
      <c r="H192" s="24"/>
      <c r="I192" s="24"/>
      <c r="J192" s="24"/>
      <c r="K192" s="24" t="n">
        <v>2</v>
      </c>
      <c r="L192" s="24" t="str">
        <f aca="false">IF(J192&lt;&gt;"","Enrolled",IF(I192&lt;&gt;"","Admitted",IF(H192&lt;&gt;"","Applied",IF(G192&lt;&gt;"","Contacted","New"))))</f>
        <v>Contacted</v>
      </c>
      <c r="M192" s="32" t="n">
        <f aca="false">IF(G192="","",G192-B192)</f>
        <v>3</v>
      </c>
      <c r="N192" s="24" t="str">
        <f aca="false">IF(COUNTIF($A$2:A192,A192)&gt;1,"Duplicate ID",IF(C192="","Missing source",IF(OR(AND(G192&lt;&gt;"",G192&lt;B192),AND(H192&lt;&gt;"",H192&lt;B192),AND(I192&lt;&gt;"",I192&lt;H192),AND(J192&lt;&gt;"",J192&lt;I192)),"Date error","OK")))</f>
        <v>OK</v>
      </c>
    </row>
    <row r="193" customFormat="false" ht="15" hidden="false" customHeight="false" outlineLevel="0" collapsed="false">
      <c r="A193" s="24" t="s">
        <v>274</v>
      </c>
      <c r="B193" s="31" t="n">
        <v>46121</v>
      </c>
      <c r="C193" s="24" t="s">
        <v>22</v>
      </c>
      <c r="D193" s="24" t="s">
        <v>34</v>
      </c>
      <c r="E193" s="24" t="s">
        <v>79</v>
      </c>
      <c r="F193" s="24" t="s">
        <v>41</v>
      </c>
      <c r="G193" s="31" t="n">
        <v>46121</v>
      </c>
      <c r="H193" s="24"/>
      <c r="I193" s="24"/>
      <c r="J193" s="24"/>
      <c r="K193" s="24" t="n">
        <v>2</v>
      </c>
      <c r="L193" s="24" t="str">
        <f aca="false">IF(J193&lt;&gt;"","Enrolled",IF(I193&lt;&gt;"","Admitted",IF(H193&lt;&gt;"","Applied",IF(G193&lt;&gt;"","Contacted","New"))))</f>
        <v>Contacted</v>
      </c>
      <c r="M193" s="32" t="n">
        <f aca="false">IF(G193="","",G193-B193)</f>
        <v>0</v>
      </c>
      <c r="N193" s="24" t="str">
        <f aca="false">IF(COUNTIF($A$2:A193,A193)&gt;1,"Duplicate ID",IF(C193="","Missing source",IF(OR(AND(G193&lt;&gt;"",G193&lt;B193),AND(H193&lt;&gt;"",H193&lt;B193),AND(I193&lt;&gt;"",I193&lt;H193),AND(J193&lt;&gt;"",J193&lt;I193)),"Date error","OK")))</f>
        <v>OK</v>
      </c>
    </row>
    <row r="194" customFormat="false" ht="15" hidden="false" customHeight="false" outlineLevel="0" collapsed="false">
      <c r="A194" s="24" t="s">
        <v>275</v>
      </c>
      <c r="B194" s="31" t="n">
        <v>46121</v>
      </c>
      <c r="C194" s="24" t="s">
        <v>24</v>
      </c>
      <c r="D194" s="24" t="s">
        <v>33</v>
      </c>
      <c r="E194" s="24" t="s">
        <v>81</v>
      </c>
      <c r="F194" s="24" t="s">
        <v>45</v>
      </c>
      <c r="G194" s="31" t="n">
        <v>46127</v>
      </c>
      <c r="H194" s="24"/>
      <c r="I194" s="24"/>
      <c r="J194" s="24"/>
      <c r="K194" s="24" t="n">
        <v>7</v>
      </c>
      <c r="L194" s="24" t="str">
        <f aca="false">IF(J194&lt;&gt;"","Enrolled",IF(I194&lt;&gt;"","Admitted",IF(H194&lt;&gt;"","Applied",IF(G194&lt;&gt;"","Contacted","New"))))</f>
        <v>Contacted</v>
      </c>
      <c r="M194" s="32" t="n">
        <f aca="false">IF(G194="","",G194-B194)</f>
        <v>6</v>
      </c>
      <c r="N194" s="24" t="str">
        <f aca="false">IF(COUNTIF($A$2:A194,A194)&gt;1,"Duplicate ID",IF(C194="","Missing source",IF(OR(AND(G194&lt;&gt;"",G194&lt;B194),AND(H194&lt;&gt;"",H194&lt;B194),AND(I194&lt;&gt;"",I194&lt;H194),AND(J194&lt;&gt;"",J194&lt;I194)),"Date error","OK")))</f>
        <v>OK</v>
      </c>
    </row>
    <row r="195" customFormat="false" ht="15" hidden="false" customHeight="false" outlineLevel="0" collapsed="false">
      <c r="A195" s="24" t="s">
        <v>276</v>
      </c>
      <c r="B195" s="31" t="n">
        <v>46121</v>
      </c>
      <c r="C195" s="24" t="s">
        <v>26</v>
      </c>
      <c r="D195" s="24" t="s">
        <v>33</v>
      </c>
      <c r="E195" s="24" t="s">
        <v>94</v>
      </c>
      <c r="F195" s="24" t="s">
        <v>43</v>
      </c>
      <c r="G195" s="31" t="n">
        <v>46121</v>
      </c>
      <c r="H195" s="24"/>
      <c r="I195" s="24"/>
      <c r="J195" s="24"/>
      <c r="K195" s="24" t="n">
        <v>3</v>
      </c>
      <c r="L195" s="24" t="str">
        <f aca="false">IF(J195&lt;&gt;"","Enrolled",IF(I195&lt;&gt;"","Admitted",IF(H195&lt;&gt;"","Applied",IF(G195&lt;&gt;"","Contacted","New"))))</f>
        <v>Contacted</v>
      </c>
      <c r="M195" s="32" t="n">
        <f aca="false">IF(G195="","",G195-B195)</f>
        <v>0</v>
      </c>
      <c r="N195" s="24" t="str">
        <f aca="false">IF(COUNTIF($A$2:A195,A195)&gt;1,"Duplicate ID",IF(C195="","Missing source",IF(OR(AND(G195&lt;&gt;"",G195&lt;B195),AND(H195&lt;&gt;"",H195&lt;B195),AND(I195&lt;&gt;"",I195&lt;H195),AND(J195&lt;&gt;"",J195&lt;I195)),"Date error","OK")))</f>
        <v>OK</v>
      </c>
    </row>
    <row r="196" customFormat="false" ht="15" hidden="false" customHeight="false" outlineLevel="0" collapsed="false">
      <c r="A196" s="24" t="s">
        <v>277</v>
      </c>
      <c r="B196" s="31" t="n">
        <v>46122</v>
      </c>
      <c r="C196" s="24" t="s">
        <v>26</v>
      </c>
      <c r="D196" s="24" t="s">
        <v>32</v>
      </c>
      <c r="E196" s="24" t="s">
        <v>79</v>
      </c>
      <c r="F196" s="24" t="s">
        <v>43</v>
      </c>
      <c r="G196" s="31" t="n">
        <v>46126</v>
      </c>
      <c r="H196" s="24"/>
      <c r="I196" s="24"/>
      <c r="J196" s="24"/>
      <c r="K196" s="24" t="n">
        <v>1</v>
      </c>
      <c r="L196" s="24" t="str">
        <f aca="false">IF(J196&lt;&gt;"","Enrolled",IF(I196&lt;&gt;"","Admitted",IF(H196&lt;&gt;"","Applied",IF(G196&lt;&gt;"","Contacted","New"))))</f>
        <v>Contacted</v>
      </c>
      <c r="M196" s="32" t="n">
        <f aca="false">IF(G196="","",G196-B196)</f>
        <v>4</v>
      </c>
      <c r="N196" s="24" t="str">
        <f aca="false">IF(COUNTIF($A$2:A196,A196)&gt;1,"Duplicate ID",IF(C196="","Missing source",IF(OR(AND(G196&lt;&gt;"",G196&lt;B196),AND(H196&lt;&gt;"",H196&lt;B196),AND(I196&lt;&gt;"",I196&lt;H196),AND(J196&lt;&gt;"",J196&lt;I196)),"Date error","OK")))</f>
        <v>OK</v>
      </c>
    </row>
    <row r="197" customFormat="false" ht="15" hidden="false" customHeight="false" outlineLevel="0" collapsed="false">
      <c r="A197" s="24" t="s">
        <v>278</v>
      </c>
      <c r="B197" s="31" t="n">
        <v>46122</v>
      </c>
      <c r="C197" s="24" t="s">
        <v>25</v>
      </c>
      <c r="D197" s="24" t="s">
        <v>36</v>
      </c>
      <c r="E197" s="24" t="s">
        <v>89</v>
      </c>
      <c r="F197" s="24" t="s">
        <v>41</v>
      </c>
      <c r="G197" s="31" t="n">
        <v>46126</v>
      </c>
      <c r="H197" s="31" t="n">
        <v>46144</v>
      </c>
      <c r="I197" s="24"/>
      <c r="J197" s="24"/>
      <c r="K197" s="24" t="n">
        <v>1</v>
      </c>
      <c r="L197" s="24" t="str">
        <f aca="false">IF(J197&lt;&gt;"","Enrolled",IF(I197&lt;&gt;"","Admitted",IF(H197&lt;&gt;"","Applied",IF(G197&lt;&gt;"","Contacted","New"))))</f>
        <v>Applied</v>
      </c>
      <c r="M197" s="32" t="n">
        <f aca="false">IF(G197="","",G197-B197)</f>
        <v>4</v>
      </c>
      <c r="N197" s="24" t="str">
        <f aca="false">IF(COUNTIF($A$2:A197,A197)&gt;1,"Duplicate ID",IF(C197="","Missing source",IF(OR(AND(G197&lt;&gt;"",G197&lt;B197),AND(H197&lt;&gt;"",H197&lt;B197),AND(I197&lt;&gt;"",I197&lt;H197),AND(J197&lt;&gt;"",J197&lt;I197)),"Date error","OK")))</f>
        <v>OK</v>
      </c>
    </row>
    <row r="198" customFormat="false" ht="15" hidden="false" customHeight="false" outlineLevel="0" collapsed="false">
      <c r="A198" s="24" t="s">
        <v>279</v>
      </c>
      <c r="B198" s="31" t="n">
        <v>46122</v>
      </c>
      <c r="C198" s="24" t="s">
        <v>26</v>
      </c>
      <c r="D198" s="24" t="s">
        <v>36</v>
      </c>
      <c r="E198" s="24" t="s">
        <v>89</v>
      </c>
      <c r="F198" s="24" t="s">
        <v>45</v>
      </c>
      <c r="G198" s="31" t="n">
        <v>46127</v>
      </c>
      <c r="H198" s="24"/>
      <c r="I198" s="24"/>
      <c r="J198" s="24"/>
      <c r="K198" s="24" t="n">
        <v>2</v>
      </c>
      <c r="L198" s="24" t="str">
        <f aca="false">IF(J198&lt;&gt;"","Enrolled",IF(I198&lt;&gt;"","Admitted",IF(H198&lt;&gt;"","Applied",IF(G198&lt;&gt;"","Contacted","New"))))</f>
        <v>Contacted</v>
      </c>
      <c r="M198" s="32" t="n">
        <f aca="false">IF(G198="","",G198-B198)</f>
        <v>5</v>
      </c>
      <c r="N198" s="24" t="str">
        <f aca="false">IF(COUNTIF($A$2:A198,A198)&gt;1,"Duplicate ID",IF(C198="","Missing source",IF(OR(AND(G198&lt;&gt;"",G198&lt;B198),AND(H198&lt;&gt;"",H198&lt;B198),AND(I198&lt;&gt;"",I198&lt;H198),AND(J198&lt;&gt;"",J198&lt;I198)),"Date error","OK")))</f>
        <v>OK</v>
      </c>
    </row>
    <row r="199" customFormat="false" ht="15" hidden="false" customHeight="false" outlineLevel="0" collapsed="false">
      <c r="A199" s="24" t="s">
        <v>280</v>
      </c>
      <c r="B199" s="31" t="n">
        <v>46122</v>
      </c>
      <c r="C199" s="24" t="s">
        <v>25</v>
      </c>
      <c r="D199" s="24" t="s">
        <v>33</v>
      </c>
      <c r="E199" s="24" t="s">
        <v>79</v>
      </c>
      <c r="F199" s="24" t="s">
        <v>40</v>
      </c>
      <c r="G199" s="31" t="n">
        <v>46122</v>
      </c>
      <c r="H199" s="24"/>
      <c r="I199" s="24"/>
      <c r="J199" s="24"/>
      <c r="K199" s="24" t="n">
        <v>4</v>
      </c>
      <c r="L199" s="24" t="str">
        <f aca="false">IF(J199&lt;&gt;"","Enrolled",IF(I199&lt;&gt;"","Admitted",IF(H199&lt;&gt;"","Applied",IF(G199&lt;&gt;"","Contacted","New"))))</f>
        <v>Contacted</v>
      </c>
      <c r="M199" s="32" t="n">
        <f aca="false">IF(G199="","",G199-B199)</f>
        <v>0</v>
      </c>
      <c r="N199" s="24" t="str">
        <f aca="false">IF(COUNTIF($A$2:A199,A199)&gt;1,"Duplicate ID",IF(C199="","Missing source",IF(OR(AND(G199&lt;&gt;"",G199&lt;B199),AND(H199&lt;&gt;"",H199&lt;B199),AND(I199&lt;&gt;"",I199&lt;H199),AND(J199&lt;&gt;"",J199&lt;I199)),"Date error","OK")))</f>
        <v>OK</v>
      </c>
    </row>
    <row r="200" customFormat="false" ht="15" hidden="false" customHeight="false" outlineLevel="0" collapsed="false">
      <c r="A200" s="24" t="s">
        <v>281</v>
      </c>
      <c r="B200" s="31" t="n">
        <v>46122</v>
      </c>
      <c r="C200" s="24" t="s">
        <v>23</v>
      </c>
      <c r="D200" s="24" t="s">
        <v>33</v>
      </c>
      <c r="E200" s="24" t="s">
        <v>84</v>
      </c>
      <c r="F200" s="24" t="s">
        <v>44</v>
      </c>
      <c r="G200" s="31" t="n">
        <v>46125</v>
      </c>
      <c r="H200" s="31" t="n">
        <v>46141</v>
      </c>
      <c r="I200" s="31" t="n">
        <v>46147</v>
      </c>
      <c r="J200" s="31" t="n">
        <v>46165</v>
      </c>
      <c r="K200" s="24" t="n">
        <v>3</v>
      </c>
      <c r="L200" s="24" t="str">
        <f aca="false">IF(J200&lt;&gt;"","Enrolled",IF(I200&lt;&gt;"","Admitted",IF(H200&lt;&gt;"","Applied",IF(G200&lt;&gt;"","Contacted","New"))))</f>
        <v>Enrolled</v>
      </c>
      <c r="M200" s="32" t="n">
        <f aca="false">IF(G200="","",G200-B200)</f>
        <v>3</v>
      </c>
      <c r="N200" s="24" t="str">
        <f aca="false">IF(COUNTIF($A$2:A200,A200)&gt;1,"Duplicate ID",IF(C200="","Missing source",IF(OR(AND(G200&lt;&gt;"",G200&lt;B200),AND(H200&lt;&gt;"",H200&lt;B200),AND(I200&lt;&gt;"",I200&lt;H200),AND(J200&lt;&gt;"",J200&lt;I200)),"Date error","OK")))</f>
        <v>OK</v>
      </c>
    </row>
    <row r="201" customFormat="false" ht="15" hidden="false" customHeight="false" outlineLevel="0" collapsed="false">
      <c r="A201" s="24" t="s">
        <v>282</v>
      </c>
      <c r="B201" s="31" t="n">
        <v>46122</v>
      </c>
      <c r="C201" s="24" t="s">
        <v>27</v>
      </c>
      <c r="D201" s="24" t="s">
        <v>36</v>
      </c>
      <c r="E201" s="24" t="s">
        <v>79</v>
      </c>
      <c r="F201" s="24" t="s">
        <v>40</v>
      </c>
      <c r="G201" s="31" t="n">
        <v>46123</v>
      </c>
      <c r="H201" s="24"/>
      <c r="I201" s="24"/>
      <c r="J201" s="24"/>
      <c r="K201" s="24" t="n">
        <v>2</v>
      </c>
      <c r="L201" s="24" t="str">
        <f aca="false">IF(J201&lt;&gt;"","Enrolled",IF(I201&lt;&gt;"","Admitted",IF(H201&lt;&gt;"","Applied",IF(G201&lt;&gt;"","Contacted","New"))))</f>
        <v>Contacted</v>
      </c>
      <c r="M201" s="32" t="n">
        <f aca="false">IF(G201="","",G201-B201)</f>
        <v>1</v>
      </c>
      <c r="N201" s="24" t="str">
        <f aca="false">IF(COUNTIF($A$2:A201,A201)&gt;1,"Duplicate ID",IF(C201="","Missing source",IF(OR(AND(G201&lt;&gt;"",G201&lt;B201),AND(H201&lt;&gt;"",H201&lt;B201),AND(I201&lt;&gt;"",I201&lt;H201),AND(J201&lt;&gt;"",J201&lt;I201)),"Date error","OK")))</f>
        <v>OK</v>
      </c>
    </row>
    <row r="202" customFormat="false" ht="15" hidden="false" customHeight="false" outlineLevel="0" collapsed="false">
      <c r="A202" s="24" t="s">
        <v>283</v>
      </c>
      <c r="B202" s="31" t="n">
        <v>46122</v>
      </c>
      <c r="C202" s="24" t="s">
        <v>22</v>
      </c>
      <c r="D202" s="24" t="s">
        <v>33</v>
      </c>
      <c r="E202" s="24" t="s">
        <v>89</v>
      </c>
      <c r="F202" s="24" t="s">
        <v>45</v>
      </c>
      <c r="G202" s="31" t="n">
        <v>46123</v>
      </c>
      <c r="H202" s="24"/>
      <c r="I202" s="24"/>
      <c r="J202" s="24"/>
      <c r="K202" s="24" t="n">
        <v>6</v>
      </c>
      <c r="L202" s="24" t="str">
        <f aca="false">IF(J202&lt;&gt;"","Enrolled",IF(I202&lt;&gt;"","Admitted",IF(H202&lt;&gt;"","Applied",IF(G202&lt;&gt;"","Contacted","New"))))</f>
        <v>Contacted</v>
      </c>
      <c r="M202" s="32" t="n">
        <f aca="false">IF(G202="","",G202-B202)</f>
        <v>1</v>
      </c>
      <c r="N202" s="24" t="str">
        <f aca="false">IF(COUNTIF($A$2:A202,A202)&gt;1,"Duplicate ID",IF(C202="","Missing source",IF(OR(AND(G202&lt;&gt;"",G202&lt;B202),AND(H202&lt;&gt;"",H202&lt;B202),AND(I202&lt;&gt;"",I202&lt;H202),AND(J202&lt;&gt;"",J202&lt;I202)),"Date error","OK")))</f>
        <v>OK</v>
      </c>
    </row>
    <row r="203" customFormat="false" ht="15" hidden="false" customHeight="false" outlineLevel="0" collapsed="false">
      <c r="A203" s="24" t="s">
        <v>284</v>
      </c>
      <c r="B203" s="31" t="n">
        <v>46122</v>
      </c>
      <c r="C203" s="24" t="s">
        <v>26</v>
      </c>
      <c r="D203" s="24" t="s">
        <v>34</v>
      </c>
      <c r="E203" s="24" t="s">
        <v>89</v>
      </c>
      <c r="F203" s="24" t="s">
        <v>42</v>
      </c>
      <c r="G203" s="31" t="n">
        <v>46122</v>
      </c>
      <c r="H203" s="31" t="n">
        <v>46127</v>
      </c>
      <c r="I203" s="31" t="n">
        <v>46133</v>
      </c>
      <c r="J203" s="31" t="n">
        <v>46158</v>
      </c>
      <c r="K203" s="24" t="n">
        <v>0</v>
      </c>
      <c r="L203" s="24" t="str">
        <f aca="false">IF(J203&lt;&gt;"","Enrolled",IF(I203&lt;&gt;"","Admitted",IF(H203&lt;&gt;"","Applied",IF(G203&lt;&gt;"","Contacted","New"))))</f>
        <v>Enrolled</v>
      </c>
      <c r="M203" s="32" t="n">
        <f aca="false">IF(G203="","",G203-B203)</f>
        <v>0</v>
      </c>
      <c r="N203" s="24" t="str">
        <f aca="false">IF(COUNTIF($A$2:A203,A203)&gt;1,"Duplicate ID",IF(C203="","Missing source",IF(OR(AND(G203&lt;&gt;"",G203&lt;B203),AND(H203&lt;&gt;"",H203&lt;B203),AND(I203&lt;&gt;"",I203&lt;H203),AND(J203&lt;&gt;"",J203&lt;I203)),"Date error","OK")))</f>
        <v>OK</v>
      </c>
    </row>
    <row r="204" customFormat="false" ht="15" hidden="false" customHeight="false" outlineLevel="0" collapsed="false">
      <c r="A204" s="24" t="s">
        <v>285</v>
      </c>
      <c r="B204" s="31" t="n">
        <v>46122</v>
      </c>
      <c r="C204" s="24" t="s">
        <v>25</v>
      </c>
      <c r="D204" s="24" t="s">
        <v>35</v>
      </c>
      <c r="E204" s="24" t="s">
        <v>89</v>
      </c>
      <c r="F204" s="24" t="s">
        <v>43</v>
      </c>
      <c r="G204" s="31" t="n">
        <v>46126</v>
      </c>
      <c r="H204" s="24"/>
      <c r="I204" s="24"/>
      <c r="J204" s="24"/>
      <c r="K204" s="24" t="n">
        <v>2</v>
      </c>
      <c r="L204" s="24" t="str">
        <f aca="false">IF(J204&lt;&gt;"","Enrolled",IF(I204&lt;&gt;"","Admitted",IF(H204&lt;&gt;"","Applied",IF(G204&lt;&gt;"","Contacted","New"))))</f>
        <v>Contacted</v>
      </c>
      <c r="M204" s="32" t="n">
        <f aca="false">IF(G204="","",G204-B204)</f>
        <v>4</v>
      </c>
      <c r="N204" s="24" t="str">
        <f aca="false">IF(COUNTIF($A$2:A204,A204)&gt;1,"Duplicate ID",IF(C204="","Missing source",IF(OR(AND(G204&lt;&gt;"",G204&lt;B204),AND(H204&lt;&gt;"",H204&lt;B204),AND(I204&lt;&gt;"",I204&lt;H204),AND(J204&lt;&gt;"",J204&lt;I204)),"Date error","OK")))</f>
        <v>OK</v>
      </c>
    </row>
    <row r="205" customFormat="false" ht="15" hidden="false" customHeight="false" outlineLevel="0" collapsed="false">
      <c r="A205" s="24" t="s">
        <v>286</v>
      </c>
      <c r="B205" s="31" t="n">
        <v>46123</v>
      </c>
      <c r="C205" s="24" t="s">
        <v>25</v>
      </c>
      <c r="D205" s="24" t="s">
        <v>36</v>
      </c>
      <c r="E205" s="24" t="s">
        <v>84</v>
      </c>
      <c r="F205" s="24" t="s">
        <v>44</v>
      </c>
      <c r="G205" s="31" t="n">
        <v>46127</v>
      </c>
      <c r="H205" s="24"/>
      <c r="I205" s="24"/>
      <c r="J205" s="24"/>
      <c r="K205" s="24" t="n">
        <v>2</v>
      </c>
      <c r="L205" s="24" t="str">
        <f aca="false">IF(J205&lt;&gt;"","Enrolled",IF(I205&lt;&gt;"","Admitted",IF(H205&lt;&gt;"","Applied",IF(G205&lt;&gt;"","Contacted","New"))))</f>
        <v>Contacted</v>
      </c>
      <c r="M205" s="32" t="n">
        <f aca="false">IF(G205="","",G205-B205)</f>
        <v>4</v>
      </c>
      <c r="N205" s="24" t="str">
        <f aca="false">IF(COUNTIF($A$2:A205,A205)&gt;1,"Duplicate ID",IF(C205="","Missing source",IF(OR(AND(G205&lt;&gt;"",G205&lt;B205),AND(H205&lt;&gt;"",H205&lt;B205),AND(I205&lt;&gt;"",I205&lt;H205),AND(J205&lt;&gt;"",J205&lt;I205)),"Date error","OK")))</f>
        <v>OK</v>
      </c>
    </row>
    <row r="206" customFormat="false" ht="15" hidden="false" customHeight="false" outlineLevel="0" collapsed="false">
      <c r="A206" s="24" t="s">
        <v>287</v>
      </c>
      <c r="B206" s="31" t="n">
        <v>46123</v>
      </c>
      <c r="C206" s="24" t="s">
        <v>27</v>
      </c>
      <c r="D206" s="24" t="s">
        <v>32</v>
      </c>
      <c r="E206" s="24" t="s">
        <v>89</v>
      </c>
      <c r="F206" s="24" t="s">
        <v>43</v>
      </c>
      <c r="G206" s="31" t="n">
        <v>46131</v>
      </c>
      <c r="H206" s="24"/>
      <c r="I206" s="24"/>
      <c r="J206" s="24"/>
      <c r="K206" s="24" t="n">
        <v>2</v>
      </c>
      <c r="L206" s="24" t="str">
        <f aca="false">IF(J206&lt;&gt;"","Enrolled",IF(I206&lt;&gt;"","Admitted",IF(H206&lt;&gt;"","Applied",IF(G206&lt;&gt;"","Contacted","New"))))</f>
        <v>Contacted</v>
      </c>
      <c r="M206" s="32" t="n">
        <f aca="false">IF(G206="","",G206-B206)</f>
        <v>8</v>
      </c>
      <c r="N206" s="24" t="str">
        <f aca="false">IF(COUNTIF($A$2:A206,A206)&gt;1,"Duplicate ID",IF(C206="","Missing source",IF(OR(AND(G206&lt;&gt;"",G206&lt;B206),AND(H206&lt;&gt;"",H206&lt;B206),AND(I206&lt;&gt;"",I206&lt;H206),AND(J206&lt;&gt;"",J206&lt;I206)),"Date error","OK")))</f>
        <v>OK</v>
      </c>
    </row>
    <row r="207" customFormat="false" ht="15" hidden="false" customHeight="false" outlineLevel="0" collapsed="false">
      <c r="A207" s="24" t="s">
        <v>288</v>
      </c>
      <c r="B207" s="31" t="n">
        <v>46123</v>
      </c>
      <c r="C207" s="24" t="s">
        <v>25</v>
      </c>
      <c r="D207" s="24" t="s">
        <v>36</v>
      </c>
      <c r="E207" s="24" t="s">
        <v>89</v>
      </c>
      <c r="F207" s="24" t="s">
        <v>42</v>
      </c>
      <c r="G207" s="31" t="n">
        <v>46125</v>
      </c>
      <c r="H207" s="24"/>
      <c r="I207" s="24"/>
      <c r="J207" s="24"/>
      <c r="K207" s="24" t="n">
        <v>3</v>
      </c>
      <c r="L207" s="24" t="str">
        <f aca="false">IF(J207&lt;&gt;"","Enrolled",IF(I207&lt;&gt;"","Admitted",IF(H207&lt;&gt;"","Applied",IF(G207&lt;&gt;"","Contacted","New"))))</f>
        <v>Contacted</v>
      </c>
      <c r="M207" s="32" t="n">
        <f aca="false">IF(G207="","",G207-B207)</f>
        <v>2</v>
      </c>
      <c r="N207" s="24" t="str">
        <f aca="false">IF(COUNTIF($A$2:A207,A207)&gt;1,"Duplicate ID",IF(C207="","Missing source",IF(OR(AND(G207&lt;&gt;"",G207&lt;B207),AND(H207&lt;&gt;"",H207&lt;B207),AND(I207&lt;&gt;"",I207&lt;H207),AND(J207&lt;&gt;"",J207&lt;I207)),"Date error","OK")))</f>
        <v>OK</v>
      </c>
    </row>
    <row r="208" customFormat="false" ht="15" hidden="false" customHeight="false" outlineLevel="0" collapsed="false">
      <c r="A208" s="24" t="s">
        <v>289</v>
      </c>
      <c r="B208" s="31" t="n">
        <v>46124</v>
      </c>
      <c r="C208" s="24" t="s">
        <v>23</v>
      </c>
      <c r="D208" s="24" t="s">
        <v>32</v>
      </c>
      <c r="E208" s="24" t="s">
        <v>89</v>
      </c>
      <c r="F208" s="24" t="s">
        <v>45</v>
      </c>
      <c r="G208" s="31" t="n">
        <v>46130</v>
      </c>
      <c r="H208" s="24"/>
      <c r="I208" s="24"/>
      <c r="J208" s="24"/>
      <c r="K208" s="24" t="n">
        <v>1</v>
      </c>
      <c r="L208" s="24" t="str">
        <f aca="false">IF(J208&lt;&gt;"","Enrolled",IF(I208&lt;&gt;"","Admitted",IF(H208&lt;&gt;"","Applied",IF(G208&lt;&gt;"","Contacted","New"))))</f>
        <v>Contacted</v>
      </c>
      <c r="M208" s="32" t="n">
        <f aca="false">IF(G208="","",G208-B208)</f>
        <v>6</v>
      </c>
      <c r="N208" s="24" t="str">
        <f aca="false">IF(COUNTIF($A$2:A208,A208)&gt;1,"Duplicate ID",IF(C208="","Missing source",IF(OR(AND(G208&lt;&gt;"",G208&lt;B208),AND(H208&lt;&gt;"",H208&lt;B208),AND(I208&lt;&gt;"",I208&lt;H208),AND(J208&lt;&gt;"",J208&lt;I208)),"Date error","OK")))</f>
        <v>OK</v>
      </c>
    </row>
    <row r="209" customFormat="false" ht="15" hidden="false" customHeight="false" outlineLevel="0" collapsed="false">
      <c r="A209" s="24" t="s">
        <v>290</v>
      </c>
      <c r="B209" s="31" t="n">
        <v>46124</v>
      </c>
      <c r="C209" s="24" t="s">
        <v>26</v>
      </c>
      <c r="D209" s="24" t="s">
        <v>36</v>
      </c>
      <c r="E209" s="24" t="s">
        <v>89</v>
      </c>
      <c r="F209" s="24" t="s">
        <v>41</v>
      </c>
      <c r="G209" s="31" t="n">
        <v>46127</v>
      </c>
      <c r="H209" s="24"/>
      <c r="I209" s="24"/>
      <c r="J209" s="24"/>
      <c r="K209" s="24" t="n">
        <v>4</v>
      </c>
      <c r="L209" s="24" t="str">
        <f aca="false">IF(J209&lt;&gt;"","Enrolled",IF(I209&lt;&gt;"","Admitted",IF(H209&lt;&gt;"","Applied",IF(G209&lt;&gt;"","Contacted","New"))))</f>
        <v>Contacted</v>
      </c>
      <c r="M209" s="32" t="n">
        <f aca="false">IF(G209="","",G209-B209)</f>
        <v>3</v>
      </c>
      <c r="N209" s="24" t="str">
        <f aca="false">IF(COUNTIF($A$2:A209,A209)&gt;1,"Duplicate ID",IF(C209="","Missing source",IF(OR(AND(G209&lt;&gt;"",G209&lt;B209),AND(H209&lt;&gt;"",H209&lt;B209),AND(I209&lt;&gt;"",I209&lt;H209),AND(J209&lt;&gt;"",J209&lt;I209)),"Date error","OK")))</f>
        <v>OK</v>
      </c>
    </row>
    <row r="210" customFormat="false" ht="15" hidden="false" customHeight="false" outlineLevel="0" collapsed="false">
      <c r="A210" s="24" t="s">
        <v>291</v>
      </c>
      <c r="B210" s="31" t="n">
        <v>46124</v>
      </c>
      <c r="C210" s="24" t="s">
        <v>25</v>
      </c>
      <c r="D210" s="24" t="s">
        <v>32</v>
      </c>
      <c r="E210" s="24" t="s">
        <v>79</v>
      </c>
      <c r="F210" s="24" t="s">
        <v>42</v>
      </c>
      <c r="G210" s="31" t="n">
        <v>46127</v>
      </c>
      <c r="H210" s="24"/>
      <c r="I210" s="24"/>
      <c r="J210" s="24"/>
      <c r="K210" s="24" t="n">
        <v>2</v>
      </c>
      <c r="L210" s="24" t="str">
        <f aca="false">IF(J210&lt;&gt;"","Enrolled",IF(I210&lt;&gt;"","Admitted",IF(H210&lt;&gt;"","Applied",IF(G210&lt;&gt;"","Contacted","New"))))</f>
        <v>Contacted</v>
      </c>
      <c r="M210" s="32" t="n">
        <f aca="false">IF(G210="","",G210-B210)</f>
        <v>3</v>
      </c>
      <c r="N210" s="24" t="str">
        <f aca="false">IF(COUNTIF($A$2:A210,A210)&gt;1,"Duplicate ID",IF(C210="","Missing source",IF(OR(AND(G210&lt;&gt;"",G210&lt;B210),AND(H210&lt;&gt;"",H210&lt;B210),AND(I210&lt;&gt;"",I210&lt;H210),AND(J210&lt;&gt;"",J210&lt;I210)),"Date error","OK")))</f>
        <v>OK</v>
      </c>
    </row>
    <row r="211" customFormat="false" ht="15" hidden="false" customHeight="false" outlineLevel="0" collapsed="false">
      <c r="A211" s="24" t="s">
        <v>291</v>
      </c>
      <c r="B211" s="31" t="n">
        <v>46124</v>
      </c>
      <c r="C211" s="24" t="s">
        <v>25</v>
      </c>
      <c r="D211" s="24" t="s">
        <v>32</v>
      </c>
      <c r="E211" s="24" t="s">
        <v>79</v>
      </c>
      <c r="F211" s="24" t="s">
        <v>42</v>
      </c>
      <c r="G211" s="31" t="n">
        <v>46127</v>
      </c>
      <c r="H211" s="24"/>
      <c r="I211" s="24"/>
      <c r="J211" s="24"/>
      <c r="K211" s="24" t="n">
        <v>2</v>
      </c>
      <c r="L211" s="24" t="str">
        <f aca="false">IF(J211&lt;&gt;"","Enrolled",IF(I211&lt;&gt;"","Admitted",IF(H211&lt;&gt;"","Applied",IF(G211&lt;&gt;"","Contacted","New"))))</f>
        <v>Contacted</v>
      </c>
      <c r="M211" s="32" t="n">
        <f aca="false">IF(G211="","",G211-B211)</f>
        <v>3</v>
      </c>
      <c r="N211" s="24" t="str">
        <f aca="false">IF(COUNTIF($A$2:A211,A211)&gt;1,"Duplicate ID",IF(C211="","Missing source",IF(OR(AND(G211&lt;&gt;"",G211&lt;B211),AND(H211&lt;&gt;"",H211&lt;B211),AND(I211&lt;&gt;"",I211&lt;H211),AND(J211&lt;&gt;"",J211&lt;I211)),"Date error","OK")))</f>
        <v>Duplicate ID</v>
      </c>
    </row>
    <row r="212" customFormat="false" ht="15" hidden="false" customHeight="false" outlineLevel="0" collapsed="false">
      <c r="A212" s="24" t="s">
        <v>292</v>
      </c>
      <c r="B212" s="31" t="n">
        <v>46124</v>
      </c>
      <c r="C212" s="24" t="s">
        <v>26</v>
      </c>
      <c r="D212" s="24" t="s">
        <v>32</v>
      </c>
      <c r="E212" s="24" t="s">
        <v>79</v>
      </c>
      <c r="F212" s="24" t="s">
        <v>44</v>
      </c>
      <c r="G212" s="31" t="n">
        <v>46125</v>
      </c>
      <c r="H212" s="24"/>
      <c r="I212" s="24"/>
      <c r="J212" s="24"/>
      <c r="K212" s="24" t="n">
        <v>3</v>
      </c>
      <c r="L212" s="24" t="str">
        <f aca="false">IF(J212&lt;&gt;"","Enrolled",IF(I212&lt;&gt;"","Admitted",IF(H212&lt;&gt;"","Applied",IF(G212&lt;&gt;"","Contacted","New"))))</f>
        <v>Contacted</v>
      </c>
      <c r="M212" s="32" t="n">
        <f aca="false">IF(G212="","",G212-B212)</f>
        <v>1</v>
      </c>
      <c r="N212" s="24" t="str">
        <f aca="false">IF(COUNTIF($A$2:A212,A212)&gt;1,"Duplicate ID",IF(C212="","Missing source",IF(OR(AND(G212&lt;&gt;"",G212&lt;B212),AND(H212&lt;&gt;"",H212&lt;B212),AND(I212&lt;&gt;"",I212&lt;H212),AND(J212&lt;&gt;"",J212&lt;I212)),"Date error","OK")))</f>
        <v>OK</v>
      </c>
    </row>
    <row r="213" customFormat="false" ht="15" hidden="false" customHeight="false" outlineLevel="0" collapsed="false">
      <c r="A213" s="24" t="s">
        <v>293</v>
      </c>
      <c r="B213" s="31" t="n">
        <v>46124</v>
      </c>
      <c r="C213" s="24" t="s">
        <v>23</v>
      </c>
      <c r="D213" s="24" t="s">
        <v>36</v>
      </c>
      <c r="E213" s="24" t="s">
        <v>81</v>
      </c>
      <c r="F213" s="24" t="s">
        <v>41</v>
      </c>
      <c r="G213" s="31" t="n">
        <v>46125</v>
      </c>
      <c r="H213" s="24"/>
      <c r="I213" s="24"/>
      <c r="J213" s="24"/>
      <c r="K213" s="24" t="n">
        <v>3</v>
      </c>
      <c r="L213" s="24" t="str">
        <f aca="false">IF(J213&lt;&gt;"","Enrolled",IF(I213&lt;&gt;"","Admitted",IF(H213&lt;&gt;"","Applied",IF(G213&lt;&gt;"","Contacted","New"))))</f>
        <v>Contacted</v>
      </c>
      <c r="M213" s="32" t="n">
        <f aca="false">IF(G213="","",G213-B213)</f>
        <v>1</v>
      </c>
      <c r="N213" s="24" t="str">
        <f aca="false">IF(COUNTIF($A$2:A213,A213)&gt;1,"Duplicate ID",IF(C213="","Missing source",IF(OR(AND(G213&lt;&gt;"",G213&lt;B213),AND(H213&lt;&gt;"",H213&lt;B213),AND(I213&lt;&gt;"",I213&lt;H213),AND(J213&lt;&gt;"",J213&lt;I213)),"Date error","OK")))</f>
        <v>OK</v>
      </c>
    </row>
    <row r="214" customFormat="false" ht="15" hidden="false" customHeight="false" outlineLevel="0" collapsed="false">
      <c r="A214" s="24" t="s">
        <v>294</v>
      </c>
      <c r="B214" s="31" t="n">
        <v>46125</v>
      </c>
      <c r="C214" s="24" t="s">
        <v>22</v>
      </c>
      <c r="D214" s="24" t="s">
        <v>36</v>
      </c>
      <c r="E214" s="24" t="s">
        <v>79</v>
      </c>
      <c r="F214" s="24" t="s">
        <v>40</v>
      </c>
      <c r="G214" s="31" t="n">
        <v>46126</v>
      </c>
      <c r="H214" s="31" t="n">
        <v>46129</v>
      </c>
      <c r="I214" s="31" t="n">
        <v>46139</v>
      </c>
      <c r="J214" s="31" t="n">
        <v>46159</v>
      </c>
      <c r="K214" s="24" t="n">
        <v>3</v>
      </c>
      <c r="L214" s="24" t="str">
        <f aca="false">IF(J214&lt;&gt;"","Enrolled",IF(I214&lt;&gt;"","Admitted",IF(H214&lt;&gt;"","Applied",IF(G214&lt;&gt;"","Contacted","New"))))</f>
        <v>Enrolled</v>
      </c>
      <c r="M214" s="32" t="n">
        <f aca="false">IF(G214="","",G214-B214)</f>
        <v>1</v>
      </c>
      <c r="N214" s="24" t="str">
        <f aca="false">IF(COUNTIF($A$2:A214,A214)&gt;1,"Duplicate ID",IF(C214="","Missing source",IF(OR(AND(G214&lt;&gt;"",G214&lt;B214),AND(H214&lt;&gt;"",H214&lt;B214),AND(I214&lt;&gt;"",I214&lt;H214),AND(J214&lt;&gt;"",J214&lt;I214)),"Date error","OK")))</f>
        <v>OK</v>
      </c>
    </row>
    <row r="215" customFormat="false" ht="15" hidden="false" customHeight="false" outlineLevel="0" collapsed="false">
      <c r="A215" s="24" t="s">
        <v>295</v>
      </c>
      <c r="B215" s="31" t="n">
        <v>46125</v>
      </c>
      <c r="C215" s="24" t="s">
        <v>24</v>
      </c>
      <c r="D215" s="24" t="s">
        <v>34</v>
      </c>
      <c r="E215" s="24" t="s">
        <v>79</v>
      </c>
      <c r="F215" s="24" t="s">
        <v>45</v>
      </c>
      <c r="G215" s="31" t="n">
        <v>46127</v>
      </c>
      <c r="H215" s="24"/>
      <c r="I215" s="24"/>
      <c r="J215" s="24"/>
      <c r="K215" s="24" t="n">
        <v>2</v>
      </c>
      <c r="L215" s="24" t="str">
        <f aca="false">IF(J215&lt;&gt;"","Enrolled",IF(I215&lt;&gt;"","Admitted",IF(H215&lt;&gt;"","Applied",IF(G215&lt;&gt;"","Contacted","New"))))</f>
        <v>Contacted</v>
      </c>
      <c r="M215" s="32" t="n">
        <f aca="false">IF(G215="","",G215-B215)</f>
        <v>2</v>
      </c>
      <c r="N215" s="24" t="str">
        <f aca="false">IF(COUNTIF($A$2:A215,A215)&gt;1,"Duplicate ID",IF(C215="","Missing source",IF(OR(AND(G215&lt;&gt;"",G215&lt;B215),AND(H215&lt;&gt;"",H215&lt;B215),AND(I215&lt;&gt;"",I215&lt;H215),AND(J215&lt;&gt;"",J215&lt;I215)),"Date error","OK")))</f>
        <v>OK</v>
      </c>
    </row>
    <row r="216" customFormat="false" ht="15" hidden="false" customHeight="false" outlineLevel="0" collapsed="false">
      <c r="A216" s="24" t="s">
        <v>296</v>
      </c>
      <c r="B216" s="31" t="n">
        <v>46125</v>
      </c>
      <c r="C216" s="24" t="s">
        <v>25</v>
      </c>
      <c r="D216" s="24" t="s">
        <v>35</v>
      </c>
      <c r="E216" s="24" t="s">
        <v>89</v>
      </c>
      <c r="F216" s="24" t="s">
        <v>40</v>
      </c>
      <c r="G216" s="31" t="n">
        <v>46125</v>
      </c>
      <c r="H216" s="24"/>
      <c r="I216" s="24"/>
      <c r="J216" s="24"/>
      <c r="K216" s="24" t="n">
        <v>6</v>
      </c>
      <c r="L216" s="24" t="str">
        <f aca="false">IF(J216&lt;&gt;"","Enrolled",IF(I216&lt;&gt;"","Admitted",IF(H216&lt;&gt;"","Applied",IF(G216&lt;&gt;"","Contacted","New"))))</f>
        <v>Contacted</v>
      </c>
      <c r="M216" s="32" t="n">
        <f aca="false">IF(G216="","",G216-B216)</f>
        <v>0</v>
      </c>
      <c r="N216" s="24" t="str">
        <f aca="false">IF(COUNTIF($A$2:A216,A216)&gt;1,"Duplicate ID",IF(C216="","Missing source",IF(OR(AND(G216&lt;&gt;"",G216&lt;B216),AND(H216&lt;&gt;"",H216&lt;B216),AND(I216&lt;&gt;"",I216&lt;H216),AND(J216&lt;&gt;"",J216&lt;I216)),"Date error","OK")))</f>
        <v>OK</v>
      </c>
    </row>
    <row r="217" customFormat="false" ht="15" hidden="false" customHeight="false" outlineLevel="0" collapsed="false">
      <c r="A217" s="24" t="s">
        <v>297</v>
      </c>
      <c r="B217" s="31" t="n">
        <v>46125</v>
      </c>
      <c r="C217" s="24" t="s">
        <v>22</v>
      </c>
      <c r="D217" s="24" t="s">
        <v>32</v>
      </c>
      <c r="E217" s="24" t="s">
        <v>89</v>
      </c>
      <c r="F217" s="24" t="s">
        <v>43</v>
      </c>
      <c r="G217" s="31" t="n">
        <v>46130</v>
      </c>
      <c r="H217" s="24"/>
      <c r="I217" s="24"/>
      <c r="J217" s="24"/>
      <c r="K217" s="24" t="n">
        <v>7</v>
      </c>
      <c r="L217" s="24" t="str">
        <f aca="false">IF(J217&lt;&gt;"","Enrolled",IF(I217&lt;&gt;"","Admitted",IF(H217&lt;&gt;"","Applied",IF(G217&lt;&gt;"","Contacted","New"))))</f>
        <v>Contacted</v>
      </c>
      <c r="M217" s="32" t="n">
        <f aca="false">IF(G217="","",G217-B217)</f>
        <v>5</v>
      </c>
      <c r="N217" s="24" t="str">
        <f aca="false">IF(COUNTIF($A$2:A217,A217)&gt;1,"Duplicate ID",IF(C217="","Missing source",IF(OR(AND(G217&lt;&gt;"",G217&lt;B217),AND(H217&lt;&gt;"",H217&lt;B217),AND(I217&lt;&gt;"",I217&lt;H217),AND(J217&lt;&gt;"",J217&lt;I217)),"Date error","OK")))</f>
        <v>OK</v>
      </c>
    </row>
    <row r="218" customFormat="false" ht="15" hidden="false" customHeight="false" outlineLevel="0" collapsed="false">
      <c r="A218" s="24" t="s">
        <v>298</v>
      </c>
      <c r="B218" s="31" t="n">
        <v>46125</v>
      </c>
      <c r="C218" s="24" t="s">
        <v>23</v>
      </c>
      <c r="D218" s="24" t="s">
        <v>32</v>
      </c>
      <c r="E218" s="24" t="s">
        <v>89</v>
      </c>
      <c r="F218" s="24" t="s">
        <v>43</v>
      </c>
      <c r="G218" s="31" t="n">
        <v>46127</v>
      </c>
      <c r="H218" s="31" t="n">
        <v>46138</v>
      </c>
      <c r="I218" s="31" t="n">
        <v>46151</v>
      </c>
      <c r="J218" s="31" t="n">
        <v>46159</v>
      </c>
      <c r="K218" s="24" t="n">
        <v>1</v>
      </c>
      <c r="L218" s="24" t="str">
        <f aca="false">IF(J218&lt;&gt;"","Enrolled",IF(I218&lt;&gt;"","Admitted",IF(H218&lt;&gt;"","Applied",IF(G218&lt;&gt;"","Contacted","New"))))</f>
        <v>Enrolled</v>
      </c>
      <c r="M218" s="32" t="n">
        <f aca="false">IF(G218="","",G218-B218)</f>
        <v>2</v>
      </c>
      <c r="N218" s="24" t="str">
        <f aca="false">IF(COUNTIF($A$2:A218,A218)&gt;1,"Duplicate ID",IF(C218="","Missing source",IF(OR(AND(G218&lt;&gt;"",G218&lt;B218),AND(H218&lt;&gt;"",H218&lt;B218),AND(I218&lt;&gt;"",I218&lt;H218),AND(J218&lt;&gt;"",J218&lt;I218)),"Date error","OK")))</f>
        <v>OK</v>
      </c>
    </row>
    <row r="219" customFormat="false" ht="15" hidden="false" customHeight="false" outlineLevel="0" collapsed="false">
      <c r="A219" s="24" t="s">
        <v>299</v>
      </c>
      <c r="B219" s="31" t="n">
        <v>46126</v>
      </c>
      <c r="C219" s="24" t="s">
        <v>23</v>
      </c>
      <c r="D219" s="24" t="s">
        <v>33</v>
      </c>
      <c r="E219" s="24" t="s">
        <v>81</v>
      </c>
      <c r="F219" s="24" t="s">
        <v>43</v>
      </c>
      <c r="G219" s="31" t="n">
        <v>46127</v>
      </c>
      <c r="H219" s="31" t="n">
        <v>46134</v>
      </c>
      <c r="I219" s="31" t="n">
        <v>46144</v>
      </c>
      <c r="J219" s="24"/>
      <c r="K219" s="24" t="n">
        <v>3</v>
      </c>
      <c r="L219" s="24" t="str">
        <f aca="false">IF(J219&lt;&gt;"","Enrolled",IF(I219&lt;&gt;"","Admitted",IF(H219&lt;&gt;"","Applied",IF(G219&lt;&gt;"","Contacted","New"))))</f>
        <v>Admitted</v>
      </c>
      <c r="M219" s="32" t="n">
        <f aca="false">IF(G219="","",G219-B219)</f>
        <v>1</v>
      </c>
      <c r="N219" s="24" t="str">
        <f aca="false">IF(COUNTIF($A$2:A219,A219)&gt;1,"Duplicate ID",IF(C219="","Missing source",IF(OR(AND(G219&lt;&gt;"",G219&lt;B219),AND(H219&lt;&gt;"",H219&lt;B219),AND(I219&lt;&gt;"",I219&lt;H219),AND(J219&lt;&gt;"",J219&lt;I219)),"Date error","OK")))</f>
        <v>OK</v>
      </c>
    </row>
    <row r="220" customFormat="false" ht="15" hidden="false" customHeight="false" outlineLevel="0" collapsed="false">
      <c r="A220" s="24" t="s">
        <v>300</v>
      </c>
      <c r="B220" s="31" t="n">
        <v>46126</v>
      </c>
      <c r="C220" s="24" t="s">
        <v>22</v>
      </c>
      <c r="D220" s="24" t="s">
        <v>32</v>
      </c>
      <c r="E220" s="24" t="s">
        <v>79</v>
      </c>
      <c r="F220" s="24" t="s">
        <v>41</v>
      </c>
      <c r="G220" s="31" t="n">
        <v>46126</v>
      </c>
      <c r="H220" s="24"/>
      <c r="I220" s="24"/>
      <c r="J220" s="24"/>
      <c r="K220" s="24" t="n">
        <v>6</v>
      </c>
      <c r="L220" s="24" t="str">
        <f aca="false">IF(J220&lt;&gt;"","Enrolled",IF(I220&lt;&gt;"","Admitted",IF(H220&lt;&gt;"","Applied",IF(G220&lt;&gt;"","Contacted","New"))))</f>
        <v>Contacted</v>
      </c>
      <c r="M220" s="32" t="n">
        <f aca="false">IF(G220="","",G220-B220)</f>
        <v>0</v>
      </c>
      <c r="N220" s="24" t="str">
        <f aca="false">IF(COUNTIF($A$2:A220,A220)&gt;1,"Duplicate ID",IF(C220="","Missing source",IF(OR(AND(G220&lt;&gt;"",G220&lt;B220),AND(H220&lt;&gt;"",H220&lt;B220),AND(I220&lt;&gt;"",I220&lt;H220),AND(J220&lt;&gt;"",J220&lt;I220)),"Date error","OK")))</f>
        <v>OK</v>
      </c>
    </row>
    <row r="221" customFormat="false" ht="15" hidden="false" customHeight="false" outlineLevel="0" collapsed="false">
      <c r="A221" s="24" t="s">
        <v>301</v>
      </c>
      <c r="B221" s="31" t="n">
        <v>46126</v>
      </c>
      <c r="C221" s="24" t="s">
        <v>23</v>
      </c>
      <c r="D221" s="24" t="s">
        <v>35</v>
      </c>
      <c r="E221" s="24" t="s">
        <v>94</v>
      </c>
      <c r="F221" s="24" t="s">
        <v>45</v>
      </c>
      <c r="G221" s="31" t="n">
        <v>46126</v>
      </c>
      <c r="H221" s="31" t="n">
        <v>46150</v>
      </c>
      <c r="I221" s="31" t="n">
        <v>46160</v>
      </c>
      <c r="J221" s="31" t="n">
        <v>46168</v>
      </c>
      <c r="K221" s="24" t="n">
        <v>3</v>
      </c>
      <c r="L221" s="24" t="str">
        <f aca="false">IF(J221&lt;&gt;"","Enrolled",IF(I221&lt;&gt;"","Admitted",IF(H221&lt;&gt;"","Applied",IF(G221&lt;&gt;"","Contacted","New"))))</f>
        <v>Enrolled</v>
      </c>
      <c r="M221" s="32" t="n">
        <f aca="false">IF(G221="","",G221-B221)</f>
        <v>0</v>
      </c>
      <c r="N221" s="24" t="str">
        <f aca="false">IF(COUNTIF($A$2:A221,A221)&gt;1,"Duplicate ID",IF(C221="","Missing source",IF(OR(AND(G221&lt;&gt;"",G221&lt;B221),AND(H221&lt;&gt;"",H221&lt;B221),AND(I221&lt;&gt;"",I221&lt;H221),AND(J221&lt;&gt;"",J221&lt;I221)),"Date error","OK")))</f>
        <v>OK</v>
      </c>
    </row>
    <row r="222" customFormat="false" ht="15" hidden="false" customHeight="false" outlineLevel="0" collapsed="false">
      <c r="A222" s="24" t="s">
        <v>302</v>
      </c>
      <c r="B222" s="31" t="n">
        <v>46126</v>
      </c>
      <c r="C222" s="24" t="s">
        <v>25</v>
      </c>
      <c r="D222" s="24" t="s">
        <v>33</v>
      </c>
      <c r="E222" s="24" t="s">
        <v>89</v>
      </c>
      <c r="F222" s="24" t="s">
        <v>45</v>
      </c>
      <c r="G222" s="31" t="n">
        <v>46127</v>
      </c>
      <c r="H222" s="31" t="n">
        <v>46130</v>
      </c>
      <c r="I222" s="31" t="n">
        <v>46135</v>
      </c>
      <c r="J222" s="31" t="n">
        <v>46151</v>
      </c>
      <c r="K222" s="24" t="n">
        <v>3</v>
      </c>
      <c r="L222" s="24" t="str">
        <f aca="false">IF(J222&lt;&gt;"","Enrolled",IF(I222&lt;&gt;"","Admitted",IF(H222&lt;&gt;"","Applied",IF(G222&lt;&gt;"","Contacted","New"))))</f>
        <v>Enrolled</v>
      </c>
      <c r="M222" s="32" t="n">
        <f aca="false">IF(G222="","",G222-B222)</f>
        <v>1</v>
      </c>
      <c r="N222" s="24" t="str">
        <f aca="false">IF(COUNTIF($A$2:A222,A222)&gt;1,"Duplicate ID",IF(C222="","Missing source",IF(OR(AND(G222&lt;&gt;"",G222&lt;B222),AND(H222&lt;&gt;"",H222&lt;B222),AND(I222&lt;&gt;"",I222&lt;H222),AND(J222&lt;&gt;"",J222&lt;I222)),"Date error","OK")))</f>
        <v>OK</v>
      </c>
    </row>
    <row r="223" customFormat="false" ht="15" hidden="false" customHeight="false" outlineLevel="0" collapsed="false">
      <c r="A223" s="24" t="s">
        <v>303</v>
      </c>
      <c r="B223" s="31" t="n">
        <v>46127</v>
      </c>
      <c r="C223" s="24" t="s">
        <v>23</v>
      </c>
      <c r="D223" s="24" t="s">
        <v>36</v>
      </c>
      <c r="E223" s="24" t="s">
        <v>94</v>
      </c>
      <c r="F223" s="24" t="s">
        <v>41</v>
      </c>
      <c r="G223" s="31" t="n">
        <v>46128</v>
      </c>
      <c r="H223" s="24"/>
      <c r="I223" s="24"/>
      <c r="J223" s="24"/>
      <c r="K223" s="24" t="n">
        <v>0</v>
      </c>
      <c r="L223" s="24" t="str">
        <f aca="false">IF(J223&lt;&gt;"","Enrolled",IF(I223&lt;&gt;"","Admitted",IF(H223&lt;&gt;"","Applied",IF(G223&lt;&gt;"","Contacted","New"))))</f>
        <v>Contacted</v>
      </c>
      <c r="M223" s="32" t="n">
        <f aca="false">IF(G223="","",G223-B223)</f>
        <v>1</v>
      </c>
      <c r="N223" s="24" t="str">
        <f aca="false">IF(COUNTIF($A$2:A223,A223)&gt;1,"Duplicate ID",IF(C223="","Missing source",IF(OR(AND(G223&lt;&gt;"",G223&lt;B223),AND(H223&lt;&gt;"",H223&lt;B223),AND(I223&lt;&gt;"",I223&lt;H223),AND(J223&lt;&gt;"",J223&lt;I223)),"Date error","OK")))</f>
        <v>OK</v>
      </c>
    </row>
    <row r="224" customFormat="false" ht="15" hidden="false" customHeight="false" outlineLevel="0" collapsed="false">
      <c r="A224" s="24" t="s">
        <v>304</v>
      </c>
      <c r="B224" s="31" t="n">
        <v>46127</v>
      </c>
      <c r="C224" s="24" t="s">
        <v>22</v>
      </c>
      <c r="D224" s="24" t="s">
        <v>34</v>
      </c>
      <c r="E224" s="24" t="s">
        <v>89</v>
      </c>
      <c r="F224" s="24" t="s">
        <v>44</v>
      </c>
      <c r="G224" s="31" t="n">
        <v>46128</v>
      </c>
      <c r="H224" s="24"/>
      <c r="I224" s="24"/>
      <c r="J224" s="24"/>
      <c r="K224" s="24" t="n">
        <v>4</v>
      </c>
      <c r="L224" s="24" t="str">
        <f aca="false">IF(J224&lt;&gt;"","Enrolled",IF(I224&lt;&gt;"","Admitted",IF(H224&lt;&gt;"","Applied",IF(G224&lt;&gt;"","Contacted","New"))))</f>
        <v>Contacted</v>
      </c>
      <c r="M224" s="32" t="n">
        <f aca="false">IF(G224="","",G224-B224)</f>
        <v>1</v>
      </c>
      <c r="N224" s="24" t="str">
        <f aca="false">IF(COUNTIF($A$2:A224,A224)&gt;1,"Duplicate ID",IF(C224="","Missing source",IF(OR(AND(G224&lt;&gt;"",G224&lt;B224),AND(H224&lt;&gt;"",H224&lt;B224),AND(I224&lt;&gt;"",I224&lt;H224),AND(J224&lt;&gt;"",J224&lt;I224)),"Date error","OK")))</f>
        <v>OK</v>
      </c>
    </row>
    <row r="225" customFormat="false" ht="15" hidden="false" customHeight="false" outlineLevel="0" collapsed="false">
      <c r="A225" s="24" t="s">
        <v>305</v>
      </c>
      <c r="B225" s="31" t="n">
        <v>46127</v>
      </c>
      <c r="C225" s="24" t="s">
        <v>27</v>
      </c>
      <c r="D225" s="24" t="s">
        <v>34</v>
      </c>
      <c r="E225" s="24" t="s">
        <v>94</v>
      </c>
      <c r="F225" s="24" t="s">
        <v>43</v>
      </c>
      <c r="G225" s="31" t="n">
        <v>46130</v>
      </c>
      <c r="H225" s="24"/>
      <c r="I225" s="24"/>
      <c r="J225" s="24"/>
      <c r="K225" s="24" t="n">
        <v>3</v>
      </c>
      <c r="L225" s="24" t="str">
        <f aca="false">IF(J225&lt;&gt;"","Enrolled",IF(I225&lt;&gt;"","Admitted",IF(H225&lt;&gt;"","Applied",IF(G225&lt;&gt;"","Contacted","New"))))</f>
        <v>Contacted</v>
      </c>
      <c r="M225" s="32" t="n">
        <f aca="false">IF(G225="","",G225-B225)</f>
        <v>3</v>
      </c>
      <c r="N225" s="24" t="str">
        <f aca="false">IF(COUNTIF($A$2:A225,A225)&gt;1,"Duplicate ID",IF(C225="","Missing source",IF(OR(AND(G225&lt;&gt;"",G225&lt;B225),AND(H225&lt;&gt;"",H225&lt;B225),AND(I225&lt;&gt;"",I225&lt;H225),AND(J225&lt;&gt;"",J225&lt;I225)),"Date error","OK")))</f>
        <v>OK</v>
      </c>
    </row>
    <row r="226" customFormat="false" ht="15" hidden="false" customHeight="false" outlineLevel="0" collapsed="false">
      <c r="A226" s="24" t="s">
        <v>306</v>
      </c>
      <c r="B226" s="31" t="n">
        <v>46127</v>
      </c>
      <c r="C226" s="24" t="s">
        <v>25</v>
      </c>
      <c r="D226" s="24" t="s">
        <v>34</v>
      </c>
      <c r="E226" s="24" t="s">
        <v>89</v>
      </c>
      <c r="F226" s="24" t="s">
        <v>40</v>
      </c>
      <c r="G226" s="31" t="n">
        <v>46127</v>
      </c>
      <c r="H226" s="24"/>
      <c r="I226" s="24"/>
      <c r="J226" s="24"/>
      <c r="K226" s="24" t="n">
        <v>3</v>
      </c>
      <c r="L226" s="24" t="str">
        <f aca="false">IF(J226&lt;&gt;"","Enrolled",IF(I226&lt;&gt;"","Admitted",IF(H226&lt;&gt;"","Applied",IF(G226&lt;&gt;"","Contacted","New"))))</f>
        <v>Contacted</v>
      </c>
      <c r="M226" s="32" t="n">
        <f aca="false">IF(G226="","",G226-B226)</f>
        <v>0</v>
      </c>
      <c r="N226" s="24" t="str">
        <f aca="false">IF(COUNTIF($A$2:A226,A226)&gt;1,"Duplicate ID",IF(C226="","Missing source",IF(OR(AND(G226&lt;&gt;"",G226&lt;B226),AND(H226&lt;&gt;"",H226&lt;B226),AND(I226&lt;&gt;"",I226&lt;H226),AND(J226&lt;&gt;"",J226&lt;I226)),"Date error","OK")))</f>
        <v>OK</v>
      </c>
    </row>
    <row r="227" customFormat="false" ht="15" hidden="false" customHeight="false" outlineLevel="0" collapsed="false">
      <c r="A227" s="24" t="s">
        <v>307</v>
      </c>
      <c r="B227" s="31" t="n">
        <v>46127</v>
      </c>
      <c r="C227" s="24" t="s">
        <v>24</v>
      </c>
      <c r="D227" s="24" t="s">
        <v>36</v>
      </c>
      <c r="E227" s="24" t="s">
        <v>81</v>
      </c>
      <c r="F227" s="24" t="s">
        <v>42</v>
      </c>
      <c r="G227" s="31" t="n">
        <v>46128</v>
      </c>
      <c r="H227" s="24"/>
      <c r="I227" s="24"/>
      <c r="J227" s="24"/>
      <c r="K227" s="24" t="n">
        <v>3</v>
      </c>
      <c r="L227" s="24" t="str">
        <f aca="false">IF(J227&lt;&gt;"","Enrolled",IF(I227&lt;&gt;"","Admitted",IF(H227&lt;&gt;"","Applied",IF(G227&lt;&gt;"","Contacted","New"))))</f>
        <v>Contacted</v>
      </c>
      <c r="M227" s="32" t="n">
        <f aca="false">IF(G227="","",G227-B227)</f>
        <v>1</v>
      </c>
      <c r="N227" s="24" t="str">
        <f aca="false">IF(COUNTIF($A$2:A227,A227)&gt;1,"Duplicate ID",IF(C227="","Missing source",IF(OR(AND(G227&lt;&gt;"",G227&lt;B227),AND(H227&lt;&gt;"",H227&lt;B227),AND(I227&lt;&gt;"",I227&lt;H227),AND(J227&lt;&gt;"",J227&lt;I227)),"Date error","OK")))</f>
        <v>OK</v>
      </c>
    </row>
    <row r="228" customFormat="false" ht="15" hidden="false" customHeight="false" outlineLevel="0" collapsed="false">
      <c r="A228" s="24" t="s">
        <v>308</v>
      </c>
      <c r="B228" s="31" t="n">
        <v>46127</v>
      </c>
      <c r="C228" s="24" t="s">
        <v>23</v>
      </c>
      <c r="D228" s="24" t="s">
        <v>33</v>
      </c>
      <c r="E228" s="24" t="s">
        <v>89</v>
      </c>
      <c r="F228" s="24" t="s">
        <v>40</v>
      </c>
      <c r="G228" s="31" t="n">
        <v>46128</v>
      </c>
      <c r="H228" s="31" t="n">
        <v>46135</v>
      </c>
      <c r="I228" s="31" t="n">
        <v>46142</v>
      </c>
      <c r="J228" s="31" t="n">
        <v>46175</v>
      </c>
      <c r="K228" s="24" t="n">
        <v>4</v>
      </c>
      <c r="L228" s="24" t="str">
        <f aca="false">IF(J228&lt;&gt;"","Enrolled",IF(I228&lt;&gt;"","Admitted",IF(H228&lt;&gt;"","Applied",IF(G228&lt;&gt;"","Contacted","New"))))</f>
        <v>Enrolled</v>
      </c>
      <c r="M228" s="32" t="n">
        <f aca="false">IF(G228="","",G228-B228)</f>
        <v>1</v>
      </c>
      <c r="N228" s="24" t="str">
        <f aca="false">IF(COUNTIF($A$2:A228,A228)&gt;1,"Duplicate ID",IF(C228="","Missing source",IF(OR(AND(G228&lt;&gt;"",G228&lt;B228),AND(H228&lt;&gt;"",H228&lt;B228),AND(I228&lt;&gt;"",I228&lt;H228),AND(J228&lt;&gt;"",J228&lt;I228)),"Date error","OK")))</f>
        <v>OK</v>
      </c>
    </row>
    <row r="229" customFormat="false" ht="15" hidden="false" customHeight="false" outlineLevel="0" collapsed="false">
      <c r="A229" s="24" t="s">
        <v>309</v>
      </c>
      <c r="B229" s="31" t="n">
        <v>46127</v>
      </c>
      <c r="C229" s="24" t="s">
        <v>26</v>
      </c>
      <c r="D229" s="24" t="s">
        <v>32</v>
      </c>
      <c r="E229" s="24" t="s">
        <v>94</v>
      </c>
      <c r="F229" s="24" t="s">
        <v>40</v>
      </c>
      <c r="G229" s="31" t="n">
        <v>46127</v>
      </c>
      <c r="H229" s="31" t="n">
        <v>46138</v>
      </c>
      <c r="I229" s="31" t="n">
        <v>46148</v>
      </c>
      <c r="J229" s="31" t="n">
        <v>46161</v>
      </c>
      <c r="K229" s="24" t="n">
        <v>2</v>
      </c>
      <c r="L229" s="24" t="str">
        <f aca="false">IF(J229&lt;&gt;"","Enrolled",IF(I229&lt;&gt;"","Admitted",IF(H229&lt;&gt;"","Applied",IF(G229&lt;&gt;"","Contacted","New"))))</f>
        <v>Enrolled</v>
      </c>
      <c r="M229" s="32" t="n">
        <f aca="false">IF(G229="","",G229-B229)</f>
        <v>0</v>
      </c>
      <c r="N229" s="24" t="str">
        <f aca="false">IF(COUNTIF($A$2:A229,A229)&gt;1,"Duplicate ID",IF(C229="","Missing source",IF(OR(AND(G229&lt;&gt;"",G229&lt;B229),AND(H229&lt;&gt;"",H229&lt;B229),AND(I229&lt;&gt;"",I229&lt;H229),AND(J229&lt;&gt;"",J229&lt;I229)),"Date error","OK")))</f>
        <v>OK</v>
      </c>
    </row>
    <row r="230" customFormat="false" ht="15" hidden="false" customHeight="false" outlineLevel="0" collapsed="false">
      <c r="A230" s="24" t="s">
        <v>310</v>
      </c>
      <c r="B230" s="31" t="n">
        <v>46127</v>
      </c>
      <c r="C230" s="24" t="s">
        <v>25</v>
      </c>
      <c r="D230" s="24" t="s">
        <v>35</v>
      </c>
      <c r="E230" s="24" t="s">
        <v>89</v>
      </c>
      <c r="F230" s="24" t="s">
        <v>40</v>
      </c>
      <c r="G230" s="31" t="n">
        <v>46127</v>
      </c>
      <c r="H230" s="24"/>
      <c r="I230" s="24"/>
      <c r="J230" s="24"/>
      <c r="K230" s="24" t="n">
        <v>4</v>
      </c>
      <c r="L230" s="24" t="str">
        <f aca="false">IF(J230&lt;&gt;"","Enrolled",IF(I230&lt;&gt;"","Admitted",IF(H230&lt;&gt;"","Applied",IF(G230&lt;&gt;"","Contacted","New"))))</f>
        <v>Contacted</v>
      </c>
      <c r="M230" s="32" t="n">
        <f aca="false">IF(G230="","",G230-B230)</f>
        <v>0</v>
      </c>
      <c r="N230" s="24" t="str">
        <f aca="false">IF(COUNTIF($A$2:A230,A230)&gt;1,"Duplicate ID",IF(C230="","Missing source",IF(OR(AND(G230&lt;&gt;"",G230&lt;B230),AND(H230&lt;&gt;"",H230&lt;B230),AND(I230&lt;&gt;"",I230&lt;H230),AND(J230&lt;&gt;"",J230&lt;I230)),"Date error","OK")))</f>
        <v>OK</v>
      </c>
    </row>
    <row r="231" customFormat="false" ht="15" hidden="false" customHeight="false" outlineLevel="0" collapsed="false">
      <c r="A231" s="24" t="s">
        <v>311</v>
      </c>
      <c r="B231" s="31" t="n">
        <v>46128</v>
      </c>
      <c r="C231" s="24" t="s">
        <v>23</v>
      </c>
      <c r="D231" s="24" t="s">
        <v>32</v>
      </c>
      <c r="E231" s="24" t="s">
        <v>89</v>
      </c>
      <c r="F231" s="24" t="s">
        <v>41</v>
      </c>
      <c r="G231" s="31" t="n">
        <v>46128</v>
      </c>
      <c r="H231" s="24"/>
      <c r="I231" s="24"/>
      <c r="J231" s="24"/>
      <c r="K231" s="24" t="n">
        <v>1</v>
      </c>
      <c r="L231" s="24" t="str">
        <f aca="false">IF(J231&lt;&gt;"","Enrolled",IF(I231&lt;&gt;"","Admitted",IF(H231&lt;&gt;"","Applied",IF(G231&lt;&gt;"","Contacted","New"))))</f>
        <v>Contacted</v>
      </c>
      <c r="M231" s="32" t="n">
        <f aca="false">IF(G231="","",G231-B231)</f>
        <v>0</v>
      </c>
      <c r="N231" s="24" t="str">
        <f aca="false">IF(COUNTIF($A$2:A231,A231)&gt;1,"Duplicate ID",IF(C231="","Missing source",IF(OR(AND(G231&lt;&gt;"",G231&lt;B231),AND(H231&lt;&gt;"",H231&lt;B231),AND(I231&lt;&gt;"",I231&lt;H231),AND(J231&lt;&gt;"",J231&lt;I231)),"Date error","OK")))</f>
        <v>OK</v>
      </c>
    </row>
    <row r="232" customFormat="false" ht="15" hidden="false" customHeight="false" outlineLevel="0" collapsed="false">
      <c r="A232" s="24" t="s">
        <v>312</v>
      </c>
      <c r="B232" s="31" t="n">
        <v>46128</v>
      </c>
      <c r="C232" s="24" t="s">
        <v>21</v>
      </c>
      <c r="D232" s="24" t="s">
        <v>34</v>
      </c>
      <c r="E232" s="24" t="s">
        <v>94</v>
      </c>
      <c r="F232" s="24" t="s">
        <v>42</v>
      </c>
      <c r="G232" s="31" t="n">
        <v>46131</v>
      </c>
      <c r="H232" s="24"/>
      <c r="I232" s="24"/>
      <c r="J232" s="24"/>
      <c r="K232" s="24" t="n">
        <v>6</v>
      </c>
      <c r="L232" s="24" t="str">
        <f aca="false">IF(J232&lt;&gt;"","Enrolled",IF(I232&lt;&gt;"","Admitted",IF(H232&lt;&gt;"","Applied",IF(G232&lt;&gt;"","Contacted","New"))))</f>
        <v>Contacted</v>
      </c>
      <c r="M232" s="32" t="n">
        <f aca="false">IF(G232="","",G232-B232)</f>
        <v>3</v>
      </c>
      <c r="N232" s="24" t="str">
        <f aca="false">IF(COUNTIF($A$2:A232,A232)&gt;1,"Duplicate ID",IF(C232="","Missing source",IF(OR(AND(G232&lt;&gt;"",G232&lt;B232),AND(H232&lt;&gt;"",H232&lt;B232),AND(I232&lt;&gt;"",I232&lt;H232),AND(J232&lt;&gt;"",J232&lt;I232)),"Date error","OK")))</f>
        <v>OK</v>
      </c>
    </row>
    <row r="233" customFormat="false" ht="15" hidden="false" customHeight="false" outlineLevel="0" collapsed="false">
      <c r="A233" s="24" t="s">
        <v>313</v>
      </c>
      <c r="B233" s="31" t="n">
        <v>46128</v>
      </c>
      <c r="C233" s="24" t="s">
        <v>22</v>
      </c>
      <c r="D233" s="24" t="s">
        <v>33</v>
      </c>
      <c r="E233" s="24" t="s">
        <v>94</v>
      </c>
      <c r="F233" s="24" t="s">
        <v>45</v>
      </c>
      <c r="G233" s="31" t="n">
        <v>46129</v>
      </c>
      <c r="H233" s="24"/>
      <c r="I233" s="24"/>
      <c r="J233" s="24"/>
      <c r="K233" s="24" t="n">
        <v>2</v>
      </c>
      <c r="L233" s="24" t="str">
        <f aca="false">IF(J233&lt;&gt;"","Enrolled",IF(I233&lt;&gt;"","Admitted",IF(H233&lt;&gt;"","Applied",IF(G233&lt;&gt;"","Contacted","New"))))</f>
        <v>Contacted</v>
      </c>
      <c r="M233" s="32" t="n">
        <f aca="false">IF(G233="","",G233-B233)</f>
        <v>1</v>
      </c>
      <c r="N233" s="24" t="str">
        <f aca="false">IF(COUNTIF($A$2:A233,A233)&gt;1,"Duplicate ID",IF(C233="","Missing source",IF(OR(AND(G233&lt;&gt;"",G233&lt;B233),AND(H233&lt;&gt;"",H233&lt;B233),AND(I233&lt;&gt;"",I233&lt;H233),AND(J233&lt;&gt;"",J233&lt;I233)),"Date error","OK")))</f>
        <v>OK</v>
      </c>
    </row>
    <row r="234" customFormat="false" ht="15" hidden="false" customHeight="false" outlineLevel="0" collapsed="false">
      <c r="A234" s="24" t="s">
        <v>314</v>
      </c>
      <c r="B234" s="31" t="n">
        <v>46128</v>
      </c>
      <c r="C234" s="24" t="s">
        <v>22</v>
      </c>
      <c r="D234" s="24" t="s">
        <v>33</v>
      </c>
      <c r="E234" s="24" t="s">
        <v>84</v>
      </c>
      <c r="F234" s="24" t="s">
        <v>40</v>
      </c>
      <c r="G234" s="31" t="n">
        <v>46128</v>
      </c>
      <c r="H234" s="24"/>
      <c r="I234" s="24"/>
      <c r="J234" s="24"/>
      <c r="K234" s="24" t="n">
        <v>2</v>
      </c>
      <c r="L234" s="24" t="str">
        <f aca="false">IF(J234&lt;&gt;"","Enrolled",IF(I234&lt;&gt;"","Admitted",IF(H234&lt;&gt;"","Applied",IF(G234&lt;&gt;"","Contacted","New"))))</f>
        <v>Contacted</v>
      </c>
      <c r="M234" s="32" t="n">
        <f aca="false">IF(G234="","",G234-B234)</f>
        <v>0</v>
      </c>
      <c r="N234" s="24" t="str">
        <f aca="false">IF(COUNTIF($A$2:A234,A234)&gt;1,"Duplicate ID",IF(C234="","Missing source",IF(OR(AND(G234&lt;&gt;"",G234&lt;B234),AND(H234&lt;&gt;"",H234&lt;B234),AND(I234&lt;&gt;"",I234&lt;H234),AND(J234&lt;&gt;"",J234&lt;I234)),"Date error","OK")))</f>
        <v>OK</v>
      </c>
    </row>
    <row r="235" customFormat="false" ht="15" hidden="false" customHeight="false" outlineLevel="0" collapsed="false">
      <c r="A235" s="24" t="s">
        <v>315</v>
      </c>
      <c r="B235" s="31" t="n">
        <v>46128</v>
      </c>
      <c r="C235" s="24" t="s">
        <v>26</v>
      </c>
      <c r="D235" s="24" t="s">
        <v>33</v>
      </c>
      <c r="E235" s="24" t="s">
        <v>89</v>
      </c>
      <c r="F235" s="24" t="s">
        <v>45</v>
      </c>
      <c r="G235" s="31" t="n">
        <v>46129</v>
      </c>
      <c r="H235" s="24"/>
      <c r="I235" s="24"/>
      <c r="J235" s="24"/>
      <c r="K235" s="24" t="n">
        <v>6</v>
      </c>
      <c r="L235" s="24" t="str">
        <f aca="false">IF(J235&lt;&gt;"","Enrolled",IF(I235&lt;&gt;"","Admitted",IF(H235&lt;&gt;"","Applied",IF(G235&lt;&gt;"","Contacted","New"))))</f>
        <v>Contacted</v>
      </c>
      <c r="M235" s="32" t="n">
        <f aca="false">IF(G235="","",G235-B235)</f>
        <v>1</v>
      </c>
      <c r="N235" s="24" t="str">
        <f aca="false">IF(COUNTIF($A$2:A235,A235)&gt;1,"Duplicate ID",IF(C235="","Missing source",IF(OR(AND(G235&lt;&gt;"",G235&lt;B235),AND(H235&lt;&gt;"",H235&lt;B235),AND(I235&lt;&gt;"",I235&lt;H235),AND(J235&lt;&gt;"",J235&lt;I235)),"Date error","OK")))</f>
        <v>OK</v>
      </c>
    </row>
    <row r="236" customFormat="false" ht="15" hidden="false" customHeight="false" outlineLevel="0" collapsed="false">
      <c r="A236" s="24" t="s">
        <v>316</v>
      </c>
      <c r="B236" s="31" t="n">
        <v>46129</v>
      </c>
      <c r="C236" s="24" t="s">
        <v>25</v>
      </c>
      <c r="D236" s="24" t="s">
        <v>32</v>
      </c>
      <c r="E236" s="24" t="s">
        <v>89</v>
      </c>
      <c r="F236" s="24" t="s">
        <v>43</v>
      </c>
      <c r="G236" s="31" t="n">
        <v>46129</v>
      </c>
      <c r="H236" s="24"/>
      <c r="I236" s="24"/>
      <c r="J236" s="24"/>
      <c r="K236" s="24" t="n">
        <v>1</v>
      </c>
      <c r="L236" s="24" t="str">
        <f aca="false">IF(J236&lt;&gt;"","Enrolled",IF(I236&lt;&gt;"","Admitted",IF(H236&lt;&gt;"","Applied",IF(G236&lt;&gt;"","Contacted","New"))))</f>
        <v>Contacted</v>
      </c>
      <c r="M236" s="32" t="n">
        <f aca="false">IF(G236="","",G236-B236)</f>
        <v>0</v>
      </c>
      <c r="N236" s="24" t="str">
        <f aca="false">IF(COUNTIF($A$2:A236,A236)&gt;1,"Duplicate ID",IF(C236="","Missing source",IF(OR(AND(G236&lt;&gt;"",G236&lt;B236),AND(H236&lt;&gt;"",H236&lt;B236),AND(I236&lt;&gt;"",I236&lt;H236),AND(J236&lt;&gt;"",J236&lt;I236)),"Date error","OK")))</f>
        <v>OK</v>
      </c>
    </row>
    <row r="237" customFormat="false" ht="15" hidden="false" customHeight="false" outlineLevel="0" collapsed="false">
      <c r="A237" s="24" t="s">
        <v>317</v>
      </c>
      <c r="B237" s="31" t="n">
        <v>46129</v>
      </c>
      <c r="C237" s="24" t="s">
        <v>26</v>
      </c>
      <c r="D237" s="24" t="s">
        <v>35</v>
      </c>
      <c r="E237" s="24" t="s">
        <v>79</v>
      </c>
      <c r="F237" s="24" t="s">
        <v>43</v>
      </c>
      <c r="G237" s="31" t="n">
        <v>46130</v>
      </c>
      <c r="H237" s="24"/>
      <c r="I237" s="24"/>
      <c r="J237" s="24"/>
      <c r="K237" s="24" t="n">
        <v>3</v>
      </c>
      <c r="L237" s="24" t="str">
        <f aca="false">IF(J237&lt;&gt;"","Enrolled",IF(I237&lt;&gt;"","Admitted",IF(H237&lt;&gt;"","Applied",IF(G237&lt;&gt;"","Contacted","New"))))</f>
        <v>Contacted</v>
      </c>
      <c r="M237" s="32" t="n">
        <f aca="false">IF(G237="","",G237-B237)</f>
        <v>1</v>
      </c>
      <c r="N237" s="24" t="str">
        <f aca="false">IF(COUNTIF($A$2:A237,A237)&gt;1,"Duplicate ID",IF(C237="","Missing source",IF(OR(AND(G237&lt;&gt;"",G237&lt;B237),AND(H237&lt;&gt;"",H237&lt;B237),AND(I237&lt;&gt;"",I237&lt;H237),AND(J237&lt;&gt;"",J237&lt;I237)),"Date error","OK")))</f>
        <v>OK</v>
      </c>
    </row>
    <row r="238" customFormat="false" ht="15" hidden="false" customHeight="false" outlineLevel="0" collapsed="false">
      <c r="A238" s="24" t="s">
        <v>318</v>
      </c>
      <c r="B238" s="31" t="n">
        <v>46129</v>
      </c>
      <c r="C238" s="24" t="s">
        <v>23</v>
      </c>
      <c r="D238" s="24" t="s">
        <v>36</v>
      </c>
      <c r="E238" s="24" t="s">
        <v>79</v>
      </c>
      <c r="F238" s="24" t="s">
        <v>42</v>
      </c>
      <c r="G238" s="31" t="n">
        <v>46136</v>
      </c>
      <c r="H238" s="31" t="n">
        <v>46141</v>
      </c>
      <c r="I238" s="24"/>
      <c r="J238" s="24"/>
      <c r="K238" s="24" t="n">
        <v>1</v>
      </c>
      <c r="L238" s="24" t="str">
        <f aca="false">IF(J238&lt;&gt;"","Enrolled",IF(I238&lt;&gt;"","Admitted",IF(H238&lt;&gt;"","Applied",IF(G238&lt;&gt;"","Contacted","New"))))</f>
        <v>Applied</v>
      </c>
      <c r="M238" s="32" t="n">
        <f aca="false">IF(G238="","",G238-B238)</f>
        <v>7</v>
      </c>
      <c r="N238" s="24" t="str">
        <f aca="false">IF(COUNTIF($A$2:A238,A238)&gt;1,"Duplicate ID",IF(C238="","Missing source",IF(OR(AND(G238&lt;&gt;"",G238&lt;B238),AND(H238&lt;&gt;"",H238&lt;B238),AND(I238&lt;&gt;"",I238&lt;H238),AND(J238&lt;&gt;"",J238&lt;I238)),"Date error","OK")))</f>
        <v>OK</v>
      </c>
    </row>
    <row r="239" customFormat="false" ht="15" hidden="false" customHeight="false" outlineLevel="0" collapsed="false">
      <c r="A239" s="24" t="s">
        <v>319</v>
      </c>
      <c r="B239" s="31" t="n">
        <v>46129</v>
      </c>
      <c r="C239" s="24" t="s">
        <v>25</v>
      </c>
      <c r="D239" s="24" t="s">
        <v>33</v>
      </c>
      <c r="E239" s="24" t="s">
        <v>79</v>
      </c>
      <c r="F239" s="24" t="s">
        <v>40</v>
      </c>
      <c r="G239" s="31" t="n">
        <v>46129</v>
      </c>
      <c r="H239" s="24"/>
      <c r="I239" s="24"/>
      <c r="J239" s="24"/>
      <c r="K239" s="24" t="n">
        <v>2</v>
      </c>
      <c r="L239" s="24" t="str">
        <f aca="false">IF(J239&lt;&gt;"","Enrolled",IF(I239&lt;&gt;"","Admitted",IF(H239&lt;&gt;"","Applied",IF(G239&lt;&gt;"","Contacted","New"))))</f>
        <v>Contacted</v>
      </c>
      <c r="M239" s="32" t="n">
        <f aca="false">IF(G239="","",G239-B239)</f>
        <v>0</v>
      </c>
      <c r="N239" s="24" t="str">
        <f aca="false">IF(COUNTIF($A$2:A239,A239)&gt;1,"Duplicate ID",IF(C239="","Missing source",IF(OR(AND(G239&lt;&gt;"",G239&lt;B239),AND(H239&lt;&gt;"",H239&lt;B239),AND(I239&lt;&gt;"",I239&lt;H239),AND(J239&lt;&gt;"",J239&lt;I239)),"Date error","OK")))</f>
        <v>OK</v>
      </c>
    </row>
    <row r="240" customFormat="false" ht="15" hidden="false" customHeight="false" outlineLevel="0" collapsed="false">
      <c r="A240" s="24" t="s">
        <v>320</v>
      </c>
      <c r="B240" s="31" t="n">
        <v>46129</v>
      </c>
      <c r="C240" s="24" t="s">
        <v>27</v>
      </c>
      <c r="D240" s="24" t="s">
        <v>35</v>
      </c>
      <c r="E240" s="24" t="s">
        <v>84</v>
      </c>
      <c r="F240" s="24" t="s">
        <v>43</v>
      </c>
      <c r="G240" s="31" t="n">
        <v>46130</v>
      </c>
      <c r="H240" s="24"/>
      <c r="I240" s="24"/>
      <c r="J240" s="24"/>
      <c r="K240" s="24" t="n">
        <v>2</v>
      </c>
      <c r="L240" s="24" t="str">
        <f aca="false">IF(J240&lt;&gt;"","Enrolled",IF(I240&lt;&gt;"","Admitted",IF(H240&lt;&gt;"","Applied",IF(G240&lt;&gt;"","Contacted","New"))))</f>
        <v>Contacted</v>
      </c>
      <c r="M240" s="32" t="n">
        <f aca="false">IF(G240="","",G240-B240)</f>
        <v>1</v>
      </c>
      <c r="N240" s="24" t="str">
        <f aca="false">IF(COUNTIF($A$2:A240,A240)&gt;1,"Duplicate ID",IF(C240="","Missing source",IF(OR(AND(G240&lt;&gt;"",G240&lt;B240),AND(H240&lt;&gt;"",H240&lt;B240),AND(I240&lt;&gt;"",I240&lt;H240),AND(J240&lt;&gt;"",J240&lt;I240)),"Date error","OK")))</f>
        <v>OK</v>
      </c>
    </row>
    <row r="241" customFormat="false" ht="15" hidden="false" customHeight="false" outlineLevel="0" collapsed="false">
      <c r="A241" s="24" t="s">
        <v>321</v>
      </c>
      <c r="B241" s="31" t="n">
        <v>46129</v>
      </c>
      <c r="C241" s="24" t="s">
        <v>22</v>
      </c>
      <c r="D241" s="24" t="s">
        <v>32</v>
      </c>
      <c r="E241" s="24" t="s">
        <v>84</v>
      </c>
      <c r="F241" s="24" t="s">
        <v>40</v>
      </c>
      <c r="G241" s="31" t="n">
        <v>46130</v>
      </c>
      <c r="H241" s="31" t="n">
        <v>46154</v>
      </c>
      <c r="I241" s="31" t="n">
        <v>46159</v>
      </c>
      <c r="J241" s="31" t="n">
        <v>46186</v>
      </c>
      <c r="K241" s="24" t="n">
        <v>2</v>
      </c>
      <c r="L241" s="24" t="str">
        <f aca="false">IF(J241&lt;&gt;"","Enrolled",IF(I241&lt;&gt;"","Admitted",IF(H241&lt;&gt;"","Applied",IF(G241&lt;&gt;"","Contacted","New"))))</f>
        <v>Enrolled</v>
      </c>
      <c r="M241" s="32" t="n">
        <f aca="false">IF(G241="","",G241-B241)</f>
        <v>1</v>
      </c>
      <c r="N241" s="24" t="str">
        <f aca="false">IF(COUNTIF($A$2:A241,A241)&gt;1,"Duplicate ID",IF(C241="","Missing source",IF(OR(AND(G241&lt;&gt;"",G241&lt;B241),AND(H241&lt;&gt;"",H241&lt;B241),AND(I241&lt;&gt;"",I241&lt;H241),AND(J241&lt;&gt;"",J241&lt;I241)),"Date error","OK")))</f>
        <v>OK</v>
      </c>
    </row>
    <row r="242" customFormat="false" ht="15" hidden="false" customHeight="false" outlineLevel="0" collapsed="false">
      <c r="A242" s="24" t="s">
        <v>322</v>
      </c>
      <c r="B242" s="31" t="n">
        <v>46129</v>
      </c>
      <c r="C242" s="24" t="s">
        <v>25</v>
      </c>
      <c r="D242" s="24" t="s">
        <v>36</v>
      </c>
      <c r="E242" s="24" t="s">
        <v>94</v>
      </c>
      <c r="F242" s="24" t="s">
        <v>45</v>
      </c>
      <c r="G242" s="31" t="n">
        <v>46130</v>
      </c>
      <c r="H242" s="24"/>
      <c r="I242" s="24"/>
      <c r="J242" s="24"/>
      <c r="K242" s="24" t="n">
        <v>1</v>
      </c>
      <c r="L242" s="24" t="str">
        <f aca="false">IF(J242&lt;&gt;"","Enrolled",IF(I242&lt;&gt;"","Admitted",IF(H242&lt;&gt;"","Applied",IF(G242&lt;&gt;"","Contacted","New"))))</f>
        <v>Contacted</v>
      </c>
      <c r="M242" s="32" t="n">
        <f aca="false">IF(G242="","",G242-B242)</f>
        <v>1</v>
      </c>
      <c r="N242" s="24" t="str">
        <f aca="false">IF(COUNTIF($A$2:A242,A242)&gt;1,"Duplicate ID",IF(C242="","Missing source",IF(OR(AND(G242&lt;&gt;"",G242&lt;B242),AND(H242&lt;&gt;"",H242&lt;B242),AND(I242&lt;&gt;"",I242&lt;H242),AND(J242&lt;&gt;"",J242&lt;I242)),"Date error","OK")))</f>
        <v>OK</v>
      </c>
    </row>
    <row r="243" customFormat="false" ht="15" hidden="false" customHeight="false" outlineLevel="0" collapsed="false">
      <c r="A243" s="24" t="s">
        <v>323</v>
      </c>
      <c r="B243" s="31" t="n">
        <v>46129</v>
      </c>
      <c r="C243" s="24" t="s">
        <v>25</v>
      </c>
      <c r="D243" s="24" t="s">
        <v>34</v>
      </c>
      <c r="E243" s="24" t="s">
        <v>79</v>
      </c>
      <c r="F243" s="24" t="s">
        <v>43</v>
      </c>
      <c r="G243" s="31" t="n">
        <v>46131</v>
      </c>
      <c r="H243" s="31" t="n">
        <v>46152</v>
      </c>
      <c r="I243" s="31" t="n">
        <v>46163</v>
      </c>
      <c r="J243" s="31" t="n">
        <v>46181</v>
      </c>
      <c r="K243" s="24" t="n">
        <v>1</v>
      </c>
      <c r="L243" s="24" t="str">
        <f aca="false">IF(J243&lt;&gt;"","Enrolled",IF(I243&lt;&gt;"","Admitted",IF(H243&lt;&gt;"","Applied",IF(G243&lt;&gt;"","Contacted","New"))))</f>
        <v>Enrolled</v>
      </c>
      <c r="M243" s="32" t="n">
        <f aca="false">IF(G243="","",G243-B243)</f>
        <v>2</v>
      </c>
      <c r="N243" s="24" t="str">
        <f aca="false">IF(COUNTIF($A$2:A243,A243)&gt;1,"Duplicate ID",IF(C243="","Missing source",IF(OR(AND(G243&lt;&gt;"",G243&lt;B243),AND(H243&lt;&gt;"",H243&lt;B243),AND(I243&lt;&gt;"",I243&lt;H243),AND(J243&lt;&gt;"",J243&lt;I243)),"Date error","OK")))</f>
        <v>OK</v>
      </c>
    </row>
    <row r="244" customFormat="false" ht="15" hidden="false" customHeight="false" outlineLevel="0" collapsed="false">
      <c r="A244" s="24" t="s">
        <v>324</v>
      </c>
      <c r="B244" s="31" t="n">
        <v>46129</v>
      </c>
      <c r="C244" s="24" t="s">
        <v>23</v>
      </c>
      <c r="D244" s="24" t="s">
        <v>33</v>
      </c>
      <c r="E244" s="24" t="s">
        <v>89</v>
      </c>
      <c r="F244" s="24" t="s">
        <v>43</v>
      </c>
      <c r="G244" s="31" t="n">
        <v>46138</v>
      </c>
      <c r="H244" s="24"/>
      <c r="I244" s="24"/>
      <c r="J244" s="24"/>
      <c r="K244" s="24" t="n">
        <v>6</v>
      </c>
      <c r="L244" s="24" t="str">
        <f aca="false">IF(J244&lt;&gt;"","Enrolled",IF(I244&lt;&gt;"","Admitted",IF(H244&lt;&gt;"","Applied",IF(G244&lt;&gt;"","Contacted","New"))))</f>
        <v>Contacted</v>
      </c>
      <c r="M244" s="32" t="n">
        <f aca="false">IF(G244="","",G244-B244)</f>
        <v>9</v>
      </c>
      <c r="N244" s="24" t="str">
        <f aca="false">IF(COUNTIF($A$2:A244,A244)&gt;1,"Duplicate ID",IF(C244="","Missing source",IF(OR(AND(G244&lt;&gt;"",G244&lt;B244),AND(H244&lt;&gt;"",H244&lt;B244),AND(I244&lt;&gt;"",I244&lt;H244),AND(J244&lt;&gt;"",J244&lt;I244)),"Date error","OK")))</f>
        <v>OK</v>
      </c>
    </row>
    <row r="245" customFormat="false" ht="15" hidden="false" customHeight="false" outlineLevel="0" collapsed="false">
      <c r="A245" s="24" t="s">
        <v>325</v>
      </c>
      <c r="B245" s="31" t="n">
        <v>46130</v>
      </c>
      <c r="C245" s="24" t="s">
        <v>22</v>
      </c>
      <c r="D245" s="24" t="s">
        <v>33</v>
      </c>
      <c r="E245" s="24" t="s">
        <v>89</v>
      </c>
      <c r="F245" s="24" t="s">
        <v>43</v>
      </c>
      <c r="G245" s="24"/>
      <c r="H245" s="24"/>
      <c r="I245" s="24"/>
      <c r="J245" s="24"/>
      <c r="K245" s="24" t="n">
        <v>0</v>
      </c>
      <c r="L245" s="24" t="str">
        <f aca="false">IF(J245&lt;&gt;"","Enrolled",IF(I245&lt;&gt;"","Admitted",IF(H245&lt;&gt;"","Applied",IF(G245&lt;&gt;"","Contacted","New"))))</f>
        <v>New</v>
      </c>
      <c r="M245" s="32" t="str">
        <f aca="false">IF(G245="","",G245-B245)</f>
        <v/>
      </c>
      <c r="N245" s="24" t="str">
        <f aca="false">IF(COUNTIF($A$2:A245,A245)&gt;1,"Duplicate ID",IF(C245="","Missing source",IF(OR(AND(G245&lt;&gt;"",G245&lt;B245),AND(H245&lt;&gt;"",H245&lt;B245),AND(I245&lt;&gt;"",I245&lt;H245),AND(J245&lt;&gt;"",J245&lt;I245)),"Date error","OK")))</f>
        <v>OK</v>
      </c>
    </row>
    <row r="246" customFormat="false" ht="15" hidden="false" customHeight="false" outlineLevel="0" collapsed="false">
      <c r="A246" s="24" t="s">
        <v>326</v>
      </c>
      <c r="B246" s="31" t="n">
        <v>46130</v>
      </c>
      <c r="C246" s="24" t="s">
        <v>24</v>
      </c>
      <c r="D246" s="24" t="s">
        <v>32</v>
      </c>
      <c r="E246" s="24" t="s">
        <v>94</v>
      </c>
      <c r="F246" s="24" t="s">
        <v>42</v>
      </c>
      <c r="G246" s="31" t="n">
        <v>46132</v>
      </c>
      <c r="H246" s="24"/>
      <c r="I246" s="24"/>
      <c r="J246" s="24"/>
      <c r="K246" s="24" t="n">
        <v>3</v>
      </c>
      <c r="L246" s="24" t="str">
        <f aca="false">IF(J246&lt;&gt;"","Enrolled",IF(I246&lt;&gt;"","Admitted",IF(H246&lt;&gt;"","Applied",IF(G246&lt;&gt;"","Contacted","New"))))</f>
        <v>Contacted</v>
      </c>
      <c r="M246" s="32" t="n">
        <f aca="false">IF(G246="","",G246-B246)</f>
        <v>2</v>
      </c>
      <c r="N246" s="24" t="str">
        <f aca="false">IF(COUNTIF($A$2:A246,A246)&gt;1,"Duplicate ID",IF(C246="","Missing source",IF(OR(AND(G246&lt;&gt;"",G246&lt;B246),AND(H246&lt;&gt;"",H246&lt;B246),AND(I246&lt;&gt;"",I246&lt;H246),AND(J246&lt;&gt;"",J246&lt;I246)),"Date error","OK")))</f>
        <v>OK</v>
      </c>
    </row>
    <row r="247" customFormat="false" ht="15" hidden="false" customHeight="false" outlineLevel="0" collapsed="false">
      <c r="A247" s="24" t="s">
        <v>327</v>
      </c>
      <c r="B247" s="31" t="n">
        <v>46130</v>
      </c>
      <c r="C247" s="24" t="s">
        <v>25</v>
      </c>
      <c r="D247" s="24" t="s">
        <v>33</v>
      </c>
      <c r="E247" s="24" t="s">
        <v>89</v>
      </c>
      <c r="F247" s="24" t="s">
        <v>44</v>
      </c>
      <c r="G247" s="31" t="n">
        <v>46130</v>
      </c>
      <c r="H247" s="31" t="n">
        <v>46133</v>
      </c>
      <c r="I247" s="31" t="n">
        <v>46148</v>
      </c>
      <c r="J247" s="24"/>
      <c r="K247" s="24" t="n">
        <v>1</v>
      </c>
      <c r="L247" s="24" t="str">
        <f aca="false">IF(J247&lt;&gt;"","Enrolled",IF(I247&lt;&gt;"","Admitted",IF(H247&lt;&gt;"","Applied",IF(G247&lt;&gt;"","Contacted","New"))))</f>
        <v>Admitted</v>
      </c>
      <c r="M247" s="32" t="n">
        <f aca="false">IF(G247="","",G247-B247)</f>
        <v>0</v>
      </c>
      <c r="N247" s="24" t="str">
        <f aca="false">IF(COUNTIF($A$2:A247,A247)&gt;1,"Duplicate ID",IF(C247="","Missing source",IF(OR(AND(G247&lt;&gt;"",G247&lt;B247),AND(H247&lt;&gt;"",H247&lt;B247),AND(I247&lt;&gt;"",I247&lt;H247),AND(J247&lt;&gt;"",J247&lt;I247)),"Date error","OK")))</f>
        <v>OK</v>
      </c>
    </row>
    <row r="248" customFormat="false" ht="15" hidden="false" customHeight="false" outlineLevel="0" collapsed="false">
      <c r="A248" s="24" t="s">
        <v>328</v>
      </c>
      <c r="B248" s="31" t="n">
        <v>46130</v>
      </c>
      <c r="C248" s="24" t="s">
        <v>24</v>
      </c>
      <c r="D248" s="24" t="s">
        <v>36</v>
      </c>
      <c r="E248" s="24" t="s">
        <v>94</v>
      </c>
      <c r="F248" s="24" t="s">
        <v>41</v>
      </c>
      <c r="G248" s="31" t="n">
        <v>46131</v>
      </c>
      <c r="H248" s="24"/>
      <c r="I248" s="24"/>
      <c r="J248" s="24"/>
      <c r="K248" s="24" t="n">
        <v>6</v>
      </c>
      <c r="L248" s="24" t="str">
        <f aca="false">IF(J248&lt;&gt;"","Enrolled",IF(I248&lt;&gt;"","Admitted",IF(H248&lt;&gt;"","Applied",IF(G248&lt;&gt;"","Contacted","New"))))</f>
        <v>Contacted</v>
      </c>
      <c r="M248" s="32" t="n">
        <f aca="false">IF(G248="","",G248-B248)</f>
        <v>1</v>
      </c>
      <c r="N248" s="24" t="str">
        <f aca="false">IF(COUNTIF($A$2:A248,A248)&gt;1,"Duplicate ID",IF(C248="","Missing source",IF(OR(AND(G248&lt;&gt;"",G248&lt;B248),AND(H248&lt;&gt;"",H248&lt;B248),AND(I248&lt;&gt;"",I248&lt;H248),AND(J248&lt;&gt;"",J248&lt;I248)),"Date error","OK")))</f>
        <v>OK</v>
      </c>
    </row>
    <row r="249" customFormat="false" ht="15" hidden="false" customHeight="false" outlineLevel="0" collapsed="false">
      <c r="A249" s="24" t="s">
        <v>329</v>
      </c>
      <c r="B249" s="31" t="n">
        <v>46130</v>
      </c>
      <c r="C249" s="24" t="s">
        <v>25</v>
      </c>
      <c r="D249" s="24" t="s">
        <v>32</v>
      </c>
      <c r="E249" s="24" t="s">
        <v>84</v>
      </c>
      <c r="F249" s="24" t="s">
        <v>44</v>
      </c>
      <c r="G249" s="31" t="n">
        <v>46131</v>
      </c>
      <c r="H249" s="24"/>
      <c r="I249" s="24"/>
      <c r="J249" s="24"/>
      <c r="K249" s="24" t="n">
        <v>2</v>
      </c>
      <c r="L249" s="24" t="str">
        <f aca="false">IF(J249&lt;&gt;"","Enrolled",IF(I249&lt;&gt;"","Admitted",IF(H249&lt;&gt;"","Applied",IF(G249&lt;&gt;"","Contacted","New"))))</f>
        <v>Contacted</v>
      </c>
      <c r="M249" s="32" t="n">
        <f aca="false">IF(G249="","",G249-B249)</f>
        <v>1</v>
      </c>
      <c r="N249" s="24" t="str">
        <f aca="false">IF(COUNTIF($A$2:A249,A249)&gt;1,"Duplicate ID",IF(C249="","Missing source",IF(OR(AND(G249&lt;&gt;"",G249&lt;B249),AND(H249&lt;&gt;"",H249&lt;B249),AND(I249&lt;&gt;"",I249&lt;H249),AND(J249&lt;&gt;"",J249&lt;I249)),"Date error","OK")))</f>
        <v>OK</v>
      </c>
    </row>
    <row r="250" customFormat="false" ht="15" hidden="false" customHeight="false" outlineLevel="0" collapsed="false">
      <c r="A250" s="24" t="s">
        <v>330</v>
      </c>
      <c r="B250" s="31" t="n">
        <v>46130</v>
      </c>
      <c r="C250" s="24" t="s">
        <v>23</v>
      </c>
      <c r="D250" s="24" t="s">
        <v>36</v>
      </c>
      <c r="E250" s="24" t="s">
        <v>89</v>
      </c>
      <c r="F250" s="24" t="s">
        <v>44</v>
      </c>
      <c r="G250" s="31" t="n">
        <v>46130</v>
      </c>
      <c r="H250" s="24"/>
      <c r="I250" s="24"/>
      <c r="J250" s="24"/>
      <c r="K250" s="24" t="n">
        <v>3</v>
      </c>
      <c r="L250" s="24" t="str">
        <f aca="false">IF(J250&lt;&gt;"","Enrolled",IF(I250&lt;&gt;"","Admitted",IF(H250&lt;&gt;"","Applied",IF(G250&lt;&gt;"","Contacted","New"))))</f>
        <v>Contacted</v>
      </c>
      <c r="M250" s="32" t="n">
        <f aca="false">IF(G250="","",G250-B250)</f>
        <v>0</v>
      </c>
      <c r="N250" s="24" t="str">
        <f aca="false">IF(COUNTIF($A$2:A250,A250)&gt;1,"Duplicate ID",IF(C250="","Missing source",IF(OR(AND(G250&lt;&gt;"",G250&lt;B250),AND(H250&lt;&gt;"",H250&lt;B250),AND(I250&lt;&gt;"",I250&lt;H250),AND(J250&lt;&gt;"",J250&lt;I250)),"Date error","OK")))</f>
        <v>OK</v>
      </c>
    </row>
    <row r="251" customFormat="false" ht="15" hidden="false" customHeight="false" outlineLevel="0" collapsed="false">
      <c r="A251" s="24" t="s">
        <v>331</v>
      </c>
      <c r="B251" s="31" t="n">
        <v>46130</v>
      </c>
      <c r="C251" s="24" t="s">
        <v>26</v>
      </c>
      <c r="D251" s="24" t="s">
        <v>32</v>
      </c>
      <c r="E251" s="24" t="s">
        <v>89</v>
      </c>
      <c r="F251" s="24" t="s">
        <v>44</v>
      </c>
      <c r="G251" s="31" t="n">
        <v>46133</v>
      </c>
      <c r="H251" s="24"/>
      <c r="I251" s="24"/>
      <c r="J251" s="24"/>
      <c r="K251" s="24" t="n">
        <v>3</v>
      </c>
      <c r="L251" s="24" t="str">
        <f aca="false">IF(J251&lt;&gt;"","Enrolled",IF(I251&lt;&gt;"","Admitted",IF(H251&lt;&gt;"","Applied",IF(G251&lt;&gt;"","Contacted","New"))))</f>
        <v>Contacted</v>
      </c>
      <c r="M251" s="32" t="n">
        <f aca="false">IF(G251="","",G251-B251)</f>
        <v>3</v>
      </c>
      <c r="N251" s="24" t="str">
        <f aca="false">IF(COUNTIF($A$2:A251,A251)&gt;1,"Duplicate ID",IF(C251="","Missing source",IF(OR(AND(G251&lt;&gt;"",G251&lt;B251),AND(H251&lt;&gt;"",H251&lt;B251),AND(I251&lt;&gt;"",I251&lt;H251),AND(J251&lt;&gt;"",J251&lt;I251)),"Date error","OK")))</f>
        <v>OK</v>
      </c>
    </row>
    <row r="252" customFormat="false" ht="15" hidden="false" customHeight="false" outlineLevel="0" collapsed="false">
      <c r="A252" s="24" t="s">
        <v>332</v>
      </c>
      <c r="B252" s="31" t="n">
        <v>46130</v>
      </c>
      <c r="C252" s="24" t="s">
        <v>25</v>
      </c>
      <c r="D252" s="24" t="s">
        <v>35</v>
      </c>
      <c r="E252" s="24" t="s">
        <v>94</v>
      </c>
      <c r="F252" s="24" t="s">
        <v>40</v>
      </c>
      <c r="G252" s="31" t="n">
        <v>46130</v>
      </c>
      <c r="H252" s="24"/>
      <c r="I252" s="24"/>
      <c r="J252" s="24"/>
      <c r="K252" s="24" t="n">
        <v>1</v>
      </c>
      <c r="L252" s="24" t="str">
        <f aca="false">IF(J252&lt;&gt;"","Enrolled",IF(I252&lt;&gt;"","Admitted",IF(H252&lt;&gt;"","Applied",IF(G252&lt;&gt;"","Contacted","New"))))</f>
        <v>Contacted</v>
      </c>
      <c r="M252" s="32" t="n">
        <f aca="false">IF(G252="","",G252-B252)</f>
        <v>0</v>
      </c>
      <c r="N252" s="24" t="str">
        <f aca="false">IF(COUNTIF($A$2:A252,A252)&gt;1,"Duplicate ID",IF(C252="","Missing source",IF(OR(AND(G252&lt;&gt;"",G252&lt;B252),AND(H252&lt;&gt;"",H252&lt;B252),AND(I252&lt;&gt;"",I252&lt;H252),AND(J252&lt;&gt;"",J252&lt;I252)),"Date error","OK")))</f>
        <v>OK</v>
      </c>
    </row>
    <row r="253" customFormat="false" ht="15" hidden="false" customHeight="false" outlineLevel="0" collapsed="false">
      <c r="A253" s="24" t="s">
        <v>333</v>
      </c>
      <c r="B253" s="31" t="n">
        <v>46131</v>
      </c>
      <c r="C253" s="24" t="s">
        <v>26</v>
      </c>
      <c r="D253" s="24" t="s">
        <v>36</v>
      </c>
      <c r="E253" s="24" t="s">
        <v>81</v>
      </c>
      <c r="F253" s="24" t="s">
        <v>42</v>
      </c>
      <c r="G253" s="31" t="n">
        <v>46132</v>
      </c>
      <c r="H253" s="24"/>
      <c r="I253" s="24"/>
      <c r="J253" s="24"/>
      <c r="K253" s="24" t="n">
        <v>2</v>
      </c>
      <c r="L253" s="24" t="str">
        <f aca="false">IF(J253&lt;&gt;"","Enrolled",IF(I253&lt;&gt;"","Admitted",IF(H253&lt;&gt;"","Applied",IF(G253&lt;&gt;"","Contacted","New"))))</f>
        <v>Contacted</v>
      </c>
      <c r="M253" s="32" t="n">
        <f aca="false">IF(G253="","",G253-B253)</f>
        <v>1</v>
      </c>
      <c r="N253" s="24" t="str">
        <f aca="false">IF(COUNTIF($A$2:A253,A253)&gt;1,"Duplicate ID",IF(C253="","Missing source",IF(OR(AND(G253&lt;&gt;"",G253&lt;B253),AND(H253&lt;&gt;"",H253&lt;B253),AND(I253&lt;&gt;"",I253&lt;H253),AND(J253&lt;&gt;"",J253&lt;I253)),"Date error","OK")))</f>
        <v>OK</v>
      </c>
    </row>
    <row r="254" customFormat="false" ht="15" hidden="false" customHeight="false" outlineLevel="0" collapsed="false">
      <c r="A254" s="24" t="s">
        <v>334</v>
      </c>
      <c r="B254" s="31" t="n">
        <v>46131</v>
      </c>
      <c r="C254" s="24" t="s">
        <v>26</v>
      </c>
      <c r="D254" s="24" t="s">
        <v>32</v>
      </c>
      <c r="E254" s="24" t="s">
        <v>94</v>
      </c>
      <c r="F254" s="24" t="s">
        <v>43</v>
      </c>
      <c r="G254" s="31" t="n">
        <v>46133</v>
      </c>
      <c r="H254" s="24"/>
      <c r="I254" s="24"/>
      <c r="J254" s="24"/>
      <c r="K254" s="24" t="n">
        <v>2</v>
      </c>
      <c r="L254" s="24" t="str">
        <f aca="false">IF(J254&lt;&gt;"","Enrolled",IF(I254&lt;&gt;"","Admitted",IF(H254&lt;&gt;"","Applied",IF(G254&lt;&gt;"","Contacted","New"))))</f>
        <v>Contacted</v>
      </c>
      <c r="M254" s="32" t="n">
        <f aca="false">IF(G254="","",G254-B254)</f>
        <v>2</v>
      </c>
      <c r="N254" s="24" t="str">
        <f aca="false">IF(COUNTIF($A$2:A254,A254)&gt;1,"Duplicate ID",IF(C254="","Missing source",IF(OR(AND(G254&lt;&gt;"",G254&lt;B254),AND(H254&lt;&gt;"",H254&lt;B254),AND(I254&lt;&gt;"",I254&lt;H254),AND(J254&lt;&gt;"",J254&lt;I254)),"Date error","OK")))</f>
        <v>OK</v>
      </c>
    </row>
    <row r="255" customFormat="false" ht="15" hidden="false" customHeight="false" outlineLevel="0" collapsed="false">
      <c r="A255" s="24" t="s">
        <v>335</v>
      </c>
      <c r="B255" s="31" t="n">
        <v>46131</v>
      </c>
      <c r="C255" s="24" t="s">
        <v>25</v>
      </c>
      <c r="D255" s="24" t="s">
        <v>32</v>
      </c>
      <c r="E255" s="24" t="s">
        <v>79</v>
      </c>
      <c r="F255" s="24" t="s">
        <v>40</v>
      </c>
      <c r="G255" s="31" t="n">
        <v>46132</v>
      </c>
      <c r="H255" s="24"/>
      <c r="I255" s="24"/>
      <c r="J255" s="24"/>
      <c r="K255" s="24" t="n">
        <v>3</v>
      </c>
      <c r="L255" s="24" t="str">
        <f aca="false">IF(J255&lt;&gt;"","Enrolled",IF(I255&lt;&gt;"","Admitted",IF(H255&lt;&gt;"","Applied",IF(G255&lt;&gt;"","Contacted","New"))))</f>
        <v>Contacted</v>
      </c>
      <c r="M255" s="32" t="n">
        <f aca="false">IF(G255="","",G255-B255)</f>
        <v>1</v>
      </c>
      <c r="N255" s="24" t="str">
        <f aca="false">IF(COUNTIF($A$2:A255,A255)&gt;1,"Duplicate ID",IF(C255="","Missing source",IF(OR(AND(G255&lt;&gt;"",G255&lt;B255),AND(H255&lt;&gt;"",H255&lt;B255),AND(I255&lt;&gt;"",I255&lt;H255),AND(J255&lt;&gt;"",J255&lt;I255)),"Date error","OK")))</f>
        <v>OK</v>
      </c>
    </row>
    <row r="256" customFormat="false" ht="15" hidden="false" customHeight="false" outlineLevel="0" collapsed="false">
      <c r="A256" s="24" t="s">
        <v>336</v>
      </c>
      <c r="B256" s="31" t="n">
        <v>46131</v>
      </c>
      <c r="C256" s="24" t="s">
        <v>25</v>
      </c>
      <c r="D256" s="24" t="s">
        <v>36</v>
      </c>
      <c r="E256" s="24" t="s">
        <v>84</v>
      </c>
      <c r="F256" s="24" t="s">
        <v>40</v>
      </c>
      <c r="G256" s="31" t="n">
        <v>46131</v>
      </c>
      <c r="H256" s="24"/>
      <c r="I256" s="24"/>
      <c r="J256" s="24"/>
      <c r="K256" s="24" t="n">
        <v>3</v>
      </c>
      <c r="L256" s="24" t="str">
        <f aca="false">IF(J256&lt;&gt;"","Enrolled",IF(I256&lt;&gt;"","Admitted",IF(H256&lt;&gt;"","Applied",IF(G256&lt;&gt;"","Contacted","New"))))</f>
        <v>Contacted</v>
      </c>
      <c r="M256" s="32" t="n">
        <f aca="false">IF(G256="","",G256-B256)</f>
        <v>0</v>
      </c>
      <c r="N256" s="24" t="str">
        <f aca="false">IF(COUNTIF($A$2:A256,A256)&gt;1,"Duplicate ID",IF(C256="","Missing source",IF(OR(AND(G256&lt;&gt;"",G256&lt;B256),AND(H256&lt;&gt;"",H256&lt;B256),AND(I256&lt;&gt;"",I256&lt;H256),AND(J256&lt;&gt;"",J256&lt;I256)),"Date error","OK")))</f>
        <v>OK</v>
      </c>
    </row>
    <row r="257" customFormat="false" ht="15" hidden="false" customHeight="false" outlineLevel="0" collapsed="false">
      <c r="A257" s="24" t="s">
        <v>337</v>
      </c>
      <c r="B257" s="31" t="n">
        <v>46131</v>
      </c>
      <c r="C257" s="24" t="s">
        <v>22</v>
      </c>
      <c r="D257" s="24" t="s">
        <v>36</v>
      </c>
      <c r="E257" s="24" t="s">
        <v>79</v>
      </c>
      <c r="F257" s="24" t="s">
        <v>42</v>
      </c>
      <c r="G257" s="24"/>
      <c r="H257" s="24"/>
      <c r="I257" s="24"/>
      <c r="J257" s="24"/>
      <c r="K257" s="24" t="n">
        <v>0</v>
      </c>
      <c r="L257" s="24" t="str">
        <f aca="false">IF(J257&lt;&gt;"","Enrolled",IF(I257&lt;&gt;"","Admitted",IF(H257&lt;&gt;"","Applied",IF(G257&lt;&gt;"","Contacted","New"))))</f>
        <v>New</v>
      </c>
      <c r="M257" s="32" t="str">
        <f aca="false">IF(G257="","",G257-B257)</f>
        <v/>
      </c>
      <c r="N257" s="24" t="str">
        <f aca="false">IF(COUNTIF($A$2:A257,A257)&gt;1,"Duplicate ID",IF(C257="","Missing source",IF(OR(AND(G257&lt;&gt;"",G257&lt;B257),AND(H257&lt;&gt;"",H257&lt;B257),AND(I257&lt;&gt;"",I257&lt;H257),AND(J257&lt;&gt;"",J257&lt;I257)),"Date error","OK")))</f>
        <v>OK</v>
      </c>
    </row>
    <row r="258" customFormat="false" ht="15" hidden="false" customHeight="false" outlineLevel="0" collapsed="false">
      <c r="A258" s="24" t="s">
        <v>338</v>
      </c>
      <c r="B258" s="31" t="n">
        <v>46131</v>
      </c>
      <c r="C258" s="24" t="s">
        <v>26</v>
      </c>
      <c r="D258" s="24" t="s">
        <v>35</v>
      </c>
      <c r="E258" s="24" t="s">
        <v>81</v>
      </c>
      <c r="F258" s="24" t="s">
        <v>42</v>
      </c>
      <c r="G258" s="31" t="n">
        <v>46131</v>
      </c>
      <c r="H258" s="24"/>
      <c r="I258" s="24"/>
      <c r="J258" s="24"/>
      <c r="K258" s="24" t="n">
        <v>4</v>
      </c>
      <c r="L258" s="24" t="str">
        <f aca="false">IF(J258&lt;&gt;"","Enrolled",IF(I258&lt;&gt;"","Admitted",IF(H258&lt;&gt;"","Applied",IF(G258&lt;&gt;"","Contacted","New"))))</f>
        <v>Contacted</v>
      </c>
      <c r="M258" s="32" t="n">
        <f aca="false">IF(G258="","",G258-B258)</f>
        <v>0</v>
      </c>
      <c r="N258" s="24" t="str">
        <f aca="false">IF(COUNTIF($A$2:A258,A258)&gt;1,"Duplicate ID",IF(C258="","Missing source",IF(OR(AND(G258&lt;&gt;"",G258&lt;B258),AND(H258&lt;&gt;"",H258&lt;B258),AND(I258&lt;&gt;"",I258&lt;H258),AND(J258&lt;&gt;"",J258&lt;I258)),"Date error","OK")))</f>
        <v>OK</v>
      </c>
    </row>
    <row r="259" customFormat="false" ht="15" hidden="false" customHeight="false" outlineLevel="0" collapsed="false">
      <c r="A259" s="24" t="s">
        <v>339</v>
      </c>
      <c r="B259" s="31" t="n">
        <v>46131</v>
      </c>
      <c r="C259" s="24" t="s">
        <v>26</v>
      </c>
      <c r="D259" s="24" t="s">
        <v>33</v>
      </c>
      <c r="E259" s="24" t="s">
        <v>89</v>
      </c>
      <c r="F259" s="24" t="s">
        <v>41</v>
      </c>
      <c r="G259" s="31" t="n">
        <v>46131</v>
      </c>
      <c r="H259" s="24"/>
      <c r="I259" s="24"/>
      <c r="J259" s="24"/>
      <c r="K259" s="24" t="n">
        <v>1</v>
      </c>
      <c r="L259" s="24" t="str">
        <f aca="false">IF(J259&lt;&gt;"","Enrolled",IF(I259&lt;&gt;"","Admitted",IF(H259&lt;&gt;"","Applied",IF(G259&lt;&gt;"","Contacted","New"))))</f>
        <v>Contacted</v>
      </c>
      <c r="M259" s="32" t="n">
        <f aca="false">IF(G259="","",G259-B259)</f>
        <v>0</v>
      </c>
      <c r="N259" s="24" t="str">
        <f aca="false">IF(COUNTIF($A$2:A259,A259)&gt;1,"Duplicate ID",IF(C259="","Missing source",IF(OR(AND(G259&lt;&gt;"",G259&lt;B259),AND(H259&lt;&gt;"",H259&lt;B259),AND(I259&lt;&gt;"",I259&lt;H259),AND(J259&lt;&gt;"",J259&lt;I259)),"Date error","OK")))</f>
        <v>OK</v>
      </c>
    </row>
    <row r="260" customFormat="false" ht="15" hidden="false" customHeight="false" outlineLevel="0" collapsed="false">
      <c r="A260" s="24" t="s">
        <v>340</v>
      </c>
      <c r="B260" s="31" t="n">
        <v>46131</v>
      </c>
      <c r="C260" s="24" t="s">
        <v>25</v>
      </c>
      <c r="D260" s="24" t="s">
        <v>33</v>
      </c>
      <c r="E260" s="24" t="s">
        <v>79</v>
      </c>
      <c r="F260" s="24" t="s">
        <v>41</v>
      </c>
      <c r="G260" s="31" t="n">
        <v>46134</v>
      </c>
      <c r="H260" s="24"/>
      <c r="I260" s="24"/>
      <c r="J260" s="24"/>
      <c r="K260" s="24" t="n">
        <v>1</v>
      </c>
      <c r="L260" s="24" t="str">
        <f aca="false">IF(J260&lt;&gt;"","Enrolled",IF(I260&lt;&gt;"","Admitted",IF(H260&lt;&gt;"","Applied",IF(G260&lt;&gt;"","Contacted","New"))))</f>
        <v>Contacted</v>
      </c>
      <c r="M260" s="32" t="n">
        <f aca="false">IF(G260="","",G260-B260)</f>
        <v>3</v>
      </c>
      <c r="N260" s="24" t="str">
        <f aca="false">IF(COUNTIF($A$2:A260,A260)&gt;1,"Duplicate ID",IF(C260="","Missing source",IF(OR(AND(G260&lt;&gt;"",G260&lt;B260),AND(H260&lt;&gt;"",H260&lt;B260),AND(I260&lt;&gt;"",I260&lt;H260),AND(J260&lt;&gt;"",J260&lt;I260)),"Date error","OK")))</f>
        <v>OK</v>
      </c>
    </row>
    <row r="261" customFormat="false" ht="15" hidden="false" customHeight="false" outlineLevel="0" collapsed="false">
      <c r="A261" s="24" t="s">
        <v>341</v>
      </c>
      <c r="B261" s="31" t="n">
        <v>46131</v>
      </c>
      <c r="C261" s="24" t="s">
        <v>27</v>
      </c>
      <c r="D261" s="24" t="s">
        <v>32</v>
      </c>
      <c r="E261" s="24" t="s">
        <v>84</v>
      </c>
      <c r="F261" s="24" t="s">
        <v>41</v>
      </c>
      <c r="G261" s="31" t="n">
        <v>46132</v>
      </c>
      <c r="H261" s="24"/>
      <c r="I261" s="24"/>
      <c r="J261" s="24"/>
      <c r="K261" s="24" t="n">
        <v>5</v>
      </c>
      <c r="L261" s="24" t="str">
        <f aca="false">IF(J261&lt;&gt;"","Enrolled",IF(I261&lt;&gt;"","Admitted",IF(H261&lt;&gt;"","Applied",IF(G261&lt;&gt;"","Contacted","New"))))</f>
        <v>Contacted</v>
      </c>
      <c r="M261" s="32" t="n">
        <f aca="false">IF(G261="","",G261-B261)</f>
        <v>1</v>
      </c>
      <c r="N261" s="24" t="str">
        <f aca="false">IF(COUNTIF($A$2:A261,A261)&gt;1,"Duplicate ID",IF(C261="","Missing source",IF(OR(AND(G261&lt;&gt;"",G261&lt;B261),AND(H261&lt;&gt;"",H261&lt;B261),AND(I261&lt;&gt;"",I261&lt;H261),AND(J261&lt;&gt;"",J261&lt;I261)),"Date error","OK")))</f>
        <v>OK</v>
      </c>
    </row>
    <row r="262" customFormat="false" ht="15" hidden="false" customHeight="false" outlineLevel="0" collapsed="false">
      <c r="A262" s="24" t="s">
        <v>342</v>
      </c>
      <c r="B262" s="31" t="n">
        <v>46131</v>
      </c>
      <c r="C262" s="24" t="s">
        <v>24</v>
      </c>
      <c r="D262" s="24" t="s">
        <v>32</v>
      </c>
      <c r="E262" s="24" t="s">
        <v>81</v>
      </c>
      <c r="F262" s="24" t="s">
        <v>41</v>
      </c>
      <c r="G262" s="31" t="n">
        <v>46131</v>
      </c>
      <c r="H262" s="24"/>
      <c r="I262" s="24"/>
      <c r="J262" s="24"/>
      <c r="K262" s="24" t="n">
        <v>2</v>
      </c>
      <c r="L262" s="24" t="str">
        <f aca="false">IF(J262&lt;&gt;"","Enrolled",IF(I262&lt;&gt;"","Admitted",IF(H262&lt;&gt;"","Applied",IF(G262&lt;&gt;"","Contacted","New"))))</f>
        <v>Contacted</v>
      </c>
      <c r="M262" s="32" t="n">
        <f aca="false">IF(G262="","",G262-B262)</f>
        <v>0</v>
      </c>
      <c r="N262" s="24" t="str">
        <f aca="false">IF(COUNTIF($A$2:A262,A262)&gt;1,"Duplicate ID",IF(C262="","Missing source",IF(OR(AND(G262&lt;&gt;"",G262&lt;B262),AND(H262&lt;&gt;"",H262&lt;B262),AND(I262&lt;&gt;"",I262&lt;H262),AND(J262&lt;&gt;"",J262&lt;I262)),"Date error","OK")))</f>
        <v>OK</v>
      </c>
    </row>
    <row r="263" customFormat="false" ht="15" hidden="false" customHeight="false" outlineLevel="0" collapsed="false">
      <c r="A263" s="24" t="s">
        <v>343</v>
      </c>
      <c r="B263" s="31" t="n">
        <v>46132</v>
      </c>
      <c r="C263" s="24" t="s">
        <v>27</v>
      </c>
      <c r="D263" s="24" t="s">
        <v>34</v>
      </c>
      <c r="E263" s="24" t="s">
        <v>89</v>
      </c>
      <c r="F263" s="24" t="s">
        <v>45</v>
      </c>
      <c r="G263" s="31" t="n">
        <v>46132</v>
      </c>
      <c r="H263" s="24"/>
      <c r="I263" s="24"/>
      <c r="J263" s="24"/>
      <c r="K263" s="24" t="n">
        <v>0</v>
      </c>
      <c r="L263" s="24" t="str">
        <f aca="false">IF(J263&lt;&gt;"","Enrolled",IF(I263&lt;&gt;"","Admitted",IF(H263&lt;&gt;"","Applied",IF(G263&lt;&gt;"","Contacted","New"))))</f>
        <v>Contacted</v>
      </c>
      <c r="M263" s="32" t="n">
        <f aca="false">IF(G263="","",G263-B263)</f>
        <v>0</v>
      </c>
      <c r="N263" s="24" t="str">
        <f aca="false">IF(COUNTIF($A$2:A263,A263)&gt;1,"Duplicate ID",IF(C263="","Missing source",IF(OR(AND(G263&lt;&gt;"",G263&lt;B263),AND(H263&lt;&gt;"",H263&lt;B263),AND(I263&lt;&gt;"",I263&lt;H263),AND(J263&lt;&gt;"",J263&lt;I263)),"Date error","OK")))</f>
        <v>OK</v>
      </c>
    </row>
    <row r="264" customFormat="false" ht="15" hidden="false" customHeight="false" outlineLevel="0" collapsed="false">
      <c r="A264" s="24" t="s">
        <v>344</v>
      </c>
      <c r="B264" s="31" t="n">
        <v>46132</v>
      </c>
      <c r="C264" s="24" t="s">
        <v>26</v>
      </c>
      <c r="D264" s="24" t="s">
        <v>32</v>
      </c>
      <c r="E264" s="24" t="s">
        <v>94</v>
      </c>
      <c r="F264" s="24" t="s">
        <v>42</v>
      </c>
      <c r="G264" s="31" t="n">
        <v>46136</v>
      </c>
      <c r="H264" s="24"/>
      <c r="I264" s="24"/>
      <c r="J264" s="24"/>
      <c r="K264" s="24" t="n">
        <v>1</v>
      </c>
      <c r="L264" s="24" t="str">
        <f aca="false">IF(J264&lt;&gt;"","Enrolled",IF(I264&lt;&gt;"","Admitted",IF(H264&lt;&gt;"","Applied",IF(G264&lt;&gt;"","Contacted","New"))))</f>
        <v>Contacted</v>
      </c>
      <c r="M264" s="32" t="n">
        <f aca="false">IF(G264="","",G264-B264)</f>
        <v>4</v>
      </c>
      <c r="N264" s="24" t="str">
        <f aca="false">IF(COUNTIF($A$2:A264,A264)&gt;1,"Duplicate ID",IF(C264="","Missing source",IF(OR(AND(G264&lt;&gt;"",G264&lt;B264),AND(H264&lt;&gt;"",H264&lt;B264),AND(I264&lt;&gt;"",I264&lt;H264),AND(J264&lt;&gt;"",J264&lt;I264)),"Date error","OK")))</f>
        <v>OK</v>
      </c>
    </row>
    <row r="265" customFormat="false" ht="15" hidden="false" customHeight="false" outlineLevel="0" collapsed="false">
      <c r="A265" s="24" t="s">
        <v>345</v>
      </c>
      <c r="B265" s="31" t="n">
        <v>46132</v>
      </c>
      <c r="C265" s="24" t="s">
        <v>27</v>
      </c>
      <c r="D265" s="24" t="s">
        <v>33</v>
      </c>
      <c r="E265" s="24" t="s">
        <v>94</v>
      </c>
      <c r="F265" s="24" t="s">
        <v>41</v>
      </c>
      <c r="G265" s="31" t="n">
        <v>46135</v>
      </c>
      <c r="H265" s="24"/>
      <c r="I265" s="24"/>
      <c r="J265" s="24"/>
      <c r="K265" s="24" t="n">
        <v>6</v>
      </c>
      <c r="L265" s="24" t="str">
        <f aca="false">IF(J265&lt;&gt;"","Enrolled",IF(I265&lt;&gt;"","Admitted",IF(H265&lt;&gt;"","Applied",IF(G265&lt;&gt;"","Contacted","New"))))</f>
        <v>Contacted</v>
      </c>
      <c r="M265" s="32" t="n">
        <f aca="false">IF(G265="","",G265-B265)</f>
        <v>3</v>
      </c>
      <c r="N265" s="24" t="str">
        <f aca="false">IF(COUNTIF($A$2:A265,A265)&gt;1,"Duplicate ID",IF(C265="","Missing source",IF(OR(AND(G265&lt;&gt;"",G265&lt;B265),AND(H265&lt;&gt;"",H265&lt;B265),AND(I265&lt;&gt;"",I265&lt;H265),AND(J265&lt;&gt;"",J265&lt;I265)),"Date error","OK")))</f>
        <v>OK</v>
      </c>
    </row>
    <row r="266" customFormat="false" ht="15" hidden="false" customHeight="false" outlineLevel="0" collapsed="false">
      <c r="A266" s="24" t="s">
        <v>346</v>
      </c>
      <c r="B266" s="31" t="n">
        <v>46132</v>
      </c>
      <c r="C266" s="24" t="s">
        <v>24</v>
      </c>
      <c r="D266" s="24" t="s">
        <v>33</v>
      </c>
      <c r="E266" s="24" t="s">
        <v>79</v>
      </c>
      <c r="F266" s="24" t="s">
        <v>45</v>
      </c>
      <c r="G266" s="31" t="n">
        <v>46134</v>
      </c>
      <c r="H266" s="31" t="n">
        <v>46137</v>
      </c>
      <c r="I266" s="31" t="n">
        <v>46150</v>
      </c>
      <c r="J266" s="24"/>
      <c r="K266" s="24" t="n">
        <v>0</v>
      </c>
      <c r="L266" s="24" t="str">
        <f aca="false">IF(J266&lt;&gt;"","Enrolled",IF(I266&lt;&gt;"","Admitted",IF(H266&lt;&gt;"","Applied",IF(G266&lt;&gt;"","Contacted","New"))))</f>
        <v>Admitted</v>
      </c>
      <c r="M266" s="32" t="n">
        <f aca="false">IF(G266="","",G266-B266)</f>
        <v>2</v>
      </c>
      <c r="N266" s="24" t="str">
        <f aca="false">IF(COUNTIF($A$2:A266,A266)&gt;1,"Duplicate ID",IF(C266="","Missing source",IF(OR(AND(G266&lt;&gt;"",G266&lt;B266),AND(H266&lt;&gt;"",H266&lt;B266),AND(I266&lt;&gt;"",I266&lt;H266),AND(J266&lt;&gt;"",J266&lt;I266)),"Date error","OK")))</f>
        <v>OK</v>
      </c>
    </row>
    <row r="267" customFormat="false" ht="15" hidden="false" customHeight="false" outlineLevel="0" collapsed="false">
      <c r="A267" s="24" t="s">
        <v>347</v>
      </c>
      <c r="B267" s="31" t="n">
        <v>46132</v>
      </c>
      <c r="C267" s="24" t="s">
        <v>26</v>
      </c>
      <c r="D267" s="24" t="s">
        <v>34</v>
      </c>
      <c r="E267" s="24" t="s">
        <v>89</v>
      </c>
      <c r="F267" s="24" t="s">
        <v>44</v>
      </c>
      <c r="G267" s="31" t="n">
        <v>46132</v>
      </c>
      <c r="H267" s="24"/>
      <c r="I267" s="24"/>
      <c r="J267" s="24"/>
      <c r="K267" s="24" t="n">
        <v>6</v>
      </c>
      <c r="L267" s="24" t="str">
        <f aca="false">IF(J267&lt;&gt;"","Enrolled",IF(I267&lt;&gt;"","Admitted",IF(H267&lt;&gt;"","Applied",IF(G267&lt;&gt;"","Contacted","New"))))</f>
        <v>Contacted</v>
      </c>
      <c r="M267" s="32" t="n">
        <f aca="false">IF(G267="","",G267-B267)</f>
        <v>0</v>
      </c>
      <c r="N267" s="24" t="str">
        <f aca="false">IF(COUNTIF($A$2:A267,A267)&gt;1,"Duplicate ID",IF(C267="","Missing source",IF(OR(AND(G267&lt;&gt;"",G267&lt;B267),AND(H267&lt;&gt;"",H267&lt;B267),AND(I267&lt;&gt;"",I267&lt;H267),AND(J267&lt;&gt;"",J267&lt;I267)),"Date error","OK")))</f>
        <v>OK</v>
      </c>
    </row>
    <row r="268" customFormat="false" ht="15" hidden="false" customHeight="false" outlineLevel="0" collapsed="false">
      <c r="A268" s="24" t="s">
        <v>348</v>
      </c>
      <c r="B268" s="31" t="n">
        <v>46132</v>
      </c>
      <c r="C268" s="24" t="s">
        <v>22</v>
      </c>
      <c r="D268" s="24" t="s">
        <v>35</v>
      </c>
      <c r="E268" s="24" t="s">
        <v>79</v>
      </c>
      <c r="F268" s="24" t="s">
        <v>41</v>
      </c>
      <c r="G268" s="31" t="n">
        <v>46133</v>
      </c>
      <c r="H268" s="24"/>
      <c r="I268" s="24"/>
      <c r="J268" s="24"/>
      <c r="K268" s="24" t="n">
        <v>5</v>
      </c>
      <c r="L268" s="24" t="str">
        <f aca="false">IF(J268&lt;&gt;"","Enrolled",IF(I268&lt;&gt;"","Admitted",IF(H268&lt;&gt;"","Applied",IF(G268&lt;&gt;"","Contacted","New"))))</f>
        <v>Contacted</v>
      </c>
      <c r="M268" s="32" t="n">
        <f aca="false">IF(G268="","",G268-B268)</f>
        <v>1</v>
      </c>
      <c r="N268" s="24" t="str">
        <f aca="false">IF(COUNTIF($A$2:A268,A268)&gt;1,"Duplicate ID",IF(C268="","Missing source",IF(OR(AND(G268&lt;&gt;"",G268&lt;B268),AND(H268&lt;&gt;"",H268&lt;B268),AND(I268&lt;&gt;"",I268&lt;H268),AND(J268&lt;&gt;"",J268&lt;I268)),"Date error","OK")))</f>
        <v>OK</v>
      </c>
    </row>
    <row r="269" customFormat="false" ht="15" hidden="false" customHeight="false" outlineLevel="0" collapsed="false">
      <c r="A269" s="24" t="s">
        <v>349</v>
      </c>
      <c r="B269" s="31" t="n">
        <v>46132</v>
      </c>
      <c r="C269" s="24" t="s">
        <v>21</v>
      </c>
      <c r="D269" s="24" t="s">
        <v>32</v>
      </c>
      <c r="E269" s="24" t="s">
        <v>79</v>
      </c>
      <c r="F269" s="24" t="s">
        <v>42</v>
      </c>
      <c r="G269" s="24"/>
      <c r="H269" s="24"/>
      <c r="I269" s="24"/>
      <c r="J269" s="24"/>
      <c r="K269" s="24" t="n">
        <v>0</v>
      </c>
      <c r="L269" s="24" t="str">
        <f aca="false">IF(J269&lt;&gt;"","Enrolled",IF(I269&lt;&gt;"","Admitted",IF(H269&lt;&gt;"","Applied",IF(G269&lt;&gt;"","Contacted","New"))))</f>
        <v>New</v>
      </c>
      <c r="M269" s="32" t="str">
        <f aca="false">IF(G269="","",G269-B269)</f>
        <v/>
      </c>
      <c r="N269" s="24" t="str">
        <f aca="false">IF(COUNTIF($A$2:A269,A269)&gt;1,"Duplicate ID",IF(C269="","Missing source",IF(OR(AND(G269&lt;&gt;"",G269&lt;B269),AND(H269&lt;&gt;"",H269&lt;B269),AND(I269&lt;&gt;"",I269&lt;H269),AND(J269&lt;&gt;"",J269&lt;I269)),"Date error","OK")))</f>
        <v>OK</v>
      </c>
    </row>
    <row r="270" customFormat="false" ht="15" hidden="false" customHeight="false" outlineLevel="0" collapsed="false">
      <c r="A270" s="24" t="s">
        <v>350</v>
      </c>
      <c r="B270" s="31" t="n">
        <v>46133</v>
      </c>
      <c r="C270" s="24" t="s">
        <v>25</v>
      </c>
      <c r="D270" s="24" t="s">
        <v>33</v>
      </c>
      <c r="E270" s="24" t="s">
        <v>89</v>
      </c>
      <c r="F270" s="24" t="s">
        <v>45</v>
      </c>
      <c r="G270" s="31" t="n">
        <v>46137</v>
      </c>
      <c r="H270" s="24"/>
      <c r="I270" s="24"/>
      <c r="J270" s="24"/>
      <c r="K270" s="24" t="n">
        <v>1</v>
      </c>
      <c r="L270" s="24" t="str">
        <f aca="false">IF(J270&lt;&gt;"","Enrolled",IF(I270&lt;&gt;"","Admitted",IF(H270&lt;&gt;"","Applied",IF(G270&lt;&gt;"","Contacted","New"))))</f>
        <v>Contacted</v>
      </c>
      <c r="M270" s="32" t="n">
        <f aca="false">IF(G270="","",G270-B270)</f>
        <v>4</v>
      </c>
      <c r="N270" s="24" t="str">
        <f aca="false">IF(COUNTIF($A$2:A270,A270)&gt;1,"Duplicate ID",IF(C270="","Missing source",IF(OR(AND(G270&lt;&gt;"",G270&lt;B270),AND(H270&lt;&gt;"",H270&lt;B270),AND(I270&lt;&gt;"",I270&lt;H270),AND(J270&lt;&gt;"",J270&lt;I270)),"Date error","OK")))</f>
        <v>OK</v>
      </c>
    </row>
    <row r="271" customFormat="false" ht="15" hidden="false" customHeight="false" outlineLevel="0" collapsed="false">
      <c r="A271" s="24" t="s">
        <v>351</v>
      </c>
      <c r="B271" s="31" t="n">
        <v>46133</v>
      </c>
      <c r="C271" s="24" t="s">
        <v>26</v>
      </c>
      <c r="D271" s="24" t="s">
        <v>36</v>
      </c>
      <c r="E271" s="24" t="s">
        <v>79</v>
      </c>
      <c r="F271" s="24" t="s">
        <v>44</v>
      </c>
      <c r="G271" s="31" t="n">
        <v>46134</v>
      </c>
      <c r="H271" s="24"/>
      <c r="I271" s="24"/>
      <c r="J271" s="24"/>
      <c r="K271" s="24" t="n">
        <v>2</v>
      </c>
      <c r="L271" s="24" t="str">
        <f aca="false">IF(J271&lt;&gt;"","Enrolled",IF(I271&lt;&gt;"","Admitted",IF(H271&lt;&gt;"","Applied",IF(G271&lt;&gt;"","Contacted","New"))))</f>
        <v>Contacted</v>
      </c>
      <c r="M271" s="32" t="n">
        <f aca="false">IF(G271="","",G271-B271)</f>
        <v>1</v>
      </c>
      <c r="N271" s="24" t="str">
        <f aca="false">IF(COUNTIF($A$2:A271,A271)&gt;1,"Duplicate ID",IF(C271="","Missing source",IF(OR(AND(G271&lt;&gt;"",G271&lt;B271),AND(H271&lt;&gt;"",H271&lt;B271),AND(I271&lt;&gt;"",I271&lt;H271),AND(J271&lt;&gt;"",J271&lt;I271)),"Date error","OK")))</f>
        <v>OK</v>
      </c>
    </row>
    <row r="272" customFormat="false" ht="15" hidden="false" customHeight="false" outlineLevel="0" collapsed="false">
      <c r="A272" s="24" t="s">
        <v>352</v>
      </c>
      <c r="B272" s="31" t="n">
        <v>46133</v>
      </c>
      <c r="C272" s="24" t="s">
        <v>26</v>
      </c>
      <c r="D272" s="24" t="s">
        <v>32</v>
      </c>
      <c r="E272" s="24" t="s">
        <v>89</v>
      </c>
      <c r="F272" s="24" t="s">
        <v>43</v>
      </c>
      <c r="G272" s="31" t="n">
        <v>46134</v>
      </c>
      <c r="H272" s="24"/>
      <c r="I272" s="24"/>
      <c r="J272" s="24"/>
      <c r="K272" s="24" t="n">
        <v>3</v>
      </c>
      <c r="L272" s="24" t="str">
        <f aca="false">IF(J272&lt;&gt;"","Enrolled",IF(I272&lt;&gt;"","Admitted",IF(H272&lt;&gt;"","Applied",IF(G272&lt;&gt;"","Contacted","New"))))</f>
        <v>Contacted</v>
      </c>
      <c r="M272" s="32" t="n">
        <f aca="false">IF(G272="","",G272-B272)</f>
        <v>1</v>
      </c>
      <c r="N272" s="24" t="str">
        <f aca="false">IF(COUNTIF($A$2:A272,A272)&gt;1,"Duplicate ID",IF(C272="","Missing source",IF(OR(AND(G272&lt;&gt;"",G272&lt;B272),AND(H272&lt;&gt;"",H272&lt;B272),AND(I272&lt;&gt;"",I272&lt;H272),AND(J272&lt;&gt;"",J272&lt;I272)),"Date error","OK")))</f>
        <v>OK</v>
      </c>
    </row>
    <row r="273" customFormat="false" ht="15" hidden="false" customHeight="false" outlineLevel="0" collapsed="false">
      <c r="A273" s="24" t="s">
        <v>353</v>
      </c>
      <c r="B273" s="31" t="n">
        <v>46133</v>
      </c>
      <c r="C273" s="24" t="s">
        <v>27</v>
      </c>
      <c r="D273" s="24" t="s">
        <v>32</v>
      </c>
      <c r="E273" s="24" t="s">
        <v>89</v>
      </c>
      <c r="F273" s="24" t="s">
        <v>45</v>
      </c>
      <c r="G273" s="31" t="n">
        <v>46136</v>
      </c>
      <c r="H273" s="24"/>
      <c r="I273" s="24"/>
      <c r="J273" s="24"/>
      <c r="K273" s="24" t="n">
        <v>1</v>
      </c>
      <c r="L273" s="24" t="str">
        <f aca="false">IF(J273&lt;&gt;"","Enrolled",IF(I273&lt;&gt;"","Admitted",IF(H273&lt;&gt;"","Applied",IF(G273&lt;&gt;"","Contacted","New"))))</f>
        <v>Contacted</v>
      </c>
      <c r="M273" s="32" t="n">
        <f aca="false">IF(G273="","",G273-B273)</f>
        <v>3</v>
      </c>
      <c r="N273" s="24" t="str">
        <f aca="false">IF(COUNTIF($A$2:A273,A273)&gt;1,"Duplicate ID",IF(C273="","Missing source",IF(OR(AND(G273&lt;&gt;"",G273&lt;B273),AND(H273&lt;&gt;"",H273&lt;B273),AND(I273&lt;&gt;"",I273&lt;H273),AND(J273&lt;&gt;"",J273&lt;I273)),"Date error","OK")))</f>
        <v>OK</v>
      </c>
    </row>
    <row r="274" customFormat="false" ht="15" hidden="false" customHeight="false" outlineLevel="0" collapsed="false">
      <c r="A274" s="24" t="s">
        <v>354</v>
      </c>
      <c r="B274" s="31" t="n">
        <v>46133</v>
      </c>
      <c r="C274" s="24" t="s">
        <v>22</v>
      </c>
      <c r="D274" s="24" t="s">
        <v>32</v>
      </c>
      <c r="E274" s="24" t="s">
        <v>89</v>
      </c>
      <c r="F274" s="24" t="s">
        <v>43</v>
      </c>
      <c r="G274" s="31" t="n">
        <v>46133</v>
      </c>
      <c r="H274" s="24"/>
      <c r="I274" s="24"/>
      <c r="J274" s="24"/>
      <c r="K274" s="24" t="n">
        <v>4</v>
      </c>
      <c r="L274" s="24" t="str">
        <f aca="false">IF(J274&lt;&gt;"","Enrolled",IF(I274&lt;&gt;"","Admitted",IF(H274&lt;&gt;"","Applied",IF(G274&lt;&gt;"","Contacted","New"))))</f>
        <v>Contacted</v>
      </c>
      <c r="M274" s="32" t="n">
        <f aca="false">IF(G274="","",G274-B274)</f>
        <v>0</v>
      </c>
      <c r="N274" s="24" t="str">
        <f aca="false">IF(COUNTIF($A$2:A274,A274)&gt;1,"Duplicate ID",IF(C274="","Missing source",IF(OR(AND(G274&lt;&gt;"",G274&lt;B274),AND(H274&lt;&gt;"",H274&lt;B274),AND(I274&lt;&gt;"",I274&lt;H274),AND(J274&lt;&gt;"",J274&lt;I274)),"Date error","OK")))</f>
        <v>OK</v>
      </c>
    </row>
    <row r="275" customFormat="false" ht="15" hidden="false" customHeight="false" outlineLevel="0" collapsed="false">
      <c r="A275" s="24" t="s">
        <v>355</v>
      </c>
      <c r="B275" s="31" t="n">
        <v>46134</v>
      </c>
      <c r="C275" s="24" t="s">
        <v>23</v>
      </c>
      <c r="D275" s="24" t="s">
        <v>34</v>
      </c>
      <c r="E275" s="24" t="s">
        <v>89</v>
      </c>
      <c r="F275" s="24" t="s">
        <v>43</v>
      </c>
      <c r="G275" s="31" t="n">
        <v>46134</v>
      </c>
      <c r="H275" s="24"/>
      <c r="I275" s="24"/>
      <c r="J275" s="24"/>
      <c r="K275" s="24" t="n">
        <v>1</v>
      </c>
      <c r="L275" s="24" t="str">
        <f aca="false">IF(J275&lt;&gt;"","Enrolled",IF(I275&lt;&gt;"","Admitted",IF(H275&lt;&gt;"","Applied",IF(G275&lt;&gt;"","Contacted","New"))))</f>
        <v>Contacted</v>
      </c>
      <c r="M275" s="32" t="n">
        <f aca="false">IF(G275="","",G275-B275)</f>
        <v>0</v>
      </c>
      <c r="N275" s="24" t="str">
        <f aca="false">IF(COUNTIF($A$2:A275,A275)&gt;1,"Duplicate ID",IF(C275="","Missing source",IF(OR(AND(G275&lt;&gt;"",G275&lt;B275),AND(H275&lt;&gt;"",H275&lt;B275),AND(I275&lt;&gt;"",I275&lt;H275),AND(J275&lt;&gt;"",J275&lt;I275)),"Date error","OK")))</f>
        <v>OK</v>
      </c>
    </row>
    <row r="276" customFormat="false" ht="15" hidden="false" customHeight="false" outlineLevel="0" collapsed="false">
      <c r="A276" s="24" t="s">
        <v>356</v>
      </c>
      <c r="B276" s="31" t="n">
        <v>46134</v>
      </c>
      <c r="C276" s="24" t="s">
        <v>26</v>
      </c>
      <c r="D276" s="24" t="s">
        <v>35</v>
      </c>
      <c r="E276" s="24" t="s">
        <v>81</v>
      </c>
      <c r="F276" s="24" t="s">
        <v>41</v>
      </c>
      <c r="G276" s="31" t="n">
        <v>46134</v>
      </c>
      <c r="H276" s="24"/>
      <c r="I276" s="24"/>
      <c r="J276" s="24"/>
      <c r="K276" s="24" t="n">
        <v>5</v>
      </c>
      <c r="L276" s="24" t="str">
        <f aca="false">IF(J276&lt;&gt;"","Enrolled",IF(I276&lt;&gt;"","Admitted",IF(H276&lt;&gt;"","Applied",IF(G276&lt;&gt;"","Contacted","New"))))</f>
        <v>Contacted</v>
      </c>
      <c r="M276" s="32" t="n">
        <f aca="false">IF(G276="","",G276-B276)</f>
        <v>0</v>
      </c>
      <c r="N276" s="24" t="str">
        <f aca="false">IF(COUNTIF($A$2:A276,A276)&gt;1,"Duplicate ID",IF(C276="","Missing source",IF(OR(AND(G276&lt;&gt;"",G276&lt;B276),AND(H276&lt;&gt;"",H276&lt;B276),AND(I276&lt;&gt;"",I276&lt;H276),AND(J276&lt;&gt;"",J276&lt;I276)),"Date error","OK")))</f>
        <v>OK</v>
      </c>
    </row>
    <row r="277" customFormat="false" ht="15" hidden="false" customHeight="false" outlineLevel="0" collapsed="false">
      <c r="A277" s="24" t="s">
        <v>357</v>
      </c>
      <c r="B277" s="31" t="n">
        <v>46134</v>
      </c>
      <c r="C277" s="24" t="s">
        <v>24</v>
      </c>
      <c r="D277" s="24" t="s">
        <v>32</v>
      </c>
      <c r="E277" s="24" t="s">
        <v>94</v>
      </c>
      <c r="F277" s="24" t="s">
        <v>40</v>
      </c>
      <c r="G277" s="31" t="n">
        <v>46135</v>
      </c>
      <c r="H277" s="24"/>
      <c r="I277" s="24"/>
      <c r="J277" s="24"/>
      <c r="K277" s="24" t="n">
        <v>2</v>
      </c>
      <c r="L277" s="24" t="str">
        <f aca="false">IF(J277&lt;&gt;"","Enrolled",IF(I277&lt;&gt;"","Admitted",IF(H277&lt;&gt;"","Applied",IF(G277&lt;&gt;"","Contacted","New"))))</f>
        <v>Contacted</v>
      </c>
      <c r="M277" s="32" t="n">
        <f aca="false">IF(G277="","",G277-B277)</f>
        <v>1</v>
      </c>
      <c r="N277" s="24" t="str">
        <f aca="false">IF(COUNTIF($A$2:A277,A277)&gt;1,"Duplicate ID",IF(C277="","Missing source",IF(OR(AND(G277&lt;&gt;"",G277&lt;B277),AND(H277&lt;&gt;"",H277&lt;B277),AND(I277&lt;&gt;"",I277&lt;H277),AND(J277&lt;&gt;"",J277&lt;I277)),"Date error","OK")))</f>
        <v>OK</v>
      </c>
    </row>
    <row r="278" customFormat="false" ht="15" hidden="false" customHeight="false" outlineLevel="0" collapsed="false">
      <c r="A278" s="24" t="s">
        <v>358</v>
      </c>
      <c r="B278" s="31" t="n">
        <v>46135</v>
      </c>
      <c r="C278" s="24" t="s">
        <v>22</v>
      </c>
      <c r="D278" s="24" t="s">
        <v>32</v>
      </c>
      <c r="E278" s="24" t="s">
        <v>89</v>
      </c>
      <c r="F278" s="24" t="s">
        <v>40</v>
      </c>
      <c r="G278" s="31" t="n">
        <v>46136</v>
      </c>
      <c r="H278" s="24"/>
      <c r="I278" s="24"/>
      <c r="J278" s="24"/>
      <c r="K278" s="24" t="n">
        <v>5</v>
      </c>
      <c r="L278" s="24" t="str">
        <f aca="false">IF(J278&lt;&gt;"","Enrolled",IF(I278&lt;&gt;"","Admitted",IF(H278&lt;&gt;"","Applied",IF(G278&lt;&gt;"","Contacted","New"))))</f>
        <v>Contacted</v>
      </c>
      <c r="M278" s="32" t="n">
        <f aca="false">IF(G278="","",G278-B278)</f>
        <v>1</v>
      </c>
      <c r="N278" s="24" t="str">
        <f aca="false">IF(COUNTIF($A$2:A278,A278)&gt;1,"Duplicate ID",IF(C278="","Missing source",IF(OR(AND(G278&lt;&gt;"",G278&lt;B278),AND(H278&lt;&gt;"",H278&lt;B278),AND(I278&lt;&gt;"",I278&lt;H278),AND(J278&lt;&gt;"",J278&lt;I278)),"Date error","OK")))</f>
        <v>OK</v>
      </c>
    </row>
    <row r="279" customFormat="false" ht="15" hidden="false" customHeight="false" outlineLevel="0" collapsed="false">
      <c r="A279" s="24" t="s">
        <v>359</v>
      </c>
      <c r="B279" s="31" t="n">
        <v>46135</v>
      </c>
      <c r="C279" s="24" t="s">
        <v>25</v>
      </c>
      <c r="D279" s="24" t="s">
        <v>32</v>
      </c>
      <c r="E279" s="24" t="s">
        <v>84</v>
      </c>
      <c r="F279" s="24" t="s">
        <v>40</v>
      </c>
      <c r="G279" s="24"/>
      <c r="H279" s="24"/>
      <c r="I279" s="24"/>
      <c r="J279" s="24"/>
      <c r="K279" s="24" t="n">
        <v>0</v>
      </c>
      <c r="L279" s="24" t="str">
        <f aca="false">IF(J279&lt;&gt;"","Enrolled",IF(I279&lt;&gt;"","Admitted",IF(H279&lt;&gt;"","Applied",IF(G279&lt;&gt;"","Contacted","New"))))</f>
        <v>New</v>
      </c>
      <c r="M279" s="32" t="str">
        <f aca="false">IF(G279="","",G279-B279)</f>
        <v/>
      </c>
      <c r="N279" s="24" t="str">
        <f aca="false">IF(COUNTIF($A$2:A279,A279)&gt;1,"Duplicate ID",IF(C279="","Missing source",IF(OR(AND(G279&lt;&gt;"",G279&lt;B279),AND(H279&lt;&gt;"",H279&lt;B279),AND(I279&lt;&gt;"",I279&lt;H279),AND(J279&lt;&gt;"",J279&lt;I279)),"Date error","OK")))</f>
        <v>OK</v>
      </c>
    </row>
    <row r="280" customFormat="false" ht="15" hidden="false" customHeight="false" outlineLevel="0" collapsed="false">
      <c r="A280" s="24" t="s">
        <v>360</v>
      </c>
      <c r="B280" s="31" t="n">
        <v>46135</v>
      </c>
      <c r="C280" s="24" t="s">
        <v>25</v>
      </c>
      <c r="D280" s="24" t="s">
        <v>34</v>
      </c>
      <c r="E280" s="24" t="s">
        <v>89</v>
      </c>
      <c r="F280" s="24" t="s">
        <v>43</v>
      </c>
      <c r="G280" s="31" t="n">
        <v>46137</v>
      </c>
      <c r="H280" s="24"/>
      <c r="I280" s="24"/>
      <c r="J280" s="24"/>
      <c r="K280" s="24" t="n">
        <v>1</v>
      </c>
      <c r="L280" s="24" t="str">
        <f aca="false">IF(J280&lt;&gt;"","Enrolled",IF(I280&lt;&gt;"","Admitted",IF(H280&lt;&gt;"","Applied",IF(G280&lt;&gt;"","Contacted","New"))))</f>
        <v>Contacted</v>
      </c>
      <c r="M280" s="32" t="n">
        <f aca="false">IF(G280="","",G280-B280)</f>
        <v>2</v>
      </c>
      <c r="N280" s="24" t="str">
        <f aca="false">IF(COUNTIF($A$2:A280,A280)&gt;1,"Duplicate ID",IF(C280="","Missing source",IF(OR(AND(G280&lt;&gt;"",G280&lt;B280),AND(H280&lt;&gt;"",H280&lt;B280),AND(I280&lt;&gt;"",I280&lt;H280),AND(J280&lt;&gt;"",J280&lt;I280)),"Date error","OK")))</f>
        <v>OK</v>
      </c>
    </row>
    <row r="281" customFormat="false" ht="15" hidden="false" customHeight="false" outlineLevel="0" collapsed="false">
      <c r="A281" s="24" t="s">
        <v>361</v>
      </c>
      <c r="B281" s="31" t="n">
        <v>46135</v>
      </c>
      <c r="C281" s="24" t="s">
        <v>25</v>
      </c>
      <c r="D281" s="24" t="s">
        <v>34</v>
      </c>
      <c r="E281" s="24" t="s">
        <v>79</v>
      </c>
      <c r="F281" s="24" t="s">
        <v>43</v>
      </c>
      <c r="G281" s="31" t="n">
        <v>46140</v>
      </c>
      <c r="H281" s="24"/>
      <c r="I281" s="24"/>
      <c r="J281" s="24"/>
      <c r="K281" s="24" t="n">
        <v>4</v>
      </c>
      <c r="L281" s="24" t="str">
        <f aca="false">IF(J281&lt;&gt;"","Enrolled",IF(I281&lt;&gt;"","Admitted",IF(H281&lt;&gt;"","Applied",IF(G281&lt;&gt;"","Contacted","New"))))</f>
        <v>Contacted</v>
      </c>
      <c r="M281" s="32" t="n">
        <f aca="false">IF(G281="","",G281-B281)</f>
        <v>5</v>
      </c>
      <c r="N281" s="24" t="str">
        <f aca="false">IF(COUNTIF($A$2:A281,A281)&gt;1,"Duplicate ID",IF(C281="","Missing source",IF(OR(AND(G281&lt;&gt;"",G281&lt;B281),AND(H281&lt;&gt;"",H281&lt;B281),AND(I281&lt;&gt;"",I281&lt;H281),AND(J281&lt;&gt;"",J281&lt;I281)),"Date error","OK")))</f>
        <v>OK</v>
      </c>
    </row>
    <row r="282" customFormat="false" ht="15" hidden="false" customHeight="false" outlineLevel="0" collapsed="false">
      <c r="A282" s="24" t="s">
        <v>362</v>
      </c>
      <c r="B282" s="31" t="n">
        <v>46135</v>
      </c>
      <c r="C282" s="24" t="s">
        <v>23</v>
      </c>
      <c r="D282" s="24" t="s">
        <v>36</v>
      </c>
      <c r="E282" s="24" t="s">
        <v>84</v>
      </c>
      <c r="F282" s="24" t="s">
        <v>41</v>
      </c>
      <c r="G282" s="31" t="n">
        <v>46136</v>
      </c>
      <c r="H282" s="31" t="n">
        <v>46144</v>
      </c>
      <c r="I282" s="31" t="n">
        <v>46159</v>
      </c>
      <c r="J282" s="24"/>
      <c r="K282" s="24" t="n">
        <v>2</v>
      </c>
      <c r="L282" s="24" t="str">
        <f aca="false">IF(J282&lt;&gt;"","Enrolled",IF(I282&lt;&gt;"","Admitted",IF(H282&lt;&gt;"","Applied",IF(G282&lt;&gt;"","Contacted","New"))))</f>
        <v>Admitted</v>
      </c>
      <c r="M282" s="32" t="n">
        <f aca="false">IF(G282="","",G282-B282)</f>
        <v>1</v>
      </c>
      <c r="N282" s="24" t="str">
        <f aca="false">IF(COUNTIF($A$2:A282,A282)&gt;1,"Duplicate ID",IF(C282="","Missing source",IF(OR(AND(G282&lt;&gt;"",G282&lt;B282),AND(H282&lt;&gt;"",H282&lt;B282),AND(I282&lt;&gt;"",I282&lt;H282),AND(J282&lt;&gt;"",J282&lt;I282)),"Date error","OK")))</f>
        <v>OK</v>
      </c>
    </row>
    <row r="283" customFormat="false" ht="15" hidden="false" customHeight="false" outlineLevel="0" collapsed="false">
      <c r="A283" s="24" t="s">
        <v>363</v>
      </c>
      <c r="B283" s="31" t="n">
        <v>46135</v>
      </c>
      <c r="C283" s="24" t="s">
        <v>25</v>
      </c>
      <c r="D283" s="24" t="s">
        <v>33</v>
      </c>
      <c r="E283" s="24" t="s">
        <v>79</v>
      </c>
      <c r="F283" s="24" t="s">
        <v>41</v>
      </c>
      <c r="G283" s="24"/>
      <c r="H283" s="24"/>
      <c r="I283" s="24"/>
      <c r="J283" s="24"/>
      <c r="K283" s="24" t="n">
        <v>0</v>
      </c>
      <c r="L283" s="24" t="str">
        <f aca="false">IF(J283&lt;&gt;"","Enrolled",IF(I283&lt;&gt;"","Admitted",IF(H283&lt;&gt;"","Applied",IF(G283&lt;&gt;"","Contacted","New"))))</f>
        <v>New</v>
      </c>
      <c r="M283" s="32" t="str">
        <f aca="false">IF(G283="","",G283-B283)</f>
        <v/>
      </c>
      <c r="N283" s="24" t="str">
        <f aca="false">IF(COUNTIF($A$2:A283,A283)&gt;1,"Duplicate ID",IF(C283="","Missing source",IF(OR(AND(G283&lt;&gt;"",G283&lt;B283),AND(H283&lt;&gt;"",H283&lt;B283),AND(I283&lt;&gt;"",I283&lt;H283),AND(J283&lt;&gt;"",J283&lt;I283)),"Date error","OK")))</f>
        <v>OK</v>
      </c>
    </row>
    <row r="284" customFormat="false" ht="15" hidden="false" customHeight="false" outlineLevel="0" collapsed="false">
      <c r="A284" s="24" t="s">
        <v>364</v>
      </c>
      <c r="B284" s="31" t="n">
        <v>46135</v>
      </c>
      <c r="C284" s="24" t="s">
        <v>23</v>
      </c>
      <c r="D284" s="24" t="s">
        <v>36</v>
      </c>
      <c r="E284" s="24" t="s">
        <v>84</v>
      </c>
      <c r="F284" s="24" t="s">
        <v>42</v>
      </c>
      <c r="G284" s="31" t="n">
        <v>46135</v>
      </c>
      <c r="H284" s="31" t="n">
        <v>46154</v>
      </c>
      <c r="I284" s="24"/>
      <c r="J284" s="24"/>
      <c r="K284" s="24" t="n">
        <v>1</v>
      </c>
      <c r="L284" s="24" t="str">
        <f aca="false">IF(J284&lt;&gt;"","Enrolled",IF(I284&lt;&gt;"","Admitted",IF(H284&lt;&gt;"","Applied",IF(G284&lt;&gt;"","Contacted","New"))))</f>
        <v>Applied</v>
      </c>
      <c r="M284" s="32" t="n">
        <f aca="false">IF(G284="","",G284-B284)</f>
        <v>0</v>
      </c>
      <c r="N284" s="24" t="str">
        <f aca="false">IF(COUNTIF($A$2:A284,A284)&gt;1,"Duplicate ID",IF(C284="","Missing source",IF(OR(AND(G284&lt;&gt;"",G284&lt;B284),AND(H284&lt;&gt;"",H284&lt;B284),AND(I284&lt;&gt;"",I284&lt;H284),AND(J284&lt;&gt;"",J284&lt;I284)),"Date error","OK")))</f>
        <v>OK</v>
      </c>
    </row>
    <row r="285" customFormat="false" ht="15" hidden="false" customHeight="false" outlineLevel="0" collapsed="false">
      <c r="A285" s="24" t="s">
        <v>365</v>
      </c>
      <c r="B285" s="31" t="n">
        <v>46135</v>
      </c>
      <c r="C285" s="24" t="s">
        <v>25</v>
      </c>
      <c r="D285" s="24" t="s">
        <v>34</v>
      </c>
      <c r="E285" s="24" t="s">
        <v>89</v>
      </c>
      <c r="F285" s="24" t="s">
        <v>42</v>
      </c>
      <c r="G285" s="31" t="n">
        <v>46138</v>
      </c>
      <c r="H285" s="31" t="n">
        <v>46148</v>
      </c>
      <c r="I285" s="31" t="n">
        <v>46163</v>
      </c>
      <c r="J285" s="24"/>
      <c r="K285" s="24" t="n">
        <v>2</v>
      </c>
      <c r="L285" s="24" t="str">
        <f aca="false">IF(J285&lt;&gt;"","Enrolled",IF(I285&lt;&gt;"","Admitted",IF(H285&lt;&gt;"","Applied",IF(G285&lt;&gt;"","Contacted","New"))))</f>
        <v>Admitted</v>
      </c>
      <c r="M285" s="32" t="n">
        <f aca="false">IF(G285="","",G285-B285)</f>
        <v>3</v>
      </c>
      <c r="N285" s="24" t="str">
        <f aca="false">IF(COUNTIF($A$2:A285,A285)&gt;1,"Duplicate ID",IF(C285="","Missing source",IF(OR(AND(G285&lt;&gt;"",G285&lt;B285),AND(H285&lt;&gt;"",H285&lt;B285),AND(I285&lt;&gt;"",I285&lt;H285),AND(J285&lt;&gt;"",J285&lt;I285)),"Date error","OK")))</f>
        <v>OK</v>
      </c>
    </row>
    <row r="286" customFormat="false" ht="15" hidden="false" customHeight="false" outlineLevel="0" collapsed="false">
      <c r="A286" s="24" t="s">
        <v>366</v>
      </c>
      <c r="B286" s="31" t="n">
        <v>46136</v>
      </c>
      <c r="C286" s="24" t="s">
        <v>26</v>
      </c>
      <c r="D286" s="24" t="s">
        <v>36</v>
      </c>
      <c r="E286" s="24" t="s">
        <v>79</v>
      </c>
      <c r="F286" s="24" t="s">
        <v>43</v>
      </c>
      <c r="G286" s="31" t="n">
        <v>46141</v>
      </c>
      <c r="H286" s="24"/>
      <c r="I286" s="24"/>
      <c r="J286" s="24"/>
      <c r="K286" s="24" t="n">
        <v>1</v>
      </c>
      <c r="L286" s="24" t="str">
        <f aca="false">IF(J286&lt;&gt;"","Enrolled",IF(I286&lt;&gt;"","Admitted",IF(H286&lt;&gt;"","Applied",IF(G286&lt;&gt;"","Contacted","New"))))</f>
        <v>Contacted</v>
      </c>
      <c r="M286" s="32" t="n">
        <f aca="false">IF(G286="","",G286-B286)</f>
        <v>5</v>
      </c>
      <c r="N286" s="24" t="str">
        <f aca="false">IF(COUNTIF($A$2:A286,A286)&gt;1,"Duplicate ID",IF(C286="","Missing source",IF(OR(AND(G286&lt;&gt;"",G286&lt;B286),AND(H286&lt;&gt;"",H286&lt;B286),AND(I286&lt;&gt;"",I286&lt;H286),AND(J286&lt;&gt;"",J286&lt;I286)),"Date error","OK")))</f>
        <v>OK</v>
      </c>
    </row>
    <row r="287" customFormat="false" ht="15" hidden="false" customHeight="false" outlineLevel="0" collapsed="false">
      <c r="A287" s="24" t="s">
        <v>367</v>
      </c>
      <c r="B287" s="31" t="n">
        <v>46136</v>
      </c>
      <c r="C287" s="24" t="s">
        <v>26</v>
      </c>
      <c r="D287" s="24" t="s">
        <v>34</v>
      </c>
      <c r="E287" s="24" t="s">
        <v>81</v>
      </c>
      <c r="F287" s="24" t="s">
        <v>44</v>
      </c>
      <c r="G287" s="31" t="n">
        <v>46137</v>
      </c>
      <c r="H287" s="24"/>
      <c r="I287" s="24"/>
      <c r="J287" s="24"/>
      <c r="K287" s="24" t="n">
        <v>2</v>
      </c>
      <c r="L287" s="24" t="str">
        <f aca="false">IF(J287&lt;&gt;"","Enrolled",IF(I287&lt;&gt;"","Admitted",IF(H287&lt;&gt;"","Applied",IF(G287&lt;&gt;"","Contacted","New"))))</f>
        <v>Contacted</v>
      </c>
      <c r="M287" s="32" t="n">
        <f aca="false">IF(G287="","",G287-B287)</f>
        <v>1</v>
      </c>
      <c r="N287" s="24" t="str">
        <f aca="false">IF(COUNTIF($A$2:A287,A287)&gt;1,"Duplicate ID",IF(C287="","Missing source",IF(OR(AND(G287&lt;&gt;"",G287&lt;B287),AND(H287&lt;&gt;"",H287&lt;B287),AND(I287&lt;&gt;"",I287&lt;H287),AND(J287&lt;&gt;"",J287&lt;I287)),"Date error","OK")))</f>
        <v>OK</v>
      </c>
    </row>
    <row r="288" customFormat="false" ht="15" hidden="false" customHeight="false" outlineLevel="0" collapsed="false">
      <c r="A288" s="24" t="s">
        <v>368</v>
      </c>
      <c r="B288" s="31" t="n">
        <v>46136</v>
      </c>
      <c r="C288" s="24" t="s">
        <v>26</v>
      </c>
      <c r="D288" s="24" t="s">
        <v>33</v>
      </c>
      <c r="E288" s="24" t="s">
        <v>89</v>
      </c>
      <c r="F288" s="24" t="s">
        <v>40</v>
      </c>
      <c r="G288" s="31" t="n">
        <v>46136</v>
      </c>
      <c r="H288" s="24"/>
      <c r="I288" s="24"/>
      <c r="J288" s="24"/>
      <c r="K288" s="24" t="n">
        <v>2</v>
      </c>
      <c r="L288" s="24" t="str">
        <f aca="false">IF(J288&lt;&gt;"","Enrolled",IF(I288&lt;&gt;"","Admitted",IF(H288&lt;&gt;"","Applied",IF(G288&lt;&gt;"","Contacted","New"))))</f>
        <v>Contacted</v>
      </c>
      <c r="M288" s="32" t="n">
        <f aca="false">IF(G288="","",G288-B288)</f>
        <v>0</v>
      </c>
      <c r="N288" s="24" t="str">
        <f aca="false">IF(COUNTIF($A$2:A288,A288)&gt;1,"Duplicate ID",IF(C288="","Missing source",IF(OR(AND(G288&lt;&gt;"",G288&lt;B288),AND(H288&lt;&gt;"",H288&lt;B288),AND(I288&lt;&gt;"",I288&lt;H288),AND(J288&lt;&gt;"",J288&lt;I288)),"Date error","OK")))</f>
        <v>OK</v>
      </c>
    </row>
    <row r="289" customFormat="false" ht="15" hidden="false" customHeight="false" outlineLevel="0" collapsed="false">
      <c r="A289" s="24" t="s">
        <v>369</v>
      </c>
      <c r="B289" s="31" t="n">
        <v>46137</v>
      </c>
      <c r="C289" s="24" t="s">
        <v>24</v>
      </c>
      <c r="D289" s="24" t="s">
        <v>35</v>
      </c>
      <c r="E289" s="24" t="s">
        <v>94</v>
      </c>
      <c r="F289" s="24" t="s">
        <v>40</v>
      </c>
      <c r="G289" s="31" t="n">
        <v>46138</v>
      </c>
      <c r="H289" s="24"/>
      <c r="I289" s="24"/>
      <c r="J289" s="24"/>
      <c r="K289" s="24" t="n">
        <v>2</v>
      </c>
      <c r="L289" s="24" t="str">
        <f aca="false">IF(J289&lt;&gt;"","Enrolled",IF(I289&lt;&gt;"","Admitted",IF(H289&lt;&gt;"","Applied",IF(G289&lt;&gt;"","Contacted","New"))))</f>
        <v>Contacted</v>
      </c>
      <c r="M289" s="32" t="n">
        <f aca="false">IF(G289="","",G289-B289)</f>
        <v>1</v>
      </c>
      <c r="N289" s="24" t="str">
        <f aca="false">IF(COUNTIF($A$2:A289,A289)&gt;1,"Duplicate ID",IF(C289="","Missing source",IF(OR(AND(G289&lt;&gt;"",G289&lt;B289),AND(H289&lt;&gt;"",H289&lt;B289),AND(I289&lt;&gt;"",I289&lt;H289),AND(J289&lt;&gt;"",J289&lt;I289)),"Date error","OK")))</f>
        <v>OK</v>
      </c>
    </row>
    <row r="290" customFormat="false" ht="15" hidden="false" customHeight="false" outlineLevel="0" collapsed="false">
      <c r="A290" s="24" t="s">
        <v>370</v>
      </c>
      <c r="B290" s="31" t="n">
        <v>46137</v>
      </c>
      <c r="C290" s="24" t="s">
        <v>26</v>
      </c>
      <c r="D290" s="24" t="s">
        <v>34</v>
      </c>
      <c r="E290" s="24" t="s">
        <v>79</v>
      </c>
      <c r="F290" s="24" t="s">
        <v>44</v>
      </c>
      <c r="G290" s="31" t="n">
        <v>46137</v>
      </c>
      <c r="H290" s="24"/>
      <c r="I290" s="24"/>
      <c r="J290" s="24"/>
      <c r="K290" s="24" t="n">
        <v>2</v>
      </c>
      <c r="L290" s="24" t="str">
        <f aca="false">IF(J290&lt;&gt;"","Enrolled",IF(I290&lt;&gt;"","Admitted",IF(H290&lt;&gt;"","Applied",IF(G290&lt;&gt;"","Contacted","New"))))</f>
        <v>Contacted</v>
      </c>
      <c r="M290" s="32" t="n">
        <f aca="false">IF(G290="","",G290-B290)</f>
        <v>0</v>
      </c>
      <c r="N290" s="24" t="str">
        <f aca="false">IF(COUNTIF($A$2:A290,A290)&gt;1,"Duplicate ID",IF(C290="","Missing source",IF(OR(AND(G290&lt;&gt;"",G290&lt;B290),AND(H290&lt;&gt;"",H290&lt;B290),AND(I290&lt;&gt;"",I290&lt;H290),AND(J290&lt;&gt;"",J290&lt;I290)),"Date error","OK")))</f>
        <v>OK</v>
      </c>
    </row>
    <row r="291" customFormat="false" ht="15" hidden="false" customHeight="false" outlineLevel="0" collapsed="false">
      <c r="A291" s="24" t="s">
        <v>371</v>
      </c>
      <c r="B291" s="31" t="n">
        <v>46137</v>
      </c>
      <c r="C291" s="24" t="s">
        <v>24</v>
      </c>
      <c r="D291" s="24" t="s">
        <v>33</v>
      </c>
      <c r="E291" s="24" t="s">
        <v>89</v>
      </c>
      <c r="F291" s="24" t="s">
        <v>45</v>
      </c>
      <c r="G291" s="31" t="n">
        <v>46139</v>
      </c>
      <c r="H291" s="24"/>
      <c r="I291" s="24"/>
      <c r="J291" s="24"/>
      <c r="K291" s="24" t="n">
        <v>4</v>
      </c>
      <c r="L291" s="24" t="str">
        <f aca="false">IF(J291&lt;&gt;"","Enrolled",IF(I291&lt;&gt;"","Admitted",IF(H291&lt;&gt;"","Applied",IF(G291&lt;&gt;"","Contacted","New"))))</f>
        <v>Contacted</v>
      </c>
      <c r="M291" s="32" t="n">
        <f aca="false">IF(G291="","",G291-B291)</f>
        <v>2</v>
      </c>
      <c r="N291" s="24" t="str">
        <f aca="false">IF(COUNTIF($A$2:A291,A291)&gt;1,"Duplicate ID",IF(C291="","Missing source",IF(OR(AND(G291&lt;&gt;"",G291&lt;B291),AND(H291&lt;&gt;"",H291&lt;B291),AND(I291&lt;&gt;"",I291&lt;H291),AND(J291&lt;&gt;"",J291&lt;I291)),"Date error","OK")))</f>
        <v>OK</v>
      </c>
    </row>
    <row r="292" customFormat="false" ht="15" hidden="false" customHeight="false" outlineLevel="0" collapsed="false">
      <c r="A292" s="24" t="s">
        <v>372</v>
      </c>
      <c r="B292" s="31" t="n">
        <v>46137</v>
      </c>
      <c r="C292" s="24" t="s">
        <v>24</v>
      </c>
      <c r="D292" s="24" t="s">
        <v>33</v>
      </c>
      <c r="E292" s="24" t="s">
        <v>89</v>
      </c>
      <c r="F292" s="24" t="s">
        <v>44</v>
      </c>
      <c r="G292" s="31" t="n">
        <v>46137</v>
      </c>
      <c r="H292" s="24"/>
      <c r="I292" s="24"/>
      <c r="J292" s="24"/>
      <c r="K292" s="24" t="n">
        <v>1</v>
      </c>
      <c r="L292" s="24" t="str">
        <f aca="false">IF(J292&lt;&gt;"","Enrolled",IF(I292&lt;&gt;"","Admitted",IF(H292&lt;&gt;"","Applied",IF(G292&lt;&gt;"","Contacted","New"))))</f>
        <v>Contacted</v>
      </c>
      <c r="M292" s="32" t="n">
        <f aca="false">IF(G292="","",G292-B292)</f>
        <v>0</v>
      </c>
      <c r="N292" s="24" t="str">
        <f aca="false">IF(COUNTIF($A$2:A292,A292)&gt;1,"Duplicate ID",IF(C292="","Missing source",IF(OR(AND(G292&lt;&gt;"",G292&lt;B292),AND(H292&lt;&gt;"",H292&lt;B292),AND(I292&lt;&gt;"",I292&lt;H292),AND(J292&lt;&gt;"",J292&lt;I292)),"Date error","OK")))</f>
        <v>OK</v>
      </c>
    </row>
    <row r="293" customFormat="false" ht="15" hidden="false" customHeight="false" outlineLevel="0" collapsed="false">
      <c r="A293" s="24" t="s">
        <v>373</v>
      </c>
      <c r="B293" s="31" t="n">
        <v>46137</v>
      </c>
      <c r="C293" s="24" t="s">
        <v>23</v>
      </c>
      <c r="D293" s="24" t="s">
        <v>34</v>
      </c>
      <c r="E293" s="24" t="s">
        <v>84</v>
      </c>
      <c r="F293" s="24" t="s">
        <v>45</v>
      </c>
      <c r="G293" s="31" t="n">
        <v>46141</v>
      </c>
      <c r="H293" s="31" t="n">
        <v>46161</v>
      </c>
      <c r="I293" s="31" t="n">
        <v>46169</v>
      </c>
      <c r="J293" s="31" t="n">
        <v>46180</v>
      </c>
      <c r="K293" s="24" t="n">
        <v>3</v>
      </c>
      <c r="L293" s="24" t="str">
        <f aca="false">IF(J293&lt;&gt;"","Enrolled",IF(I293&lt;&gt;"","Admitted",IF(H293&lt;&gt;"","Applied",IF(G293&lt;&gt;"","Contacted","New"))))</f>
        <v>Enrolled</v>
      </c>
      <c r="M293" s="32" t="n">
        <f aca="false">IF(G293="","",G293-B293)</f>
        <v>4</v>
      </c>
      <c r="N293" s="24" t="str">
        <f aca="false">IF(COUNTIF($A$2:A293,A293)&gt;1,"Duplicate ID",IF(C293="","Missing source",IF(OR(AND(G293&lt;&gt;"",G293&lt;B293),AND(H293&lt;&gt;"",H293&lt;B293),AND(I293&lt;&gt;"",I293&lt;H293),AND(J293&lt;&gt;"",J293&lt;I293)),"Date error","OK")))</f>
        <v>OK</v>
      </c>
    </row>
    <row r="294" customFormat="false" ht="15" hidden="false" customHeight="false" outlineLevel="0" collapsed="false">
      <c r="A294" s="24" t="s">
        <v>374</v>
      </c>
      <c r="B294" s="31" t="n">
        <v>46137</v>
      </c>
      <c r="C294" s="24" t="s">
        <v>22</v>
      </c>
      <c r="D294" s="24" t="s">
        <v>34</v>
      </c>
      <c r="E294" s="24" t="s">
        <v>94</v>
      </c>
      <c r="F294" s="24" t="s">
        <v>40</v>
      </c>
      <c r="G294" s="31" t="n">
        <v>46137</v>
      </c>
      <c r="H294" s="24"/>
      <c r="I294" s="24"/>
      <c r="J294" s="24"/>
      <c r="K294" s="24" t="n">
        <v>6</v>
      </c>
      <c r="L294" s="24" t="str">
        <f aca="false">IF(J294&lt;&gt;"","Enrolled",IF(I294&lt;&gt;"","Admitted",IF(H294&lt;&gt;"","Applied",IF(G294&lt;&gt;"","Contacted","New"))))</f>
        <v>Contacted</v>
      </c>
      <c r="M294" s="32" t="n">
        <f aca="false">IF(G294="","",G294-B294)</f>
        <v>0</v>
      </c>
      <c r="N294" s="24" t="str">
        <f aca="false">IF(COUNTIF($A$2:A294,A294)&gt;1,"Duplicate ID",IF(C294="","Missing source",IF(OR(AND(G294&lt;&gt;"",G294&lt;B294),AND(H294&lt;&gt;"",H294&lt;B294),AND(I294&lt;&gt;"",I294&lt;H294),AND(J294&lt;&gt;"",J294&lt;I294)),"Date error","OK")))</f>
        <v>OK</v>
      </c>
    </row>
    <row r="295" customFormat="false" ht="15" hidden="false" customHeight="false" outlineLevel="0" collapsed="false">
      <c r="A295" s="24" t="s">
        <v>375</v>
      </c>
      <c r="B295" s="31" t="n">
        <v>46137</v>
      </c>
      <c r="C295" s="24" t="s">
        <v>22</v>
      </c>
      <c r="D295" s="24" t="s">
        <v>35</v>
      </c>
      <c r="E295" s="24" t="s">
        <v>84</v>
      </c>
      <c r="F295" s="24" t="s">
        <v>44</v>
      </c>
      <c r="G295" s="31" t="n">
        <v>46139</v>
      </c>
      <c r="H295" s="24"/>
      <c r="I295" s="24"/>
      <c r="J295" s="24"/>
      <c r="K295" s="24" t="n">
        <v>5</v>
      </c>
      <c r="L295" s="24" t="str">
        <f aca="false">IF(J295&lt;&gt;"","Enrolled",IF(I295&lt;&gt;"","Admitted",IF(H295&lt;&gt;"","Applied",IF(G295&lt;&gt;"","Contacted","New"))))</f>
        <v>Contacted</v>
      </c>
      <c r="M295" s="32" t="n">
        <f aca="false">IF(G295="","",G295-B295)</f>
        <v>2</v>
      </c>
      <c r="N295" s="24" t="str">
        <f aca="false">IF(COUNTIF($A$2:A295,A295)&gt;1,"Duplicate ID",IF(C295="","Missing source",IF(OR(AND(G295&lt;&gt;"",G295&lt;B295),AND(H295&lt;&gt;"",H295&lt;B295),AND(I295&lt;&gt;"",I295&lt;H295),AND(J295&lt;&gt;"",J295&lt;I295)),"Date error","OK")))</f>
        <v>OK</v>
      </c>
    </row>
    <row r="296" customFormat="false" ht="15" hidden="false" customHeight="false" outlineLevel="0" collapsed="false">
      <c r="A296" s="24" t="s">
        <v>376</v>
      </c>
      <c r="B296" s="31" t="n">
        <v>46138</v>
      </c>
      <c r="C296" s="24" t="s">
        <v>22</v>
      </c>
      <c r="D296" s="24" t="s">
        <v>36</v>
      </c>
      <c r="E296" s="24" t="s">
        <v>89</v>
      </c>
      <c r="F296" s="24" t="s">
        <v>45</v>
      </c>
      <c r="G296" s="31" t="n">
        <v>46139</v>
      </c>
      <c r="H296" s="24"/>
      <c r="I296" s="24"/>
      <c r="J296" s="24"/>
      <c r="K296" s="24" t="n">
        <v>1</v>
      </c>
      <c r="L296" s="24" t="str">
        <f aca="false">IF(J296&lt;&gt;"","Enrolled",IF(I296&lt;&gt;"","Admitted",IF(H296&lt;&gt;"","Applied",IF(G296&lt;&gt;"","Contacted","New"))))</f>
        <v>Contacted</v>
      </c>
      <c r="M296" s="32" t="n">
        <f aca="false">IF(G296="","",G296-B296)</f>
        <v>1</v>
      </c>
      <c r="N296" s="24" t="str">
        <f aca="false">IF(COUNTIF($A$2:A296,A296)&gt;1,"Duplicate ID",IF(C296="","Missing source",IF(OR(AND(G296&lt;&gt;"",G296&lt;B296),AND(H296&lt;&gt;"",H296&lt;B296),AND(I296&lt;&gt;"",I296&lt;H296),AND(J296&lt;&gt;"",J296&lt;I296)),"Date error","OK")))</f>
        <v>OK</v>
      </c>
    </row>
    <row r="297" customFormat="false" ht="15" hidden="false" customHeight="false" outlineLevel="0" collapsed="false">
      <c r="A297" s="24" t="s">
        <v>377</v>
      </c>
      <c r="B297" s="31" t="n">
        <v>46138</v>
      </c>
      <c r="C297" s="24" t="s">
        <v>26</v>
      </c>
      <c r="D297" s="24" t="s">
        <v>32</v>
      </c>
      <c r="E297" s="24" t="s">
        <v>89</v>
      </c>
      <c r="F297" s="24" t="s">
        <v>45</v>
      </c>
      <c r="G297" s="31" t="n">
        <v>46139</v>
      </c>
      <c r="H297" s="24"/>
      <c r="I297" s="24"/>
      <c r="J297" s="24"/>
      <c r="K297" s="24" t="n">
        <v>2</v>
      </c>
      <c r="L297" s="24" t="str">
        <f aca="false">IF(J297&lt;&gt;"","Enrolled",IF(I297&lt;&gt;"","Admitted",IF(H297&lt;&gt;"","Applied",IF(G297&lt;&gt;"","Contacted","New"))))</f>
        <v>Contacted</v>
      </c>
      <c r="M297" s="32" t="n">
        <f aca="false">IF(G297="","",G297-B297)</f>
        <v>1</v>
      </c>
      <c r="N297" s="24" t="str">
        <f aca="false">IF(COUNTIF($A$2:A297,A297)&gt;1,"Duplicate ID",IF(C297="","Missing source",IF(OR(AND(G297&lt;&gt;"",G297&lt;B297),AND(H297&lt;&gt;"",H297&lt;B297),AND(I297&lt;&gt;"",I297&lt;H297),AND(J297&lt;&gt;"",J297&lt;I297)),"Date error","OK")))</f>
        <v>OK</v>
      </c>
    </row>
    <row r="298" customFormat="false" ht="15" hidden="false" customHeight="false" outlineLevel="0" collapsed="false">
      <c r="A298" s="24" t="s">
        <v>378</v>
      </c>
      <c r="B298" s="31" t="n">
        <v>46138</v>
      </c>
      <c r="C298" s="24" t="s">
        <v>24</v>
      </c>
      <c r="D298" s="24" t="s">
        <v>32</v>
      </c>
      <c r="E298" s="24" t="s">
        <v>94</v>
      </c>
      <c r="F298" s="24" t="s">
        <v>42</v>
      </c>
      <c r="G298" s="31" t="n">
        <v>46139</v>
      </c>
      <c r="H298" s="24"/>
      <c r="I298" s="24"/>
      <c r="J298" s="24"/>
      <c r="K298" s="24" t="n">
        <v>1</v>
      </c>
      <c r="L298" s="24" t="str">
        <f aca="false">IF(J298&lt;&gt;"","Enrolled",IF(I298&lt;&gt;"","Admitted",IF(H298&lt;&gt;"","Applied",IF(G298&lt;&gt;"","Contacted","New"))))</f>
        <v>Contacted</v>
      </c>
      <c r="M298" s="32" t="n">
        <f aca="false">IF(G298="","",G298-B298)</f>
        <v>1</v>
      </c>
      <c r="N298" s="24" t="str">
        <f aca="false">IF(COUNTIF($A$2:A298,A298)&gt;1,"Duplicate ID",IF(C298="","Missing source",IF(OR(AND(G298&lt;&gt;"",G298&lt;B298),AND(H298&lt;&gt;"",H298&lt;B298),AND(I298&lt;&gt;"",I298&lt;H298),AND(J298&lt;&gt;"",J298&lt;I298)),"Date error","OK")))</f>
        <v>OK</v>
      </c>
    </row>
    <row r="299" customFormat="false" ht="15" hidden="false" customHeight="false" outlineLevel="0" collapsed="false">
      <c r="A299" s="24" t="s">
        <v>379</v>
      </c>
      <c r="B299" s="31" t="n">
        <v>46139</v>
      </c>
      <c r="C299" s="24" t="s">
        <v>22</v>
      </c>
      <c r="D299" s="24" t="s">
        <v>36</v>
      </c>
      <c r="E299" s="24" t="s">
        <v>89</v>
      </c>
      <c r="F299" s="24" t="s">
        <v>43</v>
      </c>
      <c r="G299" s="31" t="n">
        <v>46140</v>
      </c>
      <c r="H299" s="31" t="n">
        <v>46147</v>
      </c>
      <c r="I299" s="31" t="n">
        <v>46157</v>
      </c>
      <c r="J299" s="31" t="n">
        <v>46187</v>
      </c>
      <c r="K299" s="24" t="n">
        <v>3</v>
      </c>
      <c r="L299" s="24" t="str">
        <f aca="false">IF(J299&lt;&gt;"","Enrolled",IF(I299&lt;&gt;"","Admitted",IF(H299&lt;&gt;"","Applied",IF(G299&lt;&gt;"","Contacted","New"))))</f>
        <v>Enrolled</v>
      </c>
      <c r="M299" s="32" t="n">
        <f aca="false">IF(G299="","",G299-B299)</f>
        <v>1</v>
      </c>
      <c r="N299" s="24" t="str">
        <f aca="false">IF(COUNTIF($A$2:A299,A299)&gt;1,"Duplicate ID",IF(C299="","Missing source",IF(OR(AND(G299&lt;&gt;"",G299&lt;B299),AND(H299&lt;&gt;"",H299&lt;B299),AND(I299&lt;&gt;"",I299&lt;H299),AND(J299&lt;&gt;"",J299&lt;I299)),"Date error","OK")))</f>
        <v>OK</v>
      </c>
    </row>
    <row r="300" customFormat="false" ht="15" hidden="false" customHeight="false" outlineLevel="0" collapsed="false">
      <c r="A300" s="24" t="s">
        <v>380</v>
      </c>
      <c r="B300" s="31" t="n">
        <v>46139</v>
      </c>
      <c r="C300" s="24" t="s">
        <v>23</v>
      </c>
      <c r="D300" s="24" t="s">
        <v>36</v>
      </c>
      <c r="E300" s="24" t="s">
        <v>89</v>
      </c>
      <c r="F300" s="24" t="s">
        <v>41</v>
      </c>
      <c r="G300" s="31" t="n">
        <v>46139</v>
      </c>
      <c r="H300" s="24"/>
      <c r="I300" s="24"/>
      <c r="J300" s="24"/>
      <c r="K300" s="24" t="n">
        <v>2</v>
      </c>
      <c r="L300" s="24" t="str">
        <f aca="false">IF(J300&lt;&gt;"","Enrolled",IF(I300&lt;&gt;"","Admitted",IF(H300&lt;&gt;"","Applied",IF(G300&lt;&gt;"","Contacted","New"))))</f>
        <v>Contacted</v>
      </c>
      <c r="M300" s="32" t="n">
        <f aca="false">IF(G300="","",G300-B300)</f>
        <v>0</v>
      </c>
      <c r="N300" s="24" t="str">
        <f aca="false">IF(COUNTIF($A$2:A300,A300)&gt;1,"Duplicate ID",IF(C300="","Missing source",IF(OR(AND(G300&lt;&gt;"",G300&lt;B300),AND(H300&lt;&gt;"",H300&lt;B300),AND(I300&lt;&gt;"",I300&lt;H300),AND(J300&lt;&gt;"",J300&lt;I300)),"Date error","OK")))</f>
        <v>OK</v>
      </c>
    </row>
    <row r="301" customFormat="false" ht="15" hidden="false" customHeight="false" outlineLevel="0" collapsed="false">
      <c r="A301" s="24" t="s">
        <v>381</v>
      </c>
      <c r="B301" s="31" t="n">
        <v>46139</v>
      </c>
      <c r="C301" s="24" t="s">
        <v>27</v>
      </c>
      <c r="D301" s="24" t="s">
        <v>34</v>
      </c>
      <c r="E301" s="24" t="s">
        <v>79</v>
      </c>
      <c r="F301" s="24" t="s">
        <v>42</v>
      </c>
      <c r="G301" s="31" t="n">
        <v>46141</v>
      </c>
      <c r="H301" s="31" t="n">
        <v>46154</v>
      </c>
      <c r="I301" s="31" t="n">
        <v>46165</v>
      </c>
      <c r="J301" s="24"/>
      <c r="K301" s="24" t="n">
        <v>3</v>
      </c>
      <c r="L301" s="24" t="str">
        <f aca="false">IF(J301&lt;&gt;"","Enrolled",IF(I301&lt;&gt;"","Admitted",IF(H301&lt;&gt;"","Applied",IF(G301&lt;&gt;"","Contacted","New"))))</f>
        <v>Admitted</v>
      </c>
      <c r="M301" s="32" t="n">
        <f aca="false">IF(G301="","",G301-B301)</f>
        <v>2</v>
      </c>
      <c r="N301" s="24" t="str">
        <f aca="false">IF(COUNTIF($A$2:A301,A301)&gt;1,"Duplicate ID",IF(C301="","Missing source",IF(OR(AND(G301&lt;&gt;"",G301&lt;B301),AND(H301&lt;&gt;"",H301&lt;B301),AND(I301&lt;&gt;"",I301&lt;H301),AND(J301&lt;&gt;"",J301&lt;I301)),"Date error","OK")))</f>
        <v>OK</v>
      </c>
    </row>
    <row r="302" customFormat="false" ht="15" hidden="false" customHeight="false" outlineLevel="0" collapsed="false">
      <c r="A302" s="24" t="s">
        <v>382</v>
      </c>
      <c r="B302" s="31" t="n">
        <v>46139</v>
      </c>
      <c r="C302" s="24" t="s">
        <v>22</v>
      </c>
      <c r="D302" s="24" t="s">
        <v>36</v>
      </c>
      <c r="E302" s="24" t="s">
        <v>94</v>
      </c>
      <c r="F302" s="24" t="s">
        <v>42</v>
      </c>
      <c r="G302" s="31" t="n">
        <v>46142</v>
      </c>
      <c r="H302" s="24"/>
      <c r="I302" s="24"/>
      <c r="J302" s="24"/>
      <c r="K302" s="24" t="n">
        <v>9</v>
      </c>
      <c r="L302" s="24" t="str">
        <f aca="false">IF(J302&lt;&gt;"","Enrolled",IF(I302&lt;&gt;"","Admitted",IF(H302&lt;&gt;"","Applied",IF(G302&lt;&gt;"","Contacted","New"))))</f>
        <v>Contacted</v>
      </c>
      <c r="M302" s="32" t="n">
        <f aca="false">IF(G302="","",G302-B302)</f>
        <v>3</v>
      </c>
      <c r="N302" s="24" t="str">
        <f aca="false">IF(COUNTIF($A$2:A302,A302)&gt;1,"Duplicate ID",IF(C302="","Missing source",IF(OR(AND(G302&lt;&gt;"",G302&lt;B302),AND(H302&lt;&gt;"",H302&lt;B302),AND(I302&lt;&gt;"",I302&lt;H302),AND(J302&lt;&gt;"",J302&lt;I302)),"Date error","OK")))</f>
        <v>OK</v>
      </c>
    </row>
    <row r="303" customFormat="false" ht="15" hidden="false" customHeight="false" outlineLevel="0" collapsed="false">
      <c r="A303" s="24" t="s">
        <v>383</v>
      </c>
      <c r="B303" s="31" t="n">
        <v>46139</v>
      </c>
      <c r="C303" s="24" t="s">
        <v>26</v>
      </c>
      <c r="D303" s="24" t="s">
        <v>34</v>
      </c>
      <c r="E303" s="24" t="s">
        <v>89</v>
      </c>
      <c r="F303" s="24" t="s">
        <v>44</v>
      </c>
      <c r="G303" s="24"/>
      <c r="H303" s="24"/>
      <c r="I303" s="24"/>
      <c r="J303" s="24"/>
      <c r="K303" s="24" t="n">
        <v>0</v>
      </c>
      <c r="L303" s="24" t="str">
        <f aca="false">IF(J303&lt;&gt;"","Enrolled",IF(I303&lt;&gt;"","Admitted",IF(H303&lt;&gt;"","Applied",IF(G303&lt;&gt;"","Contacted","New"))))</f>
        <v>New</v>
      </c>
      <c r="M303" s="32" t="str">
        <f aca="false">IF(G303="","",G303-B303)</f>
        <v/>
      </c>
      <c r="N303" s="24" t="str">
        <f aca="false">IF(COUNTIF($A$2:A303,A303)&gt;1,"Duplicate ID",IF(C303="","Missing source",IF(OR(AND(G303&lt;&gt;"",G303&lt;B303),AND(H303&lt;&gt;"",H303&lt;B303),AND(I303&lt;&gt;"",I303&lt;H303),AND(J303&lt;&gt;"",J303&lt;I303)),"Date error","OK")))</f>
        <v>OK</v>
      </c>
    </row>
    <row r="304" customFormat="false" ht="15" hidden="false" customHeight="false" outlineLevel="0" collapsed="false">
      <c r="A304" s="24" t="s">
        <v>384</v>
      </c>
      <c r="B304" s="31" t="n">
        <v>46139</v>
      </c>
      <c r="C304" s="24" t="s">
        <v>23</v>
      </c>
      <c r="D304" s="24" t="s">
        <v>34</v>
      </c>
      <c r="E304" s="24" t="s">
        <v>94</v>
      </c>
      <c r="F304" s="24" t="s">
        <v>41</v>
      </c>
      <c r="G304" s="31" t="n">
        <v>46139</v>
      </c>
      <c r="H304" s="24"/>
      <c r="I304" s="24"/>
      <c r="J304" s="24"/>
      <c r="K304" s="24" t="n">
        <v>4</v>
      </c>
      <c r="L304" s="24" t="str">
        <f aca="false">IF(J304&lt;&gt;"","Enrolled",IF(I304&lt;&gt;"","Admitted",IF(H304&lt;&gt;"","Applied",IF(G304&lt;&gt;"","Contacted","New"))))</f>
        <v>Contacted</v>
      </c>
      <c r="M304" s="32" t="n">
        <f aca="false">IF(G304="","",G304-B304)</f>
        <v>0</v>
      </c>
      <c r="N304" s="24" t="str">
        <f aca="false">IF(COUNTIF($A$2:A304,A304)&gt;1,"Duplicate ID",IF(C304="","Missing source",IF(OR(AND(G304&lt;&gt;"",G304&lt;B304),AND(H304&lt;&gt;"",H304&lt;B304),AND(I304&lt;&gt;"",I304&lt;H304),AND(J304&lt;&gt;"",J304&lt;I304)),"Date error","OK")))</f>
        <v>OK</v>
      </c>
    </row>
    <row r="305" customFormat="false" ht="15" hidden="false" customHeight="false" outlineLevel="0" collapsed="false">
      <c r="A305" s="24" t="s">
        <v>385</v>
      </c>
      <c r="B305" s="31" t="n">
        <v>46139</v>
      </c>
      <c r="C305" s="24" t="s">
        <v>26</v>
      </c>
      <c r="D305" s="24" t="s">
        <v>35</v>
      </c>
      <c r="E305" s="24" t="s">
        <v>84</v>
      </c>
      <c r="F305" s="24" t="s">
        <v>45</v>
      </c>
      <c r="G305" s="31" t="n">
        <v>46139</v>
      </c>
      <c r="H305" s="24"/>
      <c r="I305" s="24"/>
      <c r="J305" s="24"/>
      <c r="K305" s="24" t="n">
        <v>2</v>
      </c>
      <c r="L305" s="24" t="str">
        <f aca="false">IF(J305&lt;&gt;"","Enrolled",IF(I305&lt;&gt;"","Admitted",IF(H305&lt;&gt;"","Applied",IF(G305&lt;&gt;"","Contacted","New"))))</f>
        <v>Contacted</v>
      </c>
      <c r="M305" s="32" t="n">
        <f aca="false">IF(G305="","",G305-B305)</f>
        <v>0</v>
      </c>
      <c r="N305" s="24" t="str">
        <f aca="false">IF(COUNTIF($A$2:A305,A305)&gt;1,"Duplicate ID",IF(C305="","Missing source",IF(OR(AND(G305&lt;&gt;"",G305&lt;B305),AND(H305&lt;&gt;"",H305&lt;B305),AND(I305&lt;&gt;"",I305&lt;H305),AND(J305&lt;&gt;"",J305&lt;I305)),"Date error","OK")))</f>
        <v>OK</v>
      </c>
    </row>
    <row r="306" customFormat="false" ht="15" hidden="false" customHeight="false" outlineLevel="0" collapsed="false">
      <c r="A306" s="24" t="s">
        <v>386</v>
      </c>
      <c r="B306" s="31" t="n">
        <v>46139</v>
      </c>
      <c r="C306" s="24" t="s">
        <v>22</v>
      </c>
      <c r="D306" s="24" t="s">
        <v>33</v>
      </c>
      <c r="E306" s="24" t="s">
        <v>84</v>
      </c>
      <c r="F306" s="24" t="s">
        <v>42</v>
      </c>
      <c r="G306" s="24"/>
      <c r="H306" s="24"/>
      <c r="I306" s="24"/>
      <c r="J306" s="24"/>
      <c r="K306" s="24" t="n">
        <v>0</v>
      </c>
      <c r="L306" s="24" t="str">
        <f aca="false">IF(J306&lt;&gt;"","Enrolled",IF(I306&lt;&gt;"","Admitted",IF(H306&lt;&gt;"","Applied",IF(G306&lt;&gt;"","Contacted","New"))))</f>
        <v>New</v>
      </c>
      <c r="M306" s="32" t="str">
        <f aca="false">IF(G306="","",G306-B306)</f>
        <v/>
      </c>
      <c r="N306" s="24" t="str">
        <f aca="false">IF(COUNTIF($A$2:A306,A306)&gt;1,"Duplicate ID",IF(C306="","Missing source",IF(OR(AND(G306&lt;&gt;"",G306&lt;B306),AND(H306&lt;&gt;"",H306&lt;B306),AND(I306&lt;&gt;"",I306&lt;H306),AND(J306&lt;&gt;"",J306&lt;I306)),"Date error","OK")))</f>
        <v>OK</v>
      </c>
    </row>
    <row r="307" customFormat="false" ht="15" hidden="false" customHeight="false" outlineLevel="0" collapsed="false">
      <c r="A307" s="24" t="s">
        <v>387</v>
      </c>
      <c r="B307" s="31" t="n">
        <v>46139</v>
      </c>
      <c r="C307" s="24" t="s">
        <v>24</v>
      </c>
      <c r="D307" s="24" t="s">
        <v>33</v>
      </c>
      <c r="E307" s="24" t="s">
        <v>79</v>
      </c>
      <c r="F307" s="24" t="s">
        <v>42</v>
      </c>
      <c r="G307" s="31" t="n">
        <v>46140</v>
      </c>
      <c r="H307" s="24"/>
      <c r="I307" s="24"/>
      <c r="J307" s="24"/>
      <c r="K307" s="24" t="n">
        <v>6</v>
      </c>
      <c r="L307" s="24" t="str">
        <f aca="false">IF(J307&lt;&gt;"","Enrolled",IF(I307&lt;&gt;"","Admitted",IF(H307&lt;&gt;"","Applied",IF(G307&lt;&gt;"","Contacted","New"))))</f>
        <v>Contacted</v>
      </c>
      <c r="M307" s="32" t="n">
        <f aca="false">IF(G307="","",G307-B307)</f>
        <v>1</v>
      </c>
      <c r="N307" s="24" t="str">
        <f aca="false">IF(COUNTIF($A$2:A307,A307)&gt;1,"Duplicate ID",IF(C307="","Missing source",IF(OR(AND(G307&lt;&gt;"",G307&lt;B307),AND(H307&lt;&gt;"",H307&lt;B307),AND(I307&lt;&gt;"",I307&lt;H307),AND(J307&lt;&gt;"",J307&lt;I307)),"Date error","OK")))</f>
        <v>OK</v>
      </c>
    </row>
    <row r="308" customFormat="false" ht="15" hidden="false" customHeight="false" outlineLevel="0" collapsed="false">
      <c r="A308" s="24" t="s">
        <v>388</v>
      </c>
      <c r="B308" s="31" t="n">
        <v>46140</v>
      </c>
      <c r="C308" s="24" t="s">
        <v>25</v>
      </c>
      <c r="D308" s="24" t="s">
        <v>35</v>
      </c>
      <c r="E308" s="24" t="s">
        <v>89</v>
      </c>
      <c r="F308" s="24" t="s">
        <v>42</v>
      </c>
      <c r="G308" s="31" t="n">
        <v>46140</v>
      </c>
      <c r="H308" s="31" t="n">
        <v>46161</v>
      </c>
      <c r="I308" s="31" t="n">
        <v>46170</v>
      </c>
      <c r="J308" s="31" t="n">
        <v>46186</v>
      </c>
      <c r="K308" s="24" t="n">
        <v>2</v>
      </c>
      <c r="L308" s="24" t="str">
        <f aca="false">IF(J308&lt;&gt;"","Enrolled",IF(I308&lt;&gt;"","Admitted",IF(H308&lt;&gt;"","Applied",IF(G308&lt;&gt;"","Contacted","New"))))</f>
        <v>Enrolled</v>
      </c>
      <c r="M308" s="32" t="n">
        <f aca="false">IF(G308="","",G308-B308)</f>
        <v>0</v>
      </c>
      <c r="N308" s="24" t="str">
        <f aca="false">IF(COUNTIF($A$2:A308,A308)&gt;1,"Duplicate ID",IF(C308="","Missing source",IF(OR(AND(G308&lt;&gt;"",G308&lt;B308),AND(H308&lt;&gt;"",H308&lt;B308),AND(I308&lt;&gt;"",I308&lt;H308),AND(J308&lt;&gt;"",J308&lt;I308)),"Date error","OK")))</f>
        <v>OK</v>
      </c>
    </row>
    <row r="309" customFormat="false" ht="15" hidden="false" customHeight="false" outlineLevel="0" collapsed="false">
      <c r="A309" s="24" t="s">
        <v>389</v>
      </c>
      <c r="B309" s="31" t="n">
        <v>46140</v>
      </c>
      <c r="C309" s="24" t="s">
        <v>23</v>
      </c>
      <c r="D309" s="24" t="s">
        <v>36</v>
      </c>
      <c r="E309" s="24" t="s">
        <v>79</v>
      </c>
      <c r="F309" s="24" t="s">
        <v>40</v>
      </c>
      <c r="G309" s="31" t="n">
        <v>46140</v>
      </c>
      <c r="H309" s="31" t="n">
        <v>46161</v>
      </c>
      <c r="I309" s="24"/>
      <c r="J309" s="24"/>
      <c r="K309" s="24" t="n">
        <v>4</v>
      </c>
      <c r="L309" s="24" t="str">
        <f aca="false">IF(J309&lt;&gt;"","Enrolled",IF(I309&lt;&gt;"","Admitted",IF(H309&lt;&gt;"","Applied",IF(G309&lt;&gt;"","Contacted","New"))))</f>
        <v>Applied</v>
      </c>
      <c r="M309" s="32" t="n">
        <f aca="false">IF(G309="","",G309-B309)</f>
        <v>0</v>
      </c>
      <c r="N309" s="24" t="str">
        <f aca="false">IF(COUNTIF($A$2:A309,A309)&gt;1,"Duplicate ID",IF(C309="","Missing source",IF(OR(AND(G309&lt;&gt;"",G309&lt;B309),AND(H309&lt;&gt;"",H309&lt;B309),AND(I309&lt;&gt;"",I309&lt;H309),AND(J309&lt;&gt;"",J309&lt;I309)),"Date error","OK")))</f>
        <v>OK</v>
      </c>
    </row>
    <row r="310" customFormat="false" ht="15" hidden="false" customHeight="false" outlineLevel="0" collapsed="false">
      <c r="A310" s="24" t="s">
        <v>390</v>
      </c>
      <c r="B310" s="31" t="n">
        <v>46140</v>
      </c>
      <c r="C310" s="24" t="s">
        <v>22</v>
      </c>
      <c r="D310" s="24" t="s">
        <v>32</v>
      </c>
      <c r="E310" s="24" t="s">
        <v>94</v>
      </c>
      <c r="F310" s="24" t="s">
        <v>41</v>
      </c>
      <c r="G310" s="31" t="n">
        <v>46142</v>
      </c>
      <c r="H310" s="24"/>
      <c r="I310" s="24"/>
      <c r="J310" s="24"/>
      <c r="K310" s="24" t="n">
        <v>6</v>
      </c>
      <c r="L310" s="24" t="str">
        <f aca="false">IF(J310&lt;&gt;"","Enrolled",IF(I310&lt;&gt;"","Admitted",IF(H310&lt;&gt;"","Applied",IF(G310&lt;&gt;"","Contacted","New"))))</f>
        <v>Contacted</v>
      </c>
      <c r="M310" s="32" t="n">
        <f aca="false">IF(G310="","",G310-B310)</f>
        <v>2</v>
      </c>
      <c r="N310" s="24" t="str">
        <f aca="false">IF(COUNTIF($A$2:A310,A310)&gt;1,"Duplicate ID",IF(C310="","Missing source",IF(OR(AND(G310&lt;&gt;"",G310&lt;B310),AND(H310&lt;&gt;"",H310&lt;B310),AND(I310&lt;&gt;"",I310&lt;H310),AND(J310&lt;&gt;"",J310&lt;I310)),"Date error","OK")))</f>
        <v>OK</v>
      </c>
    </row>
    <row r="311" customFormat="false" ht="15" hidden="false" customHeight="false" outlineLevel="0" collapsed="false">
      <c r="A311" s="24" t="s">
        <v>391</v>
      </c>
      <c r="B311" s="31" t="n">
        <v>46140</v>
      </c>
      <c r="C311" s="24" t="s">
        <v>22</v>
      </c>
      <c r="D311" s="24" t="s">
        <v>33</v>
      </c>
      <c r="E311" s="24" t="s">
        <v>79</v>
      </c>
      <c r="F311" s="24" t="s">
        <v>43</v>
      </c>
      <c r="G311" s="31" t="n">
        <v>46142</v>
      </c>
      <c r="H311" s="31" t="n">
        <v>46145</v>
      </c>
      <c r="I311" s="31" t="n">
        <v>46155</v>
      </c>
      <c r="J311" s="31" t="n">
        <v>46182</v>
      </c>
      <c r="K311" s="24" t="n">
        <v>3</v>
      </c>
      <c r="L311" s="24" t="str">
        <f aca="false">IF(J311&lt;&gt;"","Enrolled",IF(I311&lt;&gt;"","Admitted",IF(H311&lt;&gt;"","Applied",IF(G311&lt;&gt;"","Contacted","New"))))</f>
        <v>Enrolled</v>
      </c>
      <c r="M311" s="32" t="n">
        <f aca="false">IF(G311="","",G311-B311)</f>
        <v>2</v>
      </c>
      <c r="N311" s="24" t="str">
        <f aca="false">IF(COUNTIF($A$2:A311,A311)&gt;1,"Duplicate ID",IF(C311="","Missing source",IF(OR(AND(G311&lt;&gt;"",G311&lt;B311),AND(H311&lt;&gt;"",H311&lt;B311),AND(I311&lt;&gt;"",I311&lt;H311),AND(J311&lt;&gt;"",J311&lt;I311)),"Date error","OK")))</f>
        <v>OK</v>
      </c>
    </row>
    <row r="312" customFormat="false" ht="15" hidden="false" customHeight="false" outlineLevel="0" collapsed="false">
      <c r="A312" s="24" t="s">
        <v>392</v>
      </c>
      <c r="B312" s="31" t="n">
        <v>46140</v>
      </c>
      <c r="C312" s="24" t="s">
        <v>25</v>
      </c>
      <c r="D312" s="24" t="s">
        <v>35</v>
      </c>
      <c r="E312" s="24" t="s">
        <v>89</v>
      </c>
      <c r="F312" s="24" t="s">
        <v>41</v>
      </c>
      <c r="G312" s="31" t="n">
        <v>46142</v>
      </c>
      <c r="H312" s="31" t="n">
        <v>46163</v>
      </c>
      <c r="I312" s="31" t="n">
        <v>46174</v>
      </c>
      <c r="J312" s="31" t="n">
        <v>46186</v>
      </c>
      <c r="K312" s="24" t="n">
        <v>5</v>
      </c>
      <c r="L312" s="24" t="str">
        <f aca="false">IF(J312&lt;&gt;"","Enrolled",IF(I312&lt;&gt;"","Admitted",IF(H312&lt;&gt;"","Applied",IF(G312&lt;&gt;"","Contacted","New"))))</f>
        <v>Enrolled</v>
      </c>
      <c r="M312" s="32" t="n">
        <f aca="false">IF(G312="","",G312-B312)</f>
        <v>2</v>
      </c>
      <c r="N312" s="24" t="str">
        <f aca="false">IF(COUNTIF($A$2:A312,A312)&gt;1,"Duplicate ID",IF(C312="","Missing source",IF(OR(AND(G312&lt;&gt;"",G312&lt;B312),AND(H312&lt;&gt;"",H312&lt;B312),AND(I312&lt;&gt;"",I312&lt;H312),AND(J312&lt;&gt;"",J312&lt;I312)),"Date error","OK")))</f>
        <v>OK</v>
      </c>
    </row>
    <row r="313" customFormat="false" ht="15" hidden="false" customHeight="false" outlineLevel="0" collapsed="false">
      <c r="A313" s="24" t="s">
        <v>393</v>
      </c>
      <c r="B313" s="31" t="n">
        <v>46140</v>
      </c>
      <c r="C313" s="24" t="s">
        <v>26</v>
      </c>
      <c r="D313" s="24" t="s">
        <v>32</v>
      </c>
      <c r="E313" s="24" t="s">
        <v>79</v>
      </c>
      <c r="F313" s="24" t="s">
        <v>43</v>
      </c>
      <c r="G313" s="31" t="n">
        <v>46144</v>
      </c>
      <c r="H313" s="24"/>
      <c r="I313" s="24"/>
      <c r="J313" s="24"/>
      <c r="K313" s="24" t="n">
        <v>1</v>
      </c>
      <c r="L313" s="24" t="str">
        <f aca="false">IF(J313&lt;&gt;"","Enrolled",IF(I313&lt;&gt;"","Admitted",IF(H313&lt;&gt;"","Applied",IF(G313&lt;&gt;"","Contacted","New"))))</f>
        <v>Contacted</v>
      </c>
      <c r="M313" s="32" t="n">
        <f aca="false">IF(G313="","",G313-B313)</f>
        <v>4</v>
      </c>
      <c r="N313" s="24" t="str">
        <f aca="false">IF(COUNTIF($A$2:A313,A313)&gt;1,"Duplicate ID",IF(C313="","Missing source",IF(OR(AND(G313&lt;&gt;"",G313&lt;B313),AND(H313&lt;&gt;"",H313&lt;B313),AND(I313&lt;&gt;"",I313&lt;H313),AND(J313&lt;&gt;"",J313&lt;I313)),"Date error","OK")))</f>
        <v>OK</v>
      </c>
    </row>
    <row r="314" customFormat="false" ht="15" hidden="false" customHeight="false" outlineLevel="0" collapsed="false">
      <c r="A314" s="24" t="s">
        <v>394</v>
      </c>
      <c r="B314" s="31" t="n">
        <v>46140</v>
      </c>
      <c r="C314" s="24" t="s">
        <v>26</v>
      </c>
      <c r="D314" s="24" t="s">
        <v>33</v>
      </c>
      <c r="E314" s="24" t="s">
        <v>89</v>
      </c>
      <c r="F314" s="24" t="s">
        <v>45</v>
      </c>
      <c r="G314" s="24"/>
      <c r="H314" s="24"/>
      <c r="I314" s="24"/>
      <c r="J314" s="24"/>
      <c r="K314" s="24" t="n">
        <v>0</v>
      </c>
      <c r="L314" s="24" t="str">
        <f aca="false">IF(J314&lt;&gt;"","Enrolled",IF(I314&lt;&gt;"","Admitted",IF(H314&lt;&gt;"","Applied",IF(G314&lt;&gt;"","Contacted","New"))))</f>
        <v>New</v>
      </c>
      <c r="M314" s="32" t="str">
        <f aca="false">IF(G314="","",G314-B314)</f>
        <v/>
      </c>
      <c r="N314" s="24" t="str">
        <f aca="false">IF(COUNTIF($A$2:A314,A314)&gt;1,"Duplicate ID",IF(C314="","Missing source",IF(OR(AND(G314&lt;&gt;"",G314&lt;B314),AND(H314&lt;&gt;"",H314&lt;B314),AND(I314&lt;&gt;"",I314&lt;H314),AND(J314&lt;&gt;"",J314&lt;I314)),"Date error","OK")))</f>
        <v>OK</v>
      </c>
    </row>
    <row r="315" customFormat="false" ht="15" hidden="false" customHeight="false" outlineLevel="0" collapsed="false">
      <c r="A315" s="24" t="s">
        <v>395</v>
      </c>
      <c r="B315" s="31" t="n">
        <v>46140</v>
      </c>
      <c r="C315" s="24" t="s">
        <v>26</v>
      </c>
      <c r="D315" s="24" t="s">
        <v>34</v>
      </c>
      <c r="E315" s="24" t="s">
        <v>94</v>
      </c>
      <c r="F315" s="24" t="s">
        <v>44</v>
      </c>
      <c r="G315" s="31" t="n">
        <v>46141</v>
      </c>
      <c r="H315" s="24"/>
      <c r="I315" s="24"/>
      <c r="J315" s="24"/>
      <c r="K315" s="24" t="n">
        <v>3</v>
      </c>
      <c r="L315" s="24" t="str">
        <f aca="false">IF(J315&lt;&gt;"","Enrolled",IF(I315&lt;&gt;"","Admitted",IF(H315&lt;&gt;"","Applied",IF(G315&lt;&gt;"","Contacted","New"))))</f>
        <v>Contacted</v>
      </c>
      <c r="M315" s="32" t="n">
        <f aca="false">IF(G315="","",G315-B315)</f>
        <v>1</v>
      </c>
      <c r="N315" s="24" t="str">
        <f aca="false">IF(COUNTIF($A$2:A315,A315)&gt;1,"Duplicate ID",IF(C315="","Missing source",IF(OR(AND(G315&lt;&gt;"",G315&lt;B315),AND(H315&lt;&gt;"",H315&lt;B315),AND(I315&lt;&gt;"",I315&lt;H315),AND(J315&lt;&gt;"",J315&lt;I315)),"Date error","OK")))</f>
        <v>OK</v>
      </c>
    </row>
    <row r="316" customFormat="false" ht="15" hidden="false" customHeight="false" outlineLevel="0" collapsed="false">
      <c r="A316" s="24" t="s">
        <v>396</v>
      </c>
      <c r="B316" s="31" t="n">
        <v>46140</v>
      </c>
      <c r="C316" s="24" t="s">
        <v>26</v>
      </c>
      <c r="D316" s="24" t="s">
        <v>36</v>
      </c>
      <c r="E316" s="24" t="s">
        <v>89</v>
      </c>
      <c r="F316" s="24" t="s">
        <v>42</v>
      </c>
      <c r="G316" s="31" t="n">
        <v>46141</v>
      </c>
      <c r="H316" s="24"/>
      <c r="I316" s="24"/>
      <c r="J316" s="24"/>
      <c r="K316" s="24" t="n">
        <v>6</v>
      </c>
      <c r="L316" s="24" t="str">
        <f aca="false">IF(J316&lt;&gt;"","Enrolled",IF(I316&lt;&gt;"","Admitted",IF(H316&lt;&gt;"","Applied",IF(G316&lt;&gt;"","Contacted","New"))))</f>
        <v>Contacted</v>
      </c>
      <c r="M316" s="32" t="n">
        <f aca="false">IF(G316="","",G316-B316)</f>
        <v>1</v>
      </c>
      <c r="N316" s="24" t="str">
        <f aca="false">IF(COUNTIF($A$2:A316,A316)&gt;1,"Duplicate ID",IF(C316="","Missing source",IF(OR(AND(G316&lt;&gt;"",G316&lt;B316),AND(H316&lt;&gt;"",H316&lt;B316),AND(I316&lt;&gt;"",I316&lt;H316),AND(J316&lt;&gt;"",J316&lt;I316)),"Date error","OK")))</f>
        <v>OK</v>
      </c>
    </row>
    <row r="317" customFormat="false" ht="15" hidden="false" customHeight="false" outlineLevel="0" collapsed="false">
      <c r="A317" s="24" t="s">
        <v>397</v>
      </c>
      <c r="B317" s="31" t="n">
        <v>46140</v>
      </c>
      <c r="C317" s="24" t="s">
        <v>23</v>
      </c>
      <c r="D317" s="24" t="s">
        <v>35</v>
      </c>
      <c r="E317" s="24" t="s">
        <v>79</v>
      </c>
      <c r="F317" s="24" t="s">
        <v>41</v>
      </c>
      <c r="G317" s="31" t="n">
        <v>46140</v>
      </c>
      <c r="H317" s="24"/>
      <c r="I317" s="24"/>
      <c r="J317" s="24"/>
      <c r="K317" s="24" t="n">
        <v>4</v>
      </c>
      <c r="L317" s="24" t="str">
        <f aca="false">IF(J317&lt;&gt;"","Enrolled",IF(I317&lt;&gt;"","Admitted",IF(H317&lt;&gt;"","Applied",IF(G317&lt;&gt;"","Contacted","New"))))</f>
        <v>Contacted</v>
      </c>
      <c r="M317" s="32" t="n">
        <f aca="false">IF(G317="","",G317-B317)</f>
        <v>0</v>
      </c>
      <c r="N317" s="24" t="str">
        <f aca="false">IF(COUNTIF($A$2:A317,A317)&gt;1,"Duplicate ID",IF(C317="","Missing source",IF(OR(AND(G317&lt;&gt;"",G317&lt;B317),AND(H317&lt;&gt;"",H317&lt;B317),AND(I317&lt;&gt;"",I317&lt;H317),AND(J317&lt;&gt;"",J317&lt;I317)),"Date error","OK")))</f>
        <v>OK</v>
      </c>
    </row>
    <row r="318" customFormat="false" ht="15" hidden="false" customHeight="false" outlineLevel="0" collapsed="false">
      <c r="A318" s="24" t="s">
        <v>398</v>
      </c>
      <c r="B318" s="31" t="n">
        <v>46141</v>
      </c>
      <c r="C318" s="24" t="s">
        <v>26</v>
      </c>
      <c r="D318" s="24" t="s">
        <v>36</v>
      </c>
      <c r="E318" s="24" t="s">
        <v>79</v>
      </c>
      <c r="F318" s="24" t="s">
        <v>44</v>
      </c>
      <c r="G318" s="31" t="n">
        <v>46141</v>
      </c>
      <c r="H318" s="24"/>
      <c r="I318" s="24"/>
      <c r="J318" s="24"/>
      <c r="K318" s="24" t="n">
        <v>5</v>
      </c>
      <c r="L318" s="24" t="str">
        <f aca="false">IF(J318&lt;&gt;"","Enrolled",IF(I318&lt;&gt;"","Admitted",IF(H318&lt;&gt;"","Applied",IF(G318&lt;&gt;"","Contacted","New"))))</f>
        <v>Contacted</v>
      </c>
      <c r="M318" s="32" t="n">
        <f aca="false">IF(G318="","",G318-B318)</f>
        <v>0</v>
      </c>
      <c r="N318" s="24" t="str">
        <f aca="false">IF(COUNTIF($A$2:A318,A318)&gt;1,"Duplicate ID",IF(C318="","Missing source",IF(OR(AND(G318&lt;&gt;"",G318&lt;B318),AND(H318&lt;&gt;"",H318&lt;B318),AND(I318&lt;&gt;"",I318&lt;H318),AND(J318&lt;&gt;"",J318&lt;I318)),"Date error","OK")))</f>
        <v>OK</v>
      </c>
    </row>
    <row r="319" customFormat="false" ht="15" hidden="false" customHeight="false" outlineLevel="0" collapsed="false">
      <c r="A319" s="24" t="s">
        <v>399</v>
      </c>
      <c r="B319" s="31" t="n">
        <v>46141</v>
      </c>
      <c r="C319" s="24" t="s">
        <v>21</v>
      </c>
      <c r="D319" s="24" t="s">
        <v>35</v>
      </c>
      <c r="E319" s="24" t="s">
        <v>94</v>
      </c>
      <c r="F319" s="24" t="s">
        <v>45</v>
      </c>
      <c r="G319" s="31" t="n">
        <v>46142</v>
      </c>
      <c r="H319" s="31" t="n">
        <v>46167</v>
      </c>
      <c r="I319" s="31" t="n">
        <v>46178</v>
      </c>
      <c r="J319" s="31" t="n">
        <v>46209</v>
      </c>
      <c r="K319" s="24" t="n">
        <v>3</v>
      </c>
      <c r="L319" s="24" t="str">
        <f aca="false">IF(J319&lt;&gt;"","Enrolled",IF(I319&lt;&gt;"","Admitted",IF(H319&lt;&gt;"","Applied",IF(G319&lt;&gt;"","Contacted","New"))))</f>
        <v>Enrolled</v>
      </c>
      <c r="M319" s="32" t="n">
        <f aca="false">IF(G319="","",G319-B319)</f>
        <v>1</v>
      </c>
      <c r="N319" s="24" t="str">
        <f aca="false">IF(COUNTIF($A$2:A319,A319)&gt;1,"Duplicate ID",IF(C319="","Missing source",IF(OR(AND(G319&lt;&gt;"",G319&lt;B319),AND(H319&lt;&gt;"",H319&lt;B319),AND(I319&lt;&gt;"",I319&lt;H319),AND(J319&lt;&gt;"",J319&lt;I319)),"Date error","OK")))</f>
        <v>OK</v>
      </c>
    </row>
    <row r="320" customFormat="false" ht="15" hidden="false" customHeight="false" outlineLevel="0" collapsed="false">
      <c r="A320" s="24" t="s">
        <v>400</v>
      </c>
      <c r="B320" s="31" t="n">
        <v>46141</v>
      </c>
      <c r="C320" s="24" t="s">
        <v>23</v>
      </c>
      <c r="D320" s="24" t="s">
        <v>36</v>
      </c>
      <c r="E320" s="24" t="s">
        <v>94</v>
      </c>
      <c r="F320" s="24" t="s">
        <v>45</v>
      </c>
      <c r="G320" s="31" t="n">
        <v>46141</v>
      </c>
      <c r="H320" s="24"/>
      <c r="I320" s="24"/>
      <c r="J320" s="24"/>
      <c r="K320" s="24" t="n">
        <v>4</v>
      </c>
      <c r="L320" s="24" t="str">
        <f aca="false">IF(J320&lt;&gt;"","Enrolled",IF(I320&lt;&gt;"","Admitted",IF(H320&lt;&gt;"","Applied",IF(G320&lt;&gt;"","Contacted","New"))))</f>
        <v>Contacted</v>
      </c>
      <c r="M320" s="32" t="n">
        <f aca="false">IF(G320="","",G320-B320)</f>
        <v>0</v>
      </c>
      <c r="N320" s="24" t="str">
        <f aca="false">IF(COUNTIF($A$2:A320,A320)&gt;1,"Duplicate ID",IF(C320="","Missing source",IF(OR(AND(G320&lt;&gt;"",G320&lt;B320),AND(H320&lt;&gt;"",H320&lt;B320),AND(I320&lt;&gt;"",I320&lt;H320),AND(J320&lt;&gt;"",J320&lt;I320)),"Date error","OK")))</f>
        <v>OK</v>
      </c>
    </row>
    <row r="321" customFormat="false" ht="15" hidden="false" customHeight="false" outlineLevel="0" collapsed="false">
      <c r="A321" s="24" t="s">
        <v>401</v>
      </c>
      <c r="B321" s="31" t="n">
        <v>46141</v>
      </c>
      <c r="C321" s="24" t="s">
        <v>23</v>
      </c>
      <c r="D321" s="24" t="s">
        <v>32</v>
      </c>
      <c r="E321" s="24" t="s">
        <v>79</v>
      </c>
      <c r="F321" s="24" t="s">
        <v>44</v>
      </c>
      <c r="G321" s="31" t="n">
        <v>46146</v>
      </c>
      <c r="H321" s="24"/>
      <c r="I321" s="24"/>
      <c r="J321" s="24"/>
      <c r="K321" s="24" t="n">
        <v>2</v>
      </c>
      <c r="L321" s="24" t="str">
        <f aca="false">IF(J321&lt;&gt;"","Enrolled",IF(I321&lt;&gt;"","Admitted",IF(H321&lt;&gt;"","Applied",IF(G321&lt;&gt;"","Contacted","New"))))</f>
        <v>Contacted</v>
      </c>
      <c r="M321" s="32" t="n">
        <f aca="false">IF(G321="","",G321-B321)</f>
        <v>5</v>
      </c>
      <c r="N321" s="24" t="str">
        <f aca="false">IF(COUNTIF($A$2:A321,A321)&gt;1,"Duplicate ID",IF(C321="","Missing source",IF(OR(AND(G321&lt;&gt;"",G321&lt;B321),AND(H321&lt;&gt;"",H321&lt;B321),AND(I321&lt;&gt;"",I321&lt;H321),AND(J321&lt;&gt;"",J321&lt;I321)),"Date error","OK")))</f>
        <v>OK</v>
      </c>
    </row>
    <row r="322" customFormat="false" ht="15" hidden="false" customHeight="false" outlineLevel="0" collapsed="false">
      <c r="A322" s="24" t="s">
        <v>402</v>
      </c>
      <c r="B322" s="31" t="n">
        <v>46141</v>
      </c>
      <c r="C322" s="24" t="s">
        <v>22</v>
      </c>
      <c r="D322" s="24" t="s">
        <v>33</v>
      </c>
      <c r="E322" s="24" t="s">
        <v>79</v>
      </c>
      <c r="F322" s="24" t="s">
        <v>44</v>
      </c>
      <c r="G322" s="31" t="n">
        <v>46150</v>
      </c>
      <c r="H322" s="31" t="n">
        <v>46161</v>
      </c>
      <c r="I322" s="31" t="n">
        <v>46173</v>
      </c>
      <c r="J322" s="31" t="n">
        <v>46192</v>
      </c>
      <c r="K322" s="24" t="n">
        <v>6</v>
      </c>
      <c r="L322" s="24" t="str">
        <f aca="false">IF(J322&lt;&gt;"","Enrolled",IF(I322&lt;&gt;"","Admitted",IF(H322&lt;&gt;"","Applied",IF(G322&lt;&gt;"","Contacted","New"))))</f>
        <v>Enrolled</v>
      </c>
      <c r="M322" s="32" t="n">
        <f aca="false">IF(G322="","",G322-B322)</f>
        <v>9</v>
      </c>
      <c r="N322" s="24" t="str">
        <f aca="false">IF(COUNTIF($A$2:A322,A322)&gt;1,"Duplicate ID",IF(C322="","Missing source",IF(OR(AND(G322&lt;&gt;"",G322&lt;B322),AND(H322&lt;&gt;"",H322&lt;B322),AND(I322&lt;&gt;"",I322&lt;H322),AND(J322&lt;&gt;"",J322&lt;I322)),"Date error","OK")))</f>
        <v>OK</v>
      </c>
    </row>
    <row r="323" customFormat="false" ht="15" hidden="false" customHeight="false" outlineLevel="0" collapsed="false">
      <c r="A323" s="24" t="s">
        <v>403</v>
      </c>
      <c r="B323" s="31" t="n">
        <v>46141</v>
      </c>
      <c r="C323" s="24" t="s">
        <v>26</v>
      </c>
      <c r="D323" s="24" t="s">
        <v>32</v>
      </c>
      <c r="E323" s="24" t="s">
        <v>89</v>
      </c>
      <c r="F323" s="24" t="s">
        <v>44</v>
      </c>
      <c r="G323" s="31" t="n">
        <v>46145</v>
      </c>
      <c r="H323" s="24"/>
      <c r="I323" s="24"/>
      <c r="J323" s="24"/>
      <c r="K323" s="24" t="n">
        <v>6</v>
      </c>
      <c r="L323" s="24" t="str">
        <f aca="false">IF(J323&lt;&gt;"","Enrolled",IF(I323&lt;&gt;"","Admitted",IF(H323&lt;&gt;"","Applied",IF(G323&lt;&gt;"","Contacted","New"))))</f>
        <v>Contacted</v>
      </c>
      <c r="M323" s="32" t="n">
        <f aca="false">IF(G323="","",G323-B323)</f>
        <v>4</v>
      </c>
      <c r="N323" s="24" t="str">
        <f aca="false">IF(COUNTIF($A$2:A323,A323)&gt;1,"Duplicate ID",IF(C323="","Missing source",IF(OR(AND(G323&lt;&gt;"",G323&lt;B323),AND(H323&lt;&gt;"",H323&lt;B323),AND(I323&lt;&gt;"",I323&lt;H323),AND(J323&lt;&gt;"",J323&lt;I323)),"Date error","OK")))</f>
        <v>OK</v>
      </c>
    </row>
    <row r="324" customFormat="false" ht="15" hidden="false" customHeight="false" outlineLevel="0" collapsed="false">
      <c r="A324" s="24" t="s">
        <v>404</v>
      </c>
      <c r="B324" s="31" t="n">
        <v>46142</v>
      </c>
      <c r="C324" s="24" t="s">
        <v>26</v>
      </c>
      <c r="D324" s="24" t="s">
        <v>33</v>
      </c>
      <c r="E324" s="24" t="s">
        <v>79</v>
      </c>
      <c r="F324" s="24" t="s">
        <v>43</v>
      </c>
      <c r="G324" s="31" t="n">
        <v>46148</v>
      </c>
      <c r="H324" s="24"/>
      <c r="I324" s="24"/>
      <c r="J324" s="24"/>
      <c r="K324" s="24" t="n">
        <v>0</v>
      </c>
      <c r="L324" s="24" t="str">
        <f aca="false">IF(J324&lt;&gt;"","Enrolled",IF(I324&lt;&gt;"","Admitted",IF(H324&lt;&gt;"","Applied",IF(G324&lt;&gt;"","Contacted","New"))))</f>
        <v>Contacted</v>
      </c>
      <c r="M324" s="32" t="n">
        <f aca="false">IF(G324="","",G324-B324)</f>
        <v>6</v>
      </c>
      <c r="N324" s="24" t="str">
        <f aca="false">IF(COUNTIF($A$2:A324,A324)&gt;1,"Duplicate ID",IF(C324="","Missing source",IF(OR(AND(G324&lt;&gt;"",G324&lt;B324),AND(H324&lt;&gt;"",H324&lt;B324),AND(I324&lt;&gt;"",I324&lt;H324),AND(J324&lt;&gt;"",J324&lt;I324)),"Date error","OK")))</f>
        <v>OK</v>
      </c>
    </row>
    <row r="325" customFormat="false" ht="15" hidden="false" customHeight="false" outlineLevel="0" collapsed="false">
      <c r="A325" s="24" t="s">
        <v>405</v>
      </c>
      <c r="B325" s="31" t="n">
        <v>46142</v>
      </c>
      <c r="C325" s="24" t="s">
        <v>26</v>
      </c>
      <c r="D325" s="24" t="s">
        <v>32</v>
      </c>
      <c r="E325" s="24" t="s">
        <v>89</v>
      </c>
      <c r="F325" s="24" t="s">
        <v>44</v>
      </c>
      <c r="G325" s="24"/>
      <c r="H325" s="24"/>
      <c r="I325" s="24"/>
      <c r="J325" s="24"/>
      <c r="K325" s="24" t="n">
        <v>0</v>
      </c>
      <c r="L325" s="24" t="str">
        <f aca="false">IF(J325&lt;&gt;"","Enrolled",IF(I325&lt;&gt;"","Admitted",IF(H325&lt;&gt;"","Applied",IF(G325&lt;&gt;"","Contacted","New"))))</f>
        <v>New</v>
      </c>
      <c r="M325" s="32" t="str">
        <f aca="false">IF(G325="","",G325-B325)</f>
        <v/>
      </c>
      <c r="N325" s="24" t="str">
        <f aca="false">IF(COUNTIF($A$2:A325,A325)&gt;1,"Duplicate ID",IF(C325="","Missing source",IF(OR(AND(G325&lt;&gt;"",G325&lt;B325),AND(H325&lt;&gt;"",H325&lt;B325),AND(I325&lt;&gt;"",I325&lt;H325),AND(J325&lt;&gt;"",J325&lt;I325)),"Date error","OK")))</f>
        <v>OK</v>
      </c>
    </row>
    <row r="326" customFormat="false" ht="15" hidden="false" customHeight="false" outlineLevel="0" collapsed="false">
      <c r="A326" s="24" t="s">
        <v>406</v>
      </c>
      <c r="B326" s="31" t="n">
        <v>46142</v>
      </c>
      <c r="C326" s="24" t="s">
        <v>25</v>
      </c>
      <c r="D326" s="24" t="s">
        <v>36</v>
      </c>
      <c r="E326" s="24" t="s">
        <v>89</v>
      </c>
      <c r="F326" s="24" t="s">
        <v>40</v>
      </c>
      <c r="G326" s="31" t="n">
        <v>46142</v>
      </c>
      <c r="H326" s="24"/>
      <c r="I326" s="24"/>
      <c r="J326" s="24"/>
      <c r="K326" s="24" t="n">
        <v>3</v>
      </c>
      <c r="L326" s="24" t="str">
        <f aca="false">IF(J326&lt;&gt;"","Enrolled",IF(I326&lt;&gt;"","Admitted",IF(H326&lt;&gt;"","Applied",IF(G326&lt;&gt;"","Contacted","New"))))</f>
        <v>Contacted</v>
      </c>
      <c r="M326" s="32" t="n">
        <f aca="false">IF(G326="","",G326-B326)</f>
        <v>0</v>
      </c>
      <c r="N326" s="24" t="str">
        <f aca="false">IF(COUNTIF($A$2:A326,A326)&gt;1,"Duplicate ID",IF(C326="","Missing source",IF(OR(AND(G326&lt;&gt;"",G326&lt;B326),AND(H326&lt;&gt;"",H326&lt;B326),AND(I326&lt;&gt;"",I326&lt;H326),AND(J326&lt;&gt;"",J326&lt;I326)),"Date error","OK")))</f>
        <v>OK</v>
      </c>
    </row>
    <row r="327" customFormat="false" ht="15" hidden="false" customHeight="false" outlineLevel="0" collapsed="false">
      <c r="A327" s="24" t="s">
        <v>407</v>
      </c>
      <c r="B327" s="31" t="n">
        <v>46142</v>
      </c>
      <c r="C327" s="24" t="s">
        <v>22</v>
      </c>
      <c r="D327" s="24" t="s">
        <v>36</v>
      </c>
      <c r="E327" s="24" t="s">
        <v>81</v>
      </c>
      <c r="F327" s="24" t="s">
        <v>44</v>
      </c>
      <c r="G327" s="31" t="n">
        <v>46143</v>
      </c>
      <c r="H327" s="24"/>
      <c r="I327" s="24"/>
      <c r="J327" s="24"/>
      <c r="K327" s="24" t="n">
        <v>4</v>
      </c>
      <c r="L327" s="24" t="str">
        <f aca="false">IF(J327&lt;&gt;"","Enrolled",IF(I327&lt;&gt;"","Admitted",IF(H327&lt;&gt;"","Applied",IF(G327&lt;&gt;"","Contacted","New"))))</f>
        <v>Contacted</v>
      </c>
      <c r="M327" s="32" t="n">
        <f aca="false">IF(G327="","",G327-B327)</f>
        <v>1</v>
      </c>
      <c r="N327" s="24" t="str">
        <f aca="false">IF(COUNTIF($A$2:A327,A327)&gt;1,"Duplicate ID",IF(C327="","Missing source",IF(OR(AND(G327&lt;&gt;"",G327&lt;B327),AND(H327&lt;&gt;"",H327&lt;B327),AND(I327&lt;&gt;"",I327&lt;H327),AND(J327&lt;&gt;"",J327&lt;I327)),"Date error","OK")))</f>
        <v>OK</v>
      </c>
    </row>
    <row r="328" customFormat="false" ht="15" hidden="false" customHeight="false" outlineLevel="0" collapsed="false">
      <c r="A328" s="24" t="s">
        <v>408</v>
      </c>
      <c r="B328" s="31" t="n">
        <v>46142</v>
      </c>
      <c r="C328" s="24" t="s">
        <v>23</v>
      </c>
      <c r="D328" s="24" t="s">
        <v>33</v>
      </c>
      <c r="E328" s="24" t="s">
        <v>79</v>
      </c>
      <c r="F328" s="24" t="s">
        <v>42</v>
      </c>
      <c r="G328" s="31" t="n">
        <v>46147</v>
      </c>
      <c r="H328" s="24"/>
      <c r="I328" s="24"/>
      <c r="J328" s="24"/>
      <c r="K328" s="24" t="n">
        <v>3</v>
      </c>
      <c r="L328" s="24" t="str">
        <f aca="false">IF(J328&lt;&gt;"","Enrolled",IF(I328&lt;&gt;"","Admitted",IF(H328&lt;&gt;"","Applied",IF(G328&lt;&gt;"","Contacted","New"))))</f>
        <v>Contacted</v>
      </c>
      <c r="M328" s="32" t="n">
        <f aca="false">IF(G328="","",G328-B328)</f>
        <v>5</v>
      </c>
      <c r="N328" s="24" t="str">
        <f aca="false">IF(COUNTIF($A$2:A328,A328)&gt;1,"Duplicate ID",IF(C328="","Missing source",IF(OR(AND(G328&lt;&gt;"",G328&lt;B328),AND(H328&lt;&gt;"",H328&lt;B328),AND(I328&lt;&gt;"",I328&lt;H328),AND(J328&lt;&gt;"",J328&lt;I328)),"Date error","OK")))</f>
        <v>OK</v>
      </c>
    </row>
    <row r="329" customFormat="false" ht="15" hidden="false" customHeight="false" outlineLevel="0" collapsed="false">
      <c r="A329" s="24" t="s">
        <v>409</v>
      </c>
      <c r="B329" s="31" t="n">
        <v>46142</v>
      </c>
      <c r="C329" s="24" t="s">
        <v>27</v>
      </c>
      <c r="D329" s="24" t="s">
        <v>32</v>
      </c>
      <c r="E329" s="24" t="s">
        <v>94</v>
      </c>
      <c r="F329" s="24" t="s">
        <v>42</v>
      </c>
      <c r="G329" s="31" t="n">
        <v>46142</v>
      </c>
      <c r="H329" s="24"/>
      <c r="I329" s="24"/>
      <c r="J329" s="24"/>
      <c r="K329" s="24" t="n">
        <v>2</v>
      </c>
      <c r="L329" s="24" t="str">
        <f aca="false">IF(J329&lt;&gt;"","Enrolled",IF(I329&lt;&gt;"","Admitted",IF(H329&lt;&gt;"","Applied",IF(G329&lt;&gt;"","Contacted","New"))))</f>
        <v>Contacted</v>
      </c>
      <c r="M329" s="32" t="n">
        <f aca="false">IF(G329="","",G329-B329)</f>
        <v>0</v>
      </c>
      <c r="N329" s="24" t="str">
        <f aca="false">IF(COUNTIF($A$2:A329,A329)&gt;1,"Duplicate ID",IF(C329="","Missing source",IF(OR(AND(G329&lt;&gt;"",G329&lt;B329),AND(H329&lt;&gt;"",H329&lt;B329),AND(I329&lt;&gt;"",I329&lt;H329),AND(J329&lt;&gt;"",J329&lt;I329)),"Date error","OK")))</f>
        <v>OK</v>
      </c>
    </row>
    <row r="330" customFormat="false" ht="15" hidden="false" customHeight="false" outlineLevel="0" collapsed="false">
      <c r="A330" s="24" t="s">
        <v>410</v>
      </c>
      <c r="B330" s="31" t="n">
        <v>46142</v>
      </c>
      <c r="C330" s="24" t="s">
        <v>24</v>
      </c>
      <c r="D330" s="24" t="s">
        <v>32</v>
      </c>
      <c r="E330" s="24" t="s">
        <v>89</v>
      </c>
      <c r="F330" s="24" t="s">
        <v>42</v>
      </c>
      <c r="G330" s="31" t="n">
        <v>46142</v>
      </c>
      <c r="H330" s="24"/>
      <c r="I330" s="24"/>
      <c r="J330" s="24"/>
      <c r="K330" s="24" t="n">
        <v>5</v>
      </c>
      <c r="L330" s="24" t="str">
        <f aca="false">IF(J330&lt;&gt;"","Enrolled",IF(I330&lt;&gt;"","Admitted",IF(H330&lt;&gt;"","Applied",IF(G330&lt;&gt;"","Contacted","New"))))</f>
        <v>Contacted</v>
      </c>
      <c r="M330" s="32" t="n">
        <f aca="false">IF(G330="","",G330-B330)</f>
        <v>0</v>
      </c>
      <c r="N330" s="24" t="str">
        <f aca="false">IF(COUNTIF($A$2:A330,A330)&gt;1,"Duplicate ID",IF(C330="","Missing source",IF(OR(AND(G330&lt;&gt;"",G330&lt;B330),AND(H330&lt;&gt;"",H330&lt;B330),AND(I330&lt;&gt;"",I330&lt;H330),AND(J330&lt;&gt;"",J330&lt;I330)),"Date error","OK")))</f>
        <v>OK</v>
      </c>
    </row>
    <row r="331" customFormat="false" ht="15" hidden="false" customHeight="false" outlineLevel="0" collapsed="false">
      <c r="A331" s="24" t="s">
        <v>411</v>
      </c>
      <c r="B331" s="31" t="n">
        <v>46143</v>
      </c>
      <c r="C331" s="24" t="s">
        <v>26</v>
      </c>
      <c r="D331" s="24" t="s">
        <v>33</v>
      </c>
      <c r="E331" s="24" t="s">
        <v>89</v>
      </c>
      <c r="F331" s="24" t="s">
        <v>40</v>
      </c>
      <c r="G331" s="31" t="n">
        <v>46143</v>
      </c>
      <c r="H331" s="24"/>
      <c r="I331" s="24"/>
      <c r="J331" s="24"/>
      <c r="K331" s="24" t="n">
        <v>4</v>
      </c>
      <c r="L331" s="24" t="str">
        <f aca="false">IF(J331&lt;&gt;"","Enrolled",IF(I331&lt;&gt;"","Admitted",IF(H331&lt;&gt;"","Applied",IF(G331&lt;&gt;"","Contacted","New"))))</f>
        <v>Contacted</v>
      </c>
      <c r="M331" s="32" t="n">
        <f aca="false">IF(G331="","",G331-B331)</f>
        <v>0</v>
      </c>
      <c r="N331" s="24" t="str">
        <f aca="false">IF(COUNTIF($A$2:A331,A331)&gt;1,"Duplicate ID",IF(C331="","Missing source",IF(OR(AND(G331&lt;&gt;"",G331&lt;B331),AND(H331&lt;&gt;"",H331&lt;B331),AND(I331&lt;&gt;"",I331&lt;H331),AND(J331&lt;&gt;"",J331&lt;I331)),"Date error","OK")))</f>
        <v>OK</v>
      </c>
    </row>
    <row r="332" customFormat="false" ht="15" hidden="false" customHeight="false" outlineLevel="0" collapsed="false">
      <c r="A332" s="24" t="s">
        <v>412</v>
      </c>
      <c r="B332" s="31" t="n">
        <v>46143</v>
      </c>
      <c r="C332" s="24" t="s">
        <v>23</v>
      </c>
      <c r="D332" s="24" t="s">
        <v>33</v>
      </c>
      <c r="E332" s="24" t="s">
        <v>79</v>
      </c>
      <c r="F332" s="24" t="s">
        <v>45</v>
      </c>
      <c r="G332" s="31" t="n">
        <v>46145</v>
      </c>
      <c r="H332" s="24"/>
      <c r="I332" s="24"/>
      <c r="J332" s="24"/>
      <c r="K332" s="24" t="n">
        <v>1</v>
      </c>
      <c r="L332" s="24" t="str">
        <f aca="false">IF(J332&lt;&gt;"","Enrolled",IF(I332&lt;&gt;"","Admitted",IF(H332&lt;&gt;"","Applied",IF(G332&lt;&gt;"","Contacted","New"))))</f>
        <v>Contacted</v>
      </c>
      <c r="M332" s="32" t="n">
        <f aca="false">IF(G332="","",G332-B332)</f>
        <v>2</v>
      </c>
      <c r="N332" s="24" t="str">
        <f aca="false">IF(COUNTIF($A$2:A332,A332)&gt;1,"Duplicate ID",IF(C332="","Missing source",IF(OR(AND(G332&lt;&gt;"",G332&lt;B332),AND(H332&lt;&gt;"",H332&lt;B332),AND(I332&lt;&gt;"",I332&lt;H332),AND(J332&lt;&gt;"",J332&lt;I332)),"Date error","OK")))</f>
        <v>OK</v>
      </c>
    </row>
    <row r="333" customFormat="false" ht="15" hidden="false" customHeight="false" outlineLevel="0" collapsed="false">
      <c r="A333" s="24" t="s">
        <v>413</v>
      </c>
      <c r="B333" s="31" t="n">
        <v>46143</v>
      </c>
      <c r="C333" s="24" t="s">
        <v>24</v>
      </c>
      <c r="D333" s="24" t="s">
        <v>36</v>
      </c>
      <c r="E333" s="24" t="s">
        <v>79</v>
      </c>
      <c r="F333" s="24" t="s">
        <v>41</v>
      </c>
      <c r="G333" s="31" t="n">
        <v>46145</v>
      </c>
      <c r="H333" s="31" t="n">
        <v>46156</v>
      </c>
      <c r="I333" s="31" t="n">
        <v>46165</v>
      </c>
      <c r="J333" s="31" t="n">
        <v>46186</v>
      </c>
      <c r="K333" s="24" t="n">
        <v>0</v>
      </c>
      <c r="L333" s="24" t="str">
        <f aca="false">IF(J333&lt;&gt;"","Enrolled",IF(I333&lt;&gt;"","Admitted",IF(H333&lt;&gt;"","Applied",IF(G333&lt;&gt;"","Contacted","New"))))</f>
        <v>Enrolled</v>
      </c>
      <c r="M333" s="32" t="n">
        <f aca="false">IF(G333="","",G333-B333)</f>
        <v>2</v>
      </c>
      <c r="N333" s="24" t="str">
        <f aca="false">IF(COUNTIF($A$2:A333,A333)&gt;1,"Duplicate ID",IF(C333="","Missing source",IF(OR(AND(G333&lt;&gt;"",G333&lt;B333),AND(H333&lt;&gt;"",H333&lt;B333),AND(I333&lt;&gt;"",I333&lt;H333),AND(J333&lt;&gt;"",J333&lt;I333)),"Date error","OK")))</f>
        <v>OK</v>
      </c>
    </row>
    <row r="334" customFormat="false" ht="15" hidden="false" customHeight="false" outlineLevel="0" collapsed="false">
      <c r="A334" s="24" t="s">
        <v>414</v>
      </c>
      <c r="B334" s="31" t="n">
        <v>46143</v>
      </c>
      <c r="C334" s="24" t="s">
        <v>26</v>
      </c>
      <c r="D334" s="24" t="s">
        <v>36</v>
      </c>
      <c r="E334" s="24" t="s">
        <v>84</v>
      </c>
      <c r="F334" s="24" t="s">
        <v>43</v>
      </c>
      <c r="G334" s="31" t="n">
        <v>46143</v>
      </c>
      <c r="H334" s="31" t="n">
        <v>46158</v>
      </c>
      <c r="I334" s="31" t="n">
        <v>46172</v>
      </c>
      <c r="J334" s="31" t="n">
        <v>46184</v>
      </c>
      <c r="K334" s="24" t="n">
        <v>3</v>
      </c>
      <c r="L334" s="24" t="str">
        <f aca="false">IF(J334&lt;&gt;"","Enrolled",IF(I334&lt;&gt;"","Admitted",IF(H334&lt;&gt;"","Applied",IF(G334&lt;&gt;"","Contacted","New"))))</f>
        <v>Enrolled</v>
      </c>
      <c r="M334" s="32" t="n">
        <f aca="false">IF(G334="","",G334-B334)</f>
        <v>0</v>
      </c>
      <c r="N334" s="24" t="str">
        <f aca="false">IF(COUNTIF($A$2:A334,A334)&gt;1,"Duplicate ID",IF(C334="","Missing source",IF(OR(AND(G334&lt;&gt;"",G334&lt;B334),AND(H334&lt;&gt;"",H334&lt;B334),AND(I334&lt;&gt;"",I334&lt;H334),AND(J334&lt;&gt;"",J334&lt;I334)),"Date error","OK")))</f>
        <v>OK</v>
      </c>
    </row>
    <row r="335" customFormat="false" ht="15" hidden="false" customHeight="false" outlineLevel="0" collapsed="false">
      <c r="A335" s="24" t="s">
        <v>415</v>
      </c>
      <c r="B335" s="31" t="n">
        <v>46143</v>
      </c>
      <c r="C335" s="24" t="s">
        <v>22</v>
      </c>
      <c r="D335" s="24" t="s">
        <v>33</v>
      </c>
      <c r="E335" s="24" t="s">
        <v>94</v>
      </c>
      <c r="F335" s="24" t="s">
        <v>41</v>
      </c>
      <c r="G335" s="31" t="n">
        <v>46143</v>
      </c>
      <c r="H335" s="31" t="n">
        <v>46168</v>
      </c>
      <c r="I335" s="31" t="n">
        <v>46177</v>
      </c>
      <c r="J335" s="31" t="n">
        <v>46194</v>
      </c>
      <c r="K335" s="24" t="n">
        <v>3</v>
      </c>
      <c r="L335" s="24" t="str">
        <f aca="false">IF(J335&lt;&gt;"","Enrolled",IF(I335&lt;&gt;"","Admitted",IF(H335&lt;&gt;"","Applied",IF(G335&lt;&gt;"","Contacted","New"))))</f>
        <v>Enrolled</v>
      </c>
      <c r="M335" s="32" t="n">
        <f aca="false">IF(G335="","",G335-B335)</f>
        <v>0</v>
      </c>
      <c r="N335" s="24" t="str">
        <f aca="false">IF(COUNTIF($A$2:A335,A335)&gt;1,"Duplicate ID",IF(C335="","Missing source",IF(OR(AND(G335&lt;&gt;"",G335&lt;B335),AND(H335&lt;&gt;"",H335&lt;B335),AND(I335&lt;&gt;"",I335&lt;H335),AND(J335&lt;&gt;"",J335&lt;I335)),"Date error","OK")))</f>
        <v>OK</v>
      </c>
    </row>
    <row r="336" customFormat="false" ht="15" hidden="false" customHeight="false" outlineLevel="0" collapsed="false">
      <c r="A336" s="24" t="s">
        <v>416</v>
      </c>
      <c r="B336" s="31" t="n">
        <v>46143</v>
      </c>
      <c r="C336" s="24" t="s">
        <v>23</v>
      </c>
      <c r="D336" s="24" t="s">
        <v>32</v>
      </c>
      <c r="E336" s="24" t="s">
        <v>94</v>
      </c>
      <c r="F336" s="24" t="s">
        <v>42</v>
      </c>
      <c r="G336" s="31" t="n">
        <v>46147</v>
      </c>
      <c r="H336" s="24"/>
      <c r="I336" s="24"/>
      <c r="J336" s="24"/>
      <c r="K336" s="24" t="n">
        <v>1</v>
      </c>
      <c r="L336" s="24" t="str">
        <f aca="false">IF(J336&lt;&gt;"","Enrolled",IF(I336&lt;&gt;"","Admitted",IF(H336&lt;&gt;"","Applied",IF(G336&lt;&gt;"","Contacted","New"))))</f>
        <v>Contacted</v>
      </c>
      <c r="M336" s="32" t="n">
        <f aca="false">IF(G336="","",G336-B336)</f>
        <v>4</v>
      </c>
      <c r="N336" s="24" t="str">
        <f aca="false">IF(COUNTIF($A$2:A336,A336)&gt;1,"Duplicate ID",IF(C336="","Missing source",IF(OR(AND(G336&lt;&gt;"",G336&lt;B336),AND(H336&lt;&gt;"",H336&lt;B336),AND(I336&lt;&gt;"",I336&lt;H336),AND(J336&lt;&gt;"",J336&lt;I336)),"Date error","OK")))</f>
        <v>OK</v>
      </c>
    </row>
    <row r="337" customFormat="false" ht="15" hidden="false" customHeight="false" outlineLevel="0" collapsed="false">
      <c r="A337" s="24" t="s">
        <v>417</v>
      </c>
      <c r="B337" s="31" t="n">
        <v>46143</v>
      </c>
      <c r="C337" s="24" t="s">
        <v>21</v>
      </c>
      <c r="D337" s="24" t="s">
        <v>35</v>
      </c>
      <c r="E337" s="24" t="s">
        <v>84</v>
      </c>
      <c r="F337" s="24" t="s">
        <v>43</v>
      </c>
      <c r="G337" s="31" t="n">
        <v>46147</v>
      </c>
      <c r="H337" s="24"/>
      <c r="I337" s="24"/>
      <c r="J337" s="24"/>
      <c r="K337" s="24" t="n">
        <v>3</v>
      </c>
      <c r="L337" s="24" t="str">
        <f aca="false">IF(J337&lt;&gt;"","Enrolled",IF(I337&lt;&gt;"","Admitted",IF(H337&lt;&gt;"","Applied",IF(G337&lt;&gt;"","Contacted","New"))))</f>
        <v>Contacted</v>
      </c>
      <c r="M337" s="32" t="n">
        <f aca="false">IF(G337="","",G337-B337)</f>
        <v>4</v>
      </c>
      <c r="N337" s="24" t="str">
        <f aca="false">IF(COUNTIF($A$2:A337,A337)&gt;1,"Duplicate ID",IF(C337="","Missing source",IF(OR(AND(G337&lt;&gt;"",G337&lt;B337),AND(H337&lt;&gt;"",H337&lt;B337),AND(I337&lt;&gt;"",I337&lt;H337),AND(J337&lt;&gt;"",J337&lt;I337)),"Date error","OK")))</f>
        <v>OK</v>
      </c>
    </row>
    <row r="338" customFormat="false" ht="15" hidden="false" customHeight="false" outlineLevel="0" collapsed="false">
      <c r="A338" s="24" t="s">
        <v>418</v>
      </c>
      <c r="B338" s="31" t="n">
        <v>46143</v>
      </c>
      <c r="C338" s="24" t="s">
        <v>27</v>
      </c>
      <c r="D338" s="24" t="s">
        <v>35</v>
      </c>
      <c r="E338" s="24" t="s">
        <v>79</v>
      </c>
      <c r="F338" s="24" t="s">
        <v>44</v>
      </c>
      <c r="G338" s="31" t="n">
        <v>46143</v>
      </c>
      <c r="H338" s="24"/>
      <c r="I338" s="24"/>
      <c r="J338" s="24"/>
      <c r="K338" s="24" t="n">
        <v>4</v>
      </c>
      <c r="L338" s="24" t="str">
        <f aca="false">IF(J338&lt;&gt;"","Enrolled",IF(I338&lt;&gt;"","Admitted",IF(H338&lt;&gt;"","Applied",IF(G338&lt;&gt;"","Contacted","New"))))</f>
        <v>Contacted</v>
      </c>
      <c r="M338" s="32" t="n">
        <f aca="false">IF(G338="","",G338-B338)</f>
        <v>0</v>
      </c>
      <c r="N338" s="24" t="str">
        <f aca="false">IF(COUNTIF($A$2:A338,A338)&gt;1,"Duplicate ID",IF(C338="","Missing source",IF(OR(AND(G338&lt;&gt;"",G338&lt;B338),AND(H338&lt;&gt;"",H338&lt;B338),AND(I338&lt;&gt;"",I338&lt;H338),AND(J338&lt;&gt;"",J338&lt;I338)),"Date error","OK")))</f>
        <v>OK</v>
      </c>
    </row>
    <row r="339" customFormat="false" ht="15" hidden="false" customHeight="false" outlineLevel="0" collapsed="false">
      <c r="A339" s="24" t="s">
        <v>419</v>
      </c>
      <c r="B339" s="31" t="n">
        <v>46143</v>
      </c>
      <c r="C339" s="24" t="s">
        <v>23</v>
      </c>
      <c r="D339" s="24" t="s">
        <v>36</v>
      </c>
      <c r="E339" s="24" t="s">
        <v>94</v>
      </c>
      <c r="F339" s="24" t="s">
        <v>40</v>
      </c>
      <c r="G339" s="31" t="n">
        <v>46143</v>
      </c>
      <c r="H339" s="24"/>
      <c r="I339" s="24"/>
      <c r="J339" s="24"/>
      <c r="K339" s="24" t="n">
        <v>4</v>
      </c>
      <c r="L339" s="24" t="str">
        <f aca="false">IF(J339&lt;&gt;"","Enrolled",IF(I339&lt;&gt;"","Admitted",IF(H339&lt;&gt;"","Applied",IF(G339&lt;&gt;"","Contacted","New"))))</f>
        <v>Contacted</v>
      </c>
      <c r="M339" s="32" t="n">
        <f aca="false">IF(G339="","",G339-B339)</f>
        <v>0</v>
      </c>
      <c r="N339" s="24" t="str">
        <f aca="false">IF(COUNTIF($A$2:A339,A339)&gt;1,"Duplicate ID",IF(C339="","Missing source",IF(OR(AND(G339&lt;&gt;"",G339&lt;B339),AND(H339&lt;&gt;"",H339&lt;B339),AND(I339&lt;&gt;"",I339&lt;H339),AND(J339&lt;&gt;"",J339&lt;I339)),"Date error","OK")))</f>
        <v>OK</v>
      </c>
    </row>
    <row r="340" customFormat="false" ht="15" hidden="false" customHeight="false" outlineLevel="0" collapsed="false">
      <c r="A340" s="24" t="s">
        <v>420</v>
      </c>
      <c r="B340" s="31" t="n">
        <v>46143</v>
      </c>
      <c r="C340" s="24" t="s">
        <v>22</v>
      </c>
      <c r="D340" s="24" t="s">
        <v>36</v>
      </c>
      <c r="E340" s="24" t="s">
        <v>94</v>
      </c>
      <c r="F340" s="24" t="s">
        <v>42</v>
      </c>
      <c r="G340" s="31" t="n">
        <v>46143</v>
      </c>
      <c r="H340" s="24"/>
      <c r="I340" s="24"/>
      <c r="J340" s="24"/>
      <c r="K340" s="24" t="n">
        <v>5</v>
      </c>
      <c r="L340" s="24" t="str">
        <f aca="false">IF(J340&lt;&gt;"","Enrolled",IF(I340&lt;&gt;"","Admitted",IF(H340&lt;&gt;"","Applied",IF(G340&lt;&gt;"","Contacted","New"))))</f>
        <v>Contacted</v>
      </c>
      <c r="M340" s="32" t="n">
        <f aca="false">IF(G340="","",G340-B340)</f>
        <v>0</v>
      </c>
      <c r="N340" s="24" t="str">
        <f aca="false">IF(COUNTIF($A$2:A340,A340)&gt;1,"Duplicate ID",IF(C340="","Missing source",IF(OR(AND(G340&lt;&gt;"",G340&lt;B340),AND(H340&lt;&gt;"",H340&lt;B340),AND(I340&lt;&gt;"",I340&lt;H340),AND(J340&lt;&gt;"",J340&lt;I340)),"Date error","OK")))</f>
        <v>OK</v>
      </c>
    </row>
    <row r="341" customFormat="false" ht="15" hidden="false" customHeight="false" outlineLevel="0" collapsed="false">
      <c r="A341" s="24" t="s">
        <v>421</v>
      </c>
      <c r="B341" s="31" t="n">
        <v>46143</v>
      </c>
      <c r="C341" s="24" t="s">
        <v>23</v>
      </c>
      <c r="D341" s="24" t="s">
        <v>33</v>
      </c>
      <c r="E341" s="24" t="s">
        <v>89</v>
      </c>
      <c r="F341" s="24" t="s">
        <v>43</v>
      </c>
      <c r="G341" s="31" t="n">
        <v>46146</v>
      </c>
      <c r="H341" s="31" t="n">
        <v>46170</v>
      </c>
      <c r="I341" s="31" t="n">
        <v>46180</v>
      </c>
      <c r="J341" s="31" t="n">
        <v>46190</v>
      </c>
      <c r="K341" s="24" t="n">
        <v>2</v>
      </c>
      <c r="L341" s="24" t="str">
        <f aca="false">IF(J341&lt;&gt;"","Enrolled",IF(I341&lt;&gt;"","Admitted",IF(H341&lt;&gt;"","Applied",IF(G341&lt;&gt;"","Contacted","New"))))</f>
        <v>Enrolled</v>
      </c>
      <c r="M341" s="32" t="n">
        <f aca="false">IF(G341="","",G341-B341)</f>
        <v>3</v>
      </c>
      <c r="N341" s="24" t="str">
        <f aca="false">IF(COUNTIF($A$2:A341,A341)&gt;1,"Duplicate ID",IF(C341="","Missing source",IF(OR(AND(G341&lt;&gt;"",G341&lt;B341),AND(H341&lt;&gt;"",H341&lt;B341),AND(I341&lt;&gt;"",I341&lt;H341),AND(J341&lt;&gt;"",J341&lt;I341)),"Date error","OK")))</f>
        <v>OK</v>
      </c>
    </row>
    <row r="342" customFormat="false" ht="15" hidden="false" customHeight="false" outlineLevel="0" collapsed="false">
      <c r="A342" s="24" t="s">
        <v>422</v>
      </c>
      <c r="B342" s="31" t="n">
        <v>46143</v>
      </c>
      <c r="C342" s="24" t="s">
        <v>23</v>
      </c>
      <c r="D342" s="24" t="s">
        <v>34</v>
      </c>
      <c r="E342" s="24" t="s">
        <v>79</v>
      </c>
      <c r="F342" s="24" t="s">
        <v>42</v>
      </c>
      <c r="G342" s="24"/>
      <c r="H342" s="24"/>
      <c r="I342" s="24"/>
      <c r="J342" s="24"/>
      <c r="K342" s="24" t="n">
        <v>0</v>
      </c>
      <c r="L342" s="24" t="str">
        <f aca="false">IF(J342&lt;&gt;"","Enrolled",IF(I342&lt;&gt;"","Admitted",IF(H342&lt;&gt;"","Applied",IF(G342&lt;&gt;"","Contacted","New"))))</f>
        <v>New</v>
      </c>
      <c r="M342" s="32" t="str">
        <f aca="false">IF(G342="","",G342-B342)</f>
        <v/>
      </c>
      <c r="N342" s="24" t="str">
        <f aca="false">IF(COUNTIF($A$2:A342,A342)&gt;1,"Duplicate ID",IF(C342="","Missing source",IF(OR(AND(G342&lt;&gt;"",G342&lt;B342),AND(H342&lt;&gt;"",H342&lt;B342),AND(I342&lt;&gt;"",I342&lt;H342),AND(J342&lt;&gt;"",J342&lt;I342)),"Date error","OK")))</f>
        <v>OK</v>
      </c>
    </row>
    <row r="343" customFormat="false" ht="15" hidden="false" customHeight="false" outlineLevel="0" collapsed="false">
      <c r="A343" s="24" t="s">
        <v>423</v>
      </c>
      <c r="B343" s="31" t="n">
        <v>46144</v>
      </c>
      <c r="C343" s="24" t="s">
        <v>25</v>
      </c>
      <c r="D343" s="24" t="s">
        <v>36</v>
      </c>
      <c r="E343" s="24" t="s">
        <v>89</v>
      </c>
      <c r="F343" s="24" t="s">
        <v>45</v>
      </c>
      <c r="G343" s="31" t="n">
        <v>46144</v>
      </c>
      <c r="H343" s="24"/>
      <c r="I343" s="24"/>
      <c r="J343" s="24"/>
      <c r="K343" s="24" t="n">
        <v>2</v>
      </c>
      <c r="L343" s="24" t="str">
        <f aca="false">IF(J343&lt;&gt;"","Enrolled",IF(I343&lt;&gt;"","Admitted",IF(H343&lt;&gt;"","Applied",IF(G343&lt;&gt;"","Contacted","New"))))</f>
        <v>Contacted</v>
      </c>
      <c r="M343" s="32" t="n">
        <f aca="false">IF(G343="","",G343-B343)</f>
        <v>0</v>
      </c>
      <c r="N343" s="24" t="str">
        <f aca="false">IF(COUNTIF($A$2:A343,A343)&gt;1,"Duplicate ID",IF(C343="","Missing source",IF(OR(AND(G343&lt;&gt;"",G343&lt;B343),AND(H343&lt;&gt;"",H343&lt;B343),AND(I343&lt;&gt;"",I343&lt;H343),AND(J343&lt;&gt;"",J343&lt;I343)),"Date error","OK")))</f>
        <v>OK</v>
      </c>
    </row>
    <row r="344" customFormat="false" ht="15" hidden="false" customHeight="false" outlineLevel="0" collapsed="false">
      <c r="A344" s="24" t="s">
        <v>424</v>
      </c>
      <c r="B344" s="31" t="n">
        <v>46144</v>
      </c>
      <c r="C344" s="24" t="s">
        <v>24</v>
      </c>
      <c r="D344" s="24" t="s">
        <v>32</v>
      </c>
      <c r="E344" s="24" t="s">
        <v>89</v>
      </c>
      <c r="F344" s="24" t="s">
        <v>44</v>
      </c>
      <c r="G344" s="31" t="n">
        <v>46146</v>
      </c>
      <c r="H344" s="24"/>
      <c r="I344" s="24"/>
      <c r="J344" s="24"/>
      <c r="K344" s="24" t="n">
        <v>5</v>
      </c>
      <c r="L344" s="24" t="str">
        <f aca="false">IF(J344&lt;&gt;"","Enrolled",IF(I344&lt;&gt;"","Admitted",IF(H344&lt;&gt;"","Applied",IF(G344&lt;&gt;"","Contacted","New"))))</f>
        <v>Contacted</v>
      </c>
      <c r="M344" s="32" t="n">
        <f aca="false">IF(G344="","",G344-B344)</f>
        <v>2</v>
      </c>
      <c r="N344" s="24" t="str">
        <f aca="false">IF(COUNTIF($A$2:A344,A344)&gt;1,"Duplicate ID",IF(C344="","Missing source",IF(OR(AND(G344&lt;&gt;"",G344&lt;B344),AND(H344&lt;&gt;"",H344&lt;B344),AND(I344&lt;&gt;"",I344&lt;H344),AND(J344&lt;&gt;"",J344&lt;I344)),"Date error","OK")))</f>
        <v>OK</v>
      </c>
    </row>
    <row r="345" customFormat="false" ht="15" hidden="false" customHeight="false" outlineLevel="0" collapsed="false">
      <c r="A345" s="24" t="s">
        <v>425</v>
      </c>
      <c r="B345" s="31" t="n">
        <v>46144</v>
      </c>
      <c r="C345" s="24" t="s">
        <v>25</v>
      </c>
      <c r="D345" s="24" t="s">
        <v>35</v>
      </c>
      <c r="E345" s="24" t="s">
        <v>89</v>
      </c>
      <c r="F345" s="24" t="s">
        <v>42</v>
      </c>
      <c r="G345" s="31" t="n">
        <v>46147</v>
      </c>
      <c r="H345" s="24"/>
      <c r="I345" s="24"/>
      <c r="J345" s="24"/>
      <c r="K345" s="24" t="n">
        <v>2</v>
      </c>
      <c r="L345" s="24" t="str">
        <f aca="false">IF(J345&lt;&gt;"","Enrolled",IF(I345&lt;&gt;"","Admitted",IF(H345&lt;&gt;"","Applied",IF(G345&lt;&gt;"","Contacted","New"))))</f>
        <v>Contacted</v>
      </c>
      <c r="M345" s="32" t="n">
        <f aca="false">IF(G345="","",G345-B345)</f>
        <v>3</v>
      </c>
      <c r="N345" s="24" t="str">
        <f aca="false">IF(COUNTIF($A$2:A345,A345)&gt;1,"Duplicate ID",IF(C345="","Missing source",IF(OR(AND(G345&lt;&gt;"",G345&lt;B345),AND(H345&lt;&gt;"",H345&lt;B345),AND(I345&lt;&gt;"",I345&lt;H345),AND(J345&lt;&gt;"",J345&lt;I345)),"Date error","OK")))</f>
        <v>OK</v>
      </c>
    </row>
    <row r="346" customFormat="false" ht="15" hidden="false" customHeight="false" outlineLevel="0" collapsed="false">
      <c r="A346" s="24" t="s">
        <v>426</v>
      </c>
      <c r="B346" s="31" t="n">
        <v>46144</v>
      </c>
      <c r="C346" s="24" t="s">
        <v>25</v>
      </c>
      <c r="D346" s="24" t="s">
        <v>32</v>
      </c>
      <c r="E346" s="24" t="s">
        <v>84</v>
      </c>
      <c r="F346" s="24" t="s">
        <v>43</v>
      </c>
      <c r="G346" s="31" t="n">
        <v>46150</v>
      </c>
      <c r="H346" s="24"/>
      <c r="I346" s="24"/>
      <c r="J346" s="24"/>
      <c r="K346" s="24" t="n">
        <v>1</v>
      </c>
      <c r="L346" s="24" t="str">
        <f aca="false">IF(J346&lt;&gt;"","Enrolled",IF(I346&lt;&gt;"","Admitted",IF(H346&lt;&gt;"","Applied",IF(G346&lt;&gt;"","Contacted","New"))))</f>
        <v>Contacted</v>
      </c>
      <c r="M346" s="32" t="n">
        <f aca="false">IF(G346="","",G346-B346)</f>
        <v>6</v>
      </c>
      <c r="N346" s="24" t="str">
        <f aca="false">IF(COUNTIF($A$2:A346,A346)&gt;1,"Duplicate ID",IF(C346="","Missing source",IF(OR(AND(G346&lt;&gt;"",G346&lt;B346),AND(H346&lt;&gt;"",H346&lt;B346),AND(I346&lt;&gt;"",I346&lt;H346),AND(J346&lt;&gt;"",J346&lt;I346)),"Date error","OK")))</f>
        <v>OK</v>
      </c>
    </row>
    <row r="347" customFormat="false" ht="15" hidden="false" customHeight="false" outlineLevel="0" collapsed="false">
      <c r="A347" s="24" t="s">
        <v>427</v>
      </c>
      <c r="B347" s="31" t="n">
        <v>46144</v>
      </c>
      <c r="C347" s="24" t="s">
        <v>26</v>
      </c>
      <c r="D347" s="24" t="s">
        <v>32</v>
      </c>
      <c r="E347" s="24" t="s">
        <v>81</v>
      </c>
      <c r="F347" s="24" t="s">
        <v>44</v>
      </c>
      <c r="G347" s="31" t="n">
        <v>46152</v>
      </c>
      <c r="H347" s="24"/>
      <c r="I347" s="24"/>
      <c r="J347" s="24"/>
      <c r="K347" s="24" t="n">
        <v>2</v>
      </c>
      <c r="L347" s="24" t="str">
        <f aca="false">IF(J347&lt;&gt;"","Enrolled",IF(I347&lt;&gt;"","Admitted",IF(H347&lt;&gt;"","Applied",IF(G347&lt;&gt;"","Contacted","New"))))</f>
        <v>Contacted</v>
      </c>
      <c r="M347" s="32" t="n">
        <f aca="false">IF(G347="","",G347-B347)</f>
        <v>8</v>
      </c>
      <c r="N347" s="24" t="str">
        <f aca="false">IF(COUNTIF($A$2:A347,A347)&gt;1,"Duplicate ID",IF(C347="","Missing source",IF(OR(AND(G347&lt;&gt;"",G347&lt;B347),AND(H347&lt;&gt;"",H347&lt;B347),AND(I347&lt;&gt;"",I347&lt;H347),AND(J347&lt;&gt;"",J347&lt;I347)),"Date error","OK")))</f>
        <v>OK</v>
      </c>
    </row>
    <row r="348" customFormat="false" ht="15" hidden="false" customHeight="false" outlineLevel="0" collapsed="false">
      <c r="A348" s="24" t="s">
        <v>428</v>
      </c>
      <c r="B348" s="31" t="n">
        <v>46144</v>
      </c>
      <c r="C348" s="24" t="s">
        <v>23</v>
      </c>
      <c r="D348" s="24" t="s">
        <v>36</v>
      </c>
      <c r="E348" s="24" t="s">
        <v>81</v>
      </c>
      <c r="F348" s="24" t="s">
        <v>45</v>
      </c>
      <c r="G348" s="31" t="n">
        <v>46150</v>
      </c>
      <c r="H348" s="24"/>
      <c r="I348" s="24"/>
      <c r="J348" s="24"/>
      <c r="K348" s="24" t="n">
        <v>1</v>
      </c>
      <c r="L348" s="24" t="str">
        <f aca="false">IF(J348&lt;&gt;"","Enrolled",IF(I348&lt;&gt;"","Admitted",IF(H348&lt;&gt;"","Applied",IF(G348&lt;&gt;"","Contacted","New"))))</f>
        <v>Contacted</v>
      </c>
      <c r="M348" s="32" t="n">
        <f aca="false">IF(G348="","",G348-B348)</f>
        <v>6</v>
      </c>
      <c r="N348" s="24" t="str">
        <f aca="false">IF(COUNTIF($A$2:A348,A348)&gt;1,"Duplicate ID",IF(C348="","Missing source",IF(OR(AND(G348&lt;&gt;"",G348&lt;B348),AND(H348&lt;&gt;"",H348&lt;B348),AND(I348&lt;&gt;"",I348&lt;H348),AND(J348&lt;&gt;"",J348&lt;I348)),"Date error","OK")))</f>
        <v>OK</v>
      </c>
    </row>
    <row r="349" customFormat="false" ht="15" hidden="false" customHeight="false" outlineLevel="0" collapsed="false">
      <c r="A349" s="24" t="s">
        <v>429</v>
      </c>
      <c r="B349" s="31" t="n">
        <v>46144</v>
      </c>
      <c r="C349" s="24" t="s">
        <v>22</v>
      </c>
      <c r="D349" s="24" t="s">
        <v>35</v>
      </c>
      <c r="E349" s="24" t="s">
        <v>84</v>
      </c>
      <c r="F349" s="24" t="s">
        <v>42</v>
      </c>
      <c r="G349" s="31" t="n">
        <v>46144</v>
      </c>
      <c r="H349" s="31" t="n">
        <v>46152</v>
      </c>
      <c r="I349" s="31" t="n">
        <v>46161</v>
      </c>
      <c r="J349" s="31" t="n">
        <v>46187</v>
      </c>
      <c r="K349" s="24" t="n">
        <v>6</v>
      </c>
      <c r="L349" s="24" t="str">
        <f aca="false">IF(J349&lt;&gt;"","Enrolled",IF(I349&lt;&gt;"","Admitted",IF(H349&lt;&gt;"","Applied",IF(G349&lt;&gt;"","Contacted","New"))))</f>
        <v>Enrolled</v>
      </c>
      <c r="M349" s="32" t="n">
        <f aca="false">IF(G349="","",G349-B349)</f>
        <v>0</v>
      </c>
      <c r="N349" s="24" t="str">
        <f aca="false">IF(COUNTIF($A$2:A349,A349)&gt;1,"Duplicate ID",IF(C349="","Missing source",IF(OR(AND(G349&lt;&gt;"",G349&lt;B349),AND(H349&lt;&gt;"",H349&lt;B349),AND(I349&lt;&gt;"",I349&lt;H349),AND(J349&lt;&gt;"",J349&lt;I349)),"Date error","OK")))</f>
        <v>OK</v>
      </c>
    </row>
    <row r="350" customFormat="false" ht="15" hidden="false" customHeight="false" outlineLevel="0" collapsed="false">
      <c r="A350" s="24" t="s">
        <v>430</v>
      </c>
      <c r="B350" s="31" t="n">
        <v>46145</v>
      </c>
      <c r="C350" s="24" t="s">
        <v>27</v>
      </c>
      <c r="D350" s="24" t="s">
        <v>33</v>
      </c>
      <c r="E350" s="24" t="s">
        <v>84</v>
      </c>
      <c r="F350" s="24" t="s">
        <v>41</v>
      </c>
      <c r="G350" s="31" t="n">
        <v>46145</v>
      </c>
      <c r="H350" s="24"/>
      <c r="I350" s="24"/>
      <c r="J350" s="24"/>
      <c r="K350" s="24" t="n">
        <v>3</v>
      </c>
      <c r="L350" s="24" t="str">
        <f aca="false">IF(J350&lt;&gt;"","Enrolled",IF(I350&lt;&gt;"","Admitted",IF(H350&lt;&gt;"","Applied",IF(G350&lt;&gt;"","Contacted","New"))))</f>
        <v>Contacted</v>
      </c>
      <c r="M350" s="32" t="n">
        <f aca="false">IF(G350="","",G350-B350)</f>
        <v>0</v>
      </c>
      <c r="N350" s="24" t="str">
        <f aca="false">IF(COUNTIF($A$2:A350,A350)&gt;1,"Duplicate ID",IF(C350="","Missing source",IF(OR(AND(G350&lt;&gt;"",G350&lt;B350),AND(H350&lt;&gt;"",H350&lt;B350),AND(I350&lt;&gt;"",I350&lt;H350),AND(J350&lt;&gt;"",J350&lt;I350)),"Date error","OK")))</f>
        <v>OK</v>
      </c>
    </row>
    <row r="351" customFormat="false" ht="15" hidden="false" customHeight="false" outlineLevel="0" collapsed="false">
      <c r="A351" s="24" t="s">
        <v>431</v>
      </c>
      <c r="B351" s="31" t="n">
        <v>46145</v>
      </c>
      <c r="C351" s="24" t="s">
        <v>21</v>
      </c>
      <c r="D351" s="24" t="s">
        <v>33</v>
      </c>
      <c r="E351" s="24" t="s">
        <v>89</v>
      </c>
      <c r="F351" s="24" t="s">
        <v>43</v>
      </c>
      <c r="G351" s="31" t="n">
        <v>46147</v>
      </c>
      <c r="H351" s="31" t="n">
        <v>46170</v>
      </c>
      <c r="I351" s="31" t="n">
        <v>46178</v>
      </c>
      <c r="J351" s="31" t="n">
        <v>46205</v>
      </c>
      <c r="K351" s="24" t="n">
        <v>7</v>
      </c>
      <c r="L351" s="24" t="str">
        <f aca="false">IF(J351&lt;&gt;"","Enrolled",IF(I351&lt;&gt;"","Admitted",IF(H351&lt;&gt;"","Applied",IF(G351&lt;&gt;"","Contacted","New"))))</f>
        <v>Enrolled</v>
      </c>
      <c r="M351" s="32" t="n">
        <f aca="false">IF(G351="","",G351-B351)</f>
        <v>2</v>
      </c>
      <c r="N351" s="24" t="str">
        <f aca="false">IF(COUNTIF($A$2:A351,A351)&gt;1,"Duplicate ID",IF(C351="","Missing source",IF(OR(AND(G351&lt;&gt;"",G351&lt;B351),AND(H351&lt;&gt;"",H351&lt;B351),AND(I351&lt;&gt;"",I351&lt;H351),AND(J351&lt;&gt;"",J351&lt;I351)),"Date error","OK")))</f>
        <v>OK</v>
      </c>
    </row>
    <row r="352" customFormat="false" ht="15" hidden="false" customHeight="false" outlineLevel="0" collapsed="false">
      <c r="A352" s="24" t="s">
        <v>432</v>
      </c>
      <c r="B352" s="31" t="n">
        <v>46145</v>
      </c>
      <c r="C352" s="24" t="s">
        <v>24</v>
      </c>
      <c r="D352" s="24" t="s">
        <v>36</v>
      </c>
      <c r="E352" s="24" t="s">
        <v>84</v>
      </c>
      <c r="F352" s="24" t="s">
        <v>41</v>
      </c>
      <c r="G352" s="31" t="n">
        <v>46147</v>
      </c>
      <c r="H352" s="24"/>
      <c r="I352" s="24"/>
      <c r="J352" s="24"/>
      <c r="K352" s="24" t="n">
        <v>0</v>
      </c>
      <c r="L352" s="24" t="str">
        <f aca="false">IF(J352&lt;&gt;"","Enrolled",IF(I352&lt;&gt;"","Admitted",IF(H352&lt;&gt;"","Applied",IF(G352&lt;&gt;"","Contacted","New"))))</f>
        <v>Contacted</v>
      </c>
      <c r="M352" s="32" t="n">
        <f aca="false">IF(G352="","",G352-B352)</f>
        <v>2</v>
      </c>
      <c r="N352" s="24" t="str">
        <f aca="false">IF(COUNTIF($A$2:A352,A352)&gt;1,"Duplicate ID",IF(C352="","Missing source",IF(OR(AND(G352&lt;&gt;"",G352&lt;B352),AND(H352&lt;&gt;"",H352&lt;B352),AND(I352&lt;&gt;"",I352&lt;H352),AND(J352&lt;&gt;"",J352&lt;I352)),"Date error","OK")))</f>
        <v>OK</v>
      </c>
    </row>
    <row r="353" customFormat="false" ht="15" hidden="false" customHeight="false" outlineLevel="0" collapsed="false">
      <c r="A353" s="24" t="s">
        <v>433</v>
      </c>
      <c r="B353" s="31" t="n">
        <v>46145</v>
      </c>
      <c r="C353" s="24" t="s">
        <v>26</v>
      </c>
      <c r="D353" s="24" t="s">
        <v>34</v>
      </c>
      <c r="E353" s="24" t="s">
        <v>89</v>
      </c>
      <c r="F353" s="24" t="s">
        <v>42</v>
      </c>
      <c r="G353" s="31" t="n">
        <v>46151</v>
      </c>
      <c r="H353" s="24"/>
      <c r="I353" s="24"/>
      <c r="J353" s="24"/>
      <c r="K353" s="24" t="n">
        <v>0</v>
      </c>
      <c r="L353" s="24" t="str">
        <f aca="false">IF(J353&lt;&gt;"","Enrolled",IF(I353&lt;&gt;"","Admitted",IF(H353&lt;&gt;"","Applied",IF(G353&lt;&gt;"","Contacted","New"))))</f>
        <v>Contacted</v>
      </c>
      <c r="M353" s="32" t="n">
        <f aca="false">IF(G353="","",G353-B353)</f>
        <v>6</v>
      </c>
      <c r="N353" s="24" t="str">
        <f aca="false">IF(COUNTIF($A$2:A353,A353)&gt;1,"Duplicate ID",IF(C353="","Missing source",IF(OR(AND(G353&lt;&gt;"",G353&lt;B353),AND(H353&lt;&gt;"",H353&lt;B353),AND(I353&lt;&gt;"",I353&lt;H353),AND(J353&lt;&gt;"",J353&lt;I353)),"Date error","OK")))</f>
        <v>OK</v>
      </c>
    </row>
    <row r="354" customFormat="false" ht="15" hidden="false" customHeight="false" outlineLevel="0" collapsed="false">
      <c r="A354" s="24" t="s">
        <v>434</v>
      </c>
      <c r="B354" s="31" t="n">
        <v>46145</v>
      </c>
      <c r="C354" s="24" t="s">
        <v>26</v>
      </c>
      <c r="D354" s="24" t="s">
        <v>35</v>
      </c>
      <c r="E354" s="24" t="s">
        <v>79</v>
      </c>
      <c r="F354" s="24" t="s">
        <v>45</v>
      </c>
      <c r="G354" s="31" t="n">
        <v>46146</v>
      </c>
      <c r="H354" s="24"/>
      <c r="I354" s="24"/>
      <c r="J354" s="24"/>
      <c r="K354" s="24" t="n">
        <v>4</v>
      </c>
      <c r="L354" s="24" t="str">
        <f aca="false">IF(J354&lt;&gt;"","Enrolled",IF(I354&lt;&gt;"","Admitted",IF(H354&lt;&gt;"","Applied",IF(G354&lt;&gt;"","Contacted","New"))))</f>
        <v>Contacted</v>
      </c>
      <c r="M354" s="32" t="n">
        <f aca="false">IF(G354="","",G354-B354)</f>
        <v>1</v>
      </c>
      <c r="N354" s="24" t="str">
        <f aca="false">IF(COUNTIF($A$2:A354,A354)&gt;1,"Duplicate ID",IF(C354="","Missing source",IF(OR(AND(G354&lt;&gt;"",G354&lt;B354),AND(H354&lt;&gt;"",H354&lt;B354),AND(I354&lt;&gt;"",I354&lt;H354),AND(J354&lt;&gt;"",J354&lt;I354)),"Date error","OK")))</f>
        <v>OK</v>
      </c>
    </row>
    <row r="355" customFormat="false" ht="15" hidden="false" customHeight="false" outlineLevel="0" collapsed="false">
      <c r="A355" s="24" t="s">
        <v>435</v>
      </c>
      <c r="B355" s="31" t="n">
        <v>46145</v>
      </c>
      <c r="C355" s="24" t="s">
        <v>26</v>
      </c>
      <c r="D355" s="24" t="s">
        <v>34</v>
      </c>
      <c r="E355" s="24" t="s">
        <v>81</v>
      </c>
      <c r="F355" s="24" t="s">
        <v>42</v>
      </c>
      <c r="G355" s="24"/>
      <c r="H355" s="24"/>
      <c r="I355" s="24"/>
      <c r="J355" s="24"/>
      <c r="K355" s="24" t="n">
        <v>0</v>
      </c>
      <c r="L355" s="24" t="str">
        <f aca="false">IF(J355&lt;&gt;"","Enrolled",IF(I355&lt;&gt;"","Admitted",IF(H355&lt;&gt;"","Applied",IF(G355&lt;&gt;"","Contacted","New"))))</f>
        <v>New</v>
      </c>
      <c r="M355" s="32" t="str">
        <f aca="false">IF(G355="","",G355-B355)</f>
        <v/>
      </c>
      <c r="N355" s="24" t="str">
        <f aca="false">IF(COUNTIF($A$2:A355,A355)&gt;1,"Duplicate ID",IF(C355="","Missing source",IF(OR(AND(G355&lt;&gt;"",G355&lt;B355),AND(H355&lt;&gt;"",H355&lt;B355),AND(I355&lt;&gt;"",I355&lt;H355),AND(J355&lt;&gt;"",J355&lt;I355)),"Date error","OK")))</f>
        <v>OK</v>
      </c>
    </row>
    <row r="356" customFormat="false" ht="15" hidden="false" customHeight="false" outlineLevel="0" collapsed="false">
      <c r="A356" s="24" t="s">
        <v>436</v>
      </c>
      <c r="B356" s="31" t="n">
        <v>46145</v>
      </c>
      <c r="C356" s="24" t="s">
        <v>25</v>
      </c>
      <c r="D356" s="24" t="s">
        <v>35</v>
      </c>
      <c r="E356" s="24" t="s">
        <v>94</v>
      </c>
      <c r="F356" s="24" t="s">
        <v>45</v>
      </c>
      <c r="G356" s="31" t="n">
        <v>46145</v>
      </c>
      <c r="H356" s="24"/>
      <c r="I356" s="24"/>
      <c r="J356" s="24"/>
      <c r="K356" s="24" t="n">
        <v>5</v>
      </c>
      <c r="L356" s="24" t="str">
        <f aca="false">IF(J356&lt;&gt;"","Enrolled",IF(I356&lt;&gt;"","Admitted",IF(H356&lt;&gt;"","Applied",IF(G356&lt;&gt;"","Contacted","New"))))</f>
        <v>Contacted</v>
      </c>
      <c r="M356" s="32" t="n">
        <f aca="false">IF(G356="","",G356-B356)</f>
        <v>0</v>
      </c>
      <c r="N356" s="24" t="str">
        <f aca="false">IF(COUNTIF($A$2:A356,A356)&gt;1,"Duplicate ID",IF(C356="","Missing source",IF(OR(AND(G356&lt;&gt;"",G356&lt;B356),AND(H356&lt;&gt;"",H356&lt;B356),AND(I356&lt;&gt;"",I356&lt;H356),AND(J356&lt;&gt;"",J356&lt;I356)),"Date error","OK")))</f>
        <v>OK</v>
      </c>
    </row>
    <row r="357" customFormat="false" ht="15" hidden="false" customHeight="false" outlineLevel="0" collapsed="false">
      <c r="A357" s="24" t="s">
        <v>437</v>
      </c>
      <c r="B357" s="31" t="n">
        <v>46145</v>
      </c>
      <c r="C357" s="24" t="s">
        <v>24</v>
      </c>
      <c r="D357" s="24" t="s">
        <v>36</v>
      </c>
      <c r="E357" s="24" t="s">
        <v>81</v>
      </c>
      <c r="F357" s="24" t="s">
        <v>43</v>
      </c>
      <c r="G357" s="31" t="n">
        <v>46151</v>
      </c>
      <c r="H357" s="24"/>
      <c r="I357" s="24"/>
      <c r="J357" s="24"/>
      <c r="K357" s="24" t="n">
        <v>1</v>
      </c>
      <c r="L357" s="24" t="str">
        <f aca="false">IF(J357&lt;&gt;"","Enrolled",IF(I357&lt;&gt;"","Admitted",IF(H357&lt;&gt;"","Applied",IF(G357&lt;&gt;"","Contacted","New"))))</f>
        <v>Contacted</v>
      </c>
      <c r="M357" s="32" t="n">
        <f aca="false">IF(G357="","",G357-B357)</f>
        <v>6</v>
      </c>
      <c r="N357" s="24" t="str">
        <f aca="false">IF(COUNTIF($A$2:A357,A357)&gt;1,"Duplicate ID",IF(C357="","Missing source",IF(OR(AND(G357&lt;&gt;"",G357&lt;B357),AND(H357&lt;&gt;"",H357&lt;B357),AND(I357&lt;&gt;"",I357&lt;H357),AND(J357&lt;&gt;"",J357&lt;I357)),"Date error","OK")))</f>
        <v>OK</v>
      </c>
    </row>
    <row r="358" customFormat="false" ht="15" hidden="false" customHeight="false" outlineLevel="0" collapsed="false">
      <c r="A358" s="24" t="s">
        <v>438</v>
      </c>
      <c r="B358" s="31" t="n">
        <v>46145</v>
      </c>
      <c r="C358" s="24" t="s">
        <v>25</v>
      </c>
      <c r="D358" s="24" t="s">
        <v>33</v>
      </c>
      <c r="E358" s="24" t="s">
        <v>81</v>
      </c>
      <c r="F358" s="24" t="s">
        <v>43</v>
      </c>
      <c r="G358" s="31" t="n">
        <v>46146</v>
      </c>
      <c r="H358" s="24"/>
      <c r="I358" s="24"/>
      <c r="J358" s="24"/>
      <c r="K358" s="24" t="n">
        <v>1</v>
      </c>
      <c r="L358" s="24" t="str">
        <f aca="false">IF(J358&lt;&gt;"","Enrolled",IF(I358&lt;&gt;"","Admitted",IF(H358&lt;&gt;"","Applied",IF(G358&lt;&gt;"","Contacted","New"))))</f>
        <v>Contacted</v>
      </c>
      <c r="M358" s="32" t="n">
        <f aca="false">IF(G358="","",G358-B358)</f>
        <v>1</v>
      </c>
      <c r="N358" s="24" t="str">
        <f aca="false">IF(COUNTIF($A$2:A358,A358)&gt;1,"Duplicate ID",IF(C358="","Missing source",IF(OR(AND(G358&lt;&gt;"",G358&lt;B358),AND(H358&lt;&gt;"",H358&lt;B358),AND(I358&lt;&gt;"",I358&lt;H358),AND(J358&lt;&gt;"",J358&lt;I358)),"Date error","OK")))</f>
        <v>OK</v>
      </c>
    </row>
    <row r="359" customFormat="false" ht="15" hidden="false" customHeight="false" outlineLevel="0" collapsed="false">
      <c r="A359" s="24" t="s">
        <v>439</v>
      </c>
      <c r="B359" s="31" t="n">
        <v>46145</v>
      </c>
      <c r="C359" s="24" t="s">
        <v>22</v>
      </c>
      <c r="D359" s="24" t="s">
        <v>36</v>
      </c>
      <c r="E359" s="24" t="s">
        <v>89</v>
      </c>
      <c r="F359" s="24" t="s">
        <v>42</v>
      </c>
      <c r="G359" s="24"/>
      <c r="H359" s="24"/>
      <c r="I359" s="24"/>
      <c r="J359" s="24"/>
      <c r="K359" s="24" t="n">
        <v>0</v>
      </c>
      <c r="L359" s="24" t="str">
        <f aca="false">IF(J359&lt;&gt;"","Enrolled",IF(I359&lt;&gt;"","Admitted",IF(H359&lt;&gt;"","Applied",IF(G359&lt;&gt;"","Contacted","New"))))</f>
        <v>New</v>
      </c>
      <c r="M359" s="32" t="str">
        <f aca="false">IF(G359="","",G359-B359)</f>
        <v/>
      </c>
      <c r="N359" s="24" t="str">
        <f aca="false">IF(COUNTIF($A$2:A359,A359)&gt;1,"Duplicate ID",IF(C359="","Missing source",IF(OR(AND(G359&lt;&gt;"",G359&lt;B359),AND(H359&lt;&gt;"",H359&lt;B359),AND(I359&lt;&gt;"",I359&lt;H359),AND(J359&lt;&gt;"",J359&lt;I359)),"Date error","OK")))</f>
        <v>OK</v>
      </c>
    </row>
    <row r="360" customFormat="false" ht="15" hidden="false" customHeight="false" outlineLevel="0" collapsed="false">
      <c r="A360" s="24" t="s">
        <v>440</v>
      </c>
      <c r="B360" s="31" t="n">
        <v>46146</v>
      </c>
      <c r="C360" s="24" t="s">
        <v>21</v>
      </c>
      <c r="D360" s="24" t="s">
        <v>36</v>
      </c>
      <c r="E360" s="24" t="s">
        <v>89</v>
      </c>
      <c r="F360" s="24" t="s">
        <v>45</v>
      </c>
      <c r="G360" s="31" t="n">
        <v>46147</v>
      </c>
      <c r="H360" s="31" t="n">
        <v>46142</v>
      </c>
      <c r="I360" s="31" t="n">
        <v>46166</v>
      </c>
      <c r="J360" s="24"/>
      <c r="K360" s="24" t="n">
        <v>3</v>
      </c>
      <c r="L360" s="24" t="str">
        <f aca="false">IF(J360&lt;&gt;"","Enrolled",IF(I360&lt;&gt;"","Admitted",IF(H360&lt;&gt;"","Applied",IF(G360&lt;&gt;"","Contacted","New"))))</f>
        <v>Admitted</v>
      </c>
      <c r="M360" s="32" t="n">
        <f aca="false">IF(G360="","",G360-B360)</f>
        <v>1</v>
      </c>
      <c r="N360" s="24" t="str">
        <f aca="false">IF(COUNTIF($A$2:A360,A360)&gt;1,"Duplicate ID",IF(C360="","Missing source",IF(OR(AND(G360&lt;&gt;"",G360&lt;B360),AND(H360&lt;&gt;"",H360&lt;B360),AND(I360&lt;&gt;"",I360&lt;H360),AND(J360&lt;&gt;"",J360&lt;I360)),"Date error","OK")))</f>
        <v>Date error</v>
      </c>
    </row>
    <row r="361" customFormat="false" ht="15" hidden="false" customHeight="false" outlineLevel="0" collapsed="false">
      <c r="A361" s="24" t="s">
        <v>441</v>
      </c>
      <c r="B361" s="31" t="n">
        <v>46146</v>
      </c>
      <c r="C361" s="24" t="s">
        <v>24</v>
      </c>
      <c r="D361" s="24" t="s">
        <v>32</v>
      </c>
      <c r="E361" s="24" t="s">
        <v>79</v>
      </c>
      <c r="F361" s="24" t="s">
        <v>42</v>
      </c>
      <c r="G361" s="31" t="n">
        <v>46149</v>
      </c>
      <c r="H361" s="31" t="n">
        <v>46171</v>
      </c>
      <c r="I361" s="31" t="n">
        <v>46180</v>
      </c>
      <c r="J361" s="24"/>
      <c r="K361" s="24" t="n">
        <v>2</v>
      </c>
      <c r="L361" s="24" t="str">
        <f aca="false">IF(J361&lt;&gt;"","Enrolled",IF(I361&lt;&gt;"","Admitted",IF(H361&lt;&gt;"","Applied",IF(G361&lt;&gt;"","Contacted","New"))))</f>
        <v>Admitted</v>
      </c>
      <c r="M361" s="32" t="n">
        <f aca="false">IF(G361="","",G361-B361)</f>
        <v>3</v>
      </c>
      <c r="N361" s="24" t="str">
        <f aca="false">IF(COUNTIF($A$2:A361,A361)&gt;1,"Duplicate ID",IF(C361="","Missing source",IF(OR(AND(G361&lt;&gt;"",G361&lt;B361),AND(H361&lt;&gt;"",H361&lt;B361),AND(I361&lt;&gt;"",I361&lt;H361),AND(J361&lt;&gt;"",J361&lt;I361)),"Date error","OK")))</f>
        <v>OK</v>
      </c>
    </row>
    <row r="362" customFormat="false" ht="15" hidden="false" customHeight="false" outlineLevel="0" collapsed="false">
      <c r="A362" s="24" t="s">
        <v>442</v>
      </c>
      <c r="B362" s="31" t="n">
        <v>46146</v>
      </c>
      <c r="C362" s="24" t="s">
        <v>25</v>
      </c>
      <c r="D362" s="24" t="s">
        <v>32</v>
      </c>
      <c r="E362" s="24" t="s">
        <v>79</v>
      </c>
      <c r="F362" s="24" t="s">
        <v>41</v>
      </c>
      <c r="G362" s="31" t="n">
        <v>46148</v>
      </c>
      <c r="H362" s="24"/>
      <c r="I362" s="24"/>
      <c r="J362" s="24"/>
      <c r="K362" s="24" t="n">
        <v>3</v>
      </c>
      <c r="L362" s="24" t="str">
        <f aca="false">IF(J362&lt;&gt;"","Enrolled",IF(I362&lt;&gt;"","Admitted",IF(H362&lt;&gt;"","Applied",IF(G362&lt;&gt;"","Contacted","New"))))</f>
        <v>Contacted</v>
      </c>
      <c r="M362" s="32" t="n">
        <f aca="false">IF(G362="","",G362-B362)</f>
        <v>2</v>
      </c>
      <c r="N362" s="24" t="str">
        <f aca="false">IF(COUNTIF($A$2:A362,A362)&gt;1,"Duplicate ID",IF(C362="","Missing source",IF(OR(AND(G362&lt;&gt;"",G362&lt;B362),AND(H362&lt;&gt;"",H362&lt;B362),AND(I362&lt;&gt;"",I362&lt;H362),AND(J362&lt;&gt;"",J362&lt;I362)),"Date error","OK")))</f>
        <v>OK</v>
      </c>
    </row>
    <row r="363" customFormat="false" ht="15" hidden="false" customHeight="false" outlineLevel="0" collapsed="false">
      <c r="A363" s="24" t="s">
        <v>443</v>
      </c>
      <c r="B363" s="31" t="n">
        <v>46146</v>
      </c>
      <c r="C363" s="24" t="s">
        <v>25</v>
      </c>
      <c r="D363" s="24" t="s">
        <v>36</v>
      </c>
      <c r="E363" s="24" t="s">
        <v>81</v>
      </c>
      <c r="F363" s="24" t="s">
        <v>41</v>
      </c>
      <c r="G363" s="31" t="n">
        <v>46146</v>
      </c>
      <c r="H363" s="24"/>
      <c r="I363" s="24"/>
      <c r="J363" s="24"/>
      <c r="K363" s="24" t="n">
        <v>3</v>
      </c>
      <c r="L363" s="24" t="str">
        <f aca="false">IF(J363&lt;&gt;"","Enrolled",IF(I363&lt;&gt;"","Admitted",IF(H363&lt;&gt;"","Applied",IF(G363&lt;&gt;"","Contacted","New"))))</f>
        <v>Contacted</v>
      </c>
      <c r="M363" s="32" t="n">
        <f aca="false">IF(G363="","",G363-B363)</f>
        <v>0</v>
      </c>
      <c r="N363" s="24" t="str">
        <f aca="false">IF(COUNTIF($A$2:A363,A363)&gt;1,"Duplicate ID",IF(C363="","Missing source",IF(OR(AND(G363&lt;&gt;"",G363&lt;B363),AND(H363&lt;&gt;"",H363&lt;B363),AND(I363&lt;&gt;"",I363&lt;H363),AND(J363&lt;&gt;"",J363&lt;I363)),"Date error","OK")))</f>
        <v>OK</v>
      </c>
    </row>
    <row r="364" customFormat="false" ht="15" hidden="false" customHeight="false" outlineLevel="0" collapsed="false">
      <c r="A364" s="24" t="s">
        <v>444</v>
      </c>
      <c r="B364" s="31" t="n">
        <v>46146</v>
      </c>
      <c r="C364" s="24" t="s">
        <v>22</v>
      </c>
      <c r="D364" s="24" t="s">
        <v>33</v>
      </c>
      <c r="E364" s="24" t="s">
        <v>79</v>
      </c>
      <c r="F364" s="24" t="s">
        <v>44</v>
      </c>
      <c r="G364" s="31" t="n">
        <v>46148</v>
      </c>
      <c r="H364" s="31" t="n">
        <v>46173</v>
      </c>
      <c r="I364" s="31" t="n">
        <v>46180</v>
      </c>
      <c r="J364" s="31" t="n">
        <v>46187</v>
      </c>
      <c r="K364" s="24" t="n">
        <v>7</v>
      </c>
      <c r="L364" s="24" t="str">
        <f aca="false">IF(J364&lt;&gt;"","Enrolled",IF(I364&lt;&gt;"","Admitted",IF(H364&lt;&gt;"","Applied",IF(G364&lt;&gt;"","Contacted","New"))))</f>
        <v>Enrolled</v>
      </c>
      <c r="M364" s="32" t="n">
        <f aca="false">IF(G364="","",G364-B364)</f>
        <v>2</v>
      </c>
      <c r="N364" s="24" t="str">
        <f aca="false">IF(COUNTIF($A$2:A364,A364)&gt;1,"Duplicate ID",IF(C364="","Missing source",IF(OR(AND(G364&lt;&gt;"",G364&lt;B364),AND(H364&lt;&gt;"",H364&lt;B364),AND(I364&lt;&gt;"",I364&lt;H364),AND(J364&lt;&gt;"",J364&lt;I364)),"Date error","OK")))</f>
        <v>OK</v>
      </c>
    </row>
    <row r="365" customFormat="false" ht="15" hidden="false" customHeight="false" outlineLevel="0" collapsed="false">
      <c r="A365" s="24" t="s">
        <v>445</v>
      </c>
      <c r="B365" s="31" t="n">
        <v>46147</v>
      </c>
      <c r="C365" s="24" t="s">
        <v>25</v>
      </c>
      <c r="D365" s="24" t="s">
        <v>32</v>
      </c>
      <c r="E365" s="24" t="s">
        <v>89</v>
      </c>
      <c r="F365" s="24" t="s">
        <v>40</v>
      </c>
      <c r="G365" s="31" t="n">
        <v>46148</v>
      </c>
      <c r="H365" s="31" t="n">
        <v>46160</v>
      </c>
      <c r="I365" s="31" t="n">
        <v>46167</v>
      </c>
      <c r="J365" s="24"/>
      <c r="K365" s="24" t="n">
        <v>2</v>
      </c>
      <c r="L365" s="24" t="str">
        <f aca="false">IF(J365&lt;&gt;"","Enrolled",IF(I365&lt;&gt;"","Admitted",IF(H365&lt;&gt;"","Applied",IF(G365&lt;&gt;"","Contacted","New"))))</f>
        <v>Admitted</v>
      </c>
      <c r="M365" s="32" t="n">
        <f aca="false">IF(G365="","",G365-B365)</f>
        <v>1</v>
      </c>
      <c r="N365" s="24" t="str">
        <f aca="false">IF(COUNTIF($A$2:A365,A365)&gt;1,"Duplicate ID",IF(C365="","Missing source",IF(OR(AND(G365&lt;&gt;"",G365&lt;B365),AND(H365&lt;&gt;"",H365&lt;B365),AND(I365&lt;&gt;"",I365&lt;H365),AND(J365&lt;&gt;"",J365&lt;I365)),"Date error","OK")))</f>
        <v>OK</v>
      </c>
    </row>
    <row r="366" customFormat="false" ht="15" hidden="false" customHeight="false" outlineLevel="0" collapsed="false">
      <c r="A366" s="24" t="s">
        <v>446</v>
      </c>
      <c r="B366" s="31" t="n">
        <v>46147</v>
      </c>
      <c r="C366" s="24" t="s">
        <v>26</v>
      </c>
      <c r="D366" s="24" t="s">
        <v>32</v>
      </c>
      <c r="E366" s="24" t="s">
        <v>89</v>
      </c>
      <c r="F366" s="24" t="s">
        <v>42</v>
      </c>
      <c r="G366" s="31" t="n">
        <v>46150</v>
      </c>
      <c r="H366" s="24"/>
      <c r="I366" s="24"/>
      <c r="J366" s="24"/>
      <c r="K366" s="24" t="n">
        <v>2</v>
      </c>
      <c r="L366" s="24" t="str">
        <f aca="false">IF(J366&lt;&gt;"","Enrolled",IF(I366&lt;&gt;"","Admitted",IF(H366&lt;&gt;"","Applied",IF(G366&lt;&gt;"","Contacted","New"))))</f>
        <v>Contacted</v>
      </c>
      <c r="M366" s="32" t="n">
        <f aca="false">IF(G366="","",G366-B366)</f>
        <v>3</v>
      </c>
      <c r="N366" s="24" t="str">
        <f aca="false">IF(COUNTIF($A$2:A366,A366)&gt;1,"Duplicate ID",IF(C366="","Missing source",IF(OR(AND(G366&lt;&gt;"",G366&lt;B366),AND(H366&lt;&gt;"",H366&lt;B366),AND(I366&lt;&gt;"",I366&lt;H366),AND(J366&lt;&gt;"",J366&lt;I366)),"Date error","OK")))</f>
        <v>OK</v>
      </c>
    </row>
    <row r="367" customFormat="false" ht="15" hidden="false" customHeight="false" outlineLevel="0" collapsed="false">
      <c r="A367" s="24" t="s">
        <v>447</v>
      </c>
      <c r="B367" s="31" t="n">
        <v>46147</v>
      </c>
      <c r="C367" s="24" t="s">
        <v>26</v>
      </c>
      <c r="D367" s="24" t="s">
        <v>32</v>
      </c>
      <c r="E367" s="24" t="s">
        <v>89</v>
      </c>
      <c r="F367" s="24" t="s">
        <v>41</v>
      </c>
      <c r="G367" s="31" t="n">
        <v>46148</v>
      </c>
      <c r="H367" s="24"/>
      <c r="I367" s="24"/>
      <c r="J367" s="24"/>
      <c r="K367" s="24" t="n">
        <v>3</v>
      </c>
      <c r="L367" s="24" t="str">
        <f aca="false">IF(J367&lt;&gt;"","Enrolled",IF(I367&lt;&gt;"","Admitted",IF(H367&lt;&gt;"","Applied",IF(G367&lt;&gt;"","Contacted","New"))))</f>
        <v>Contacted</v>
      </c>
      <c r="M367" s="32" t="n">
        <f aca="false">IF(G367="","",G367-B367)</f>
        <v>1</v>
      </c>
      <c r="N367" s="24" t="str">
        <f aca="false">IF(COUNTIF($A$2:A367,A367)&gt;1,"Duplicate ID",IF(C367="","Missing source",IF(OR(AND(G367&lt;&gt;"",G367&lt;B367),AND(H367&lt;&gt;"",H367&lt;B367),AND(I367&lt;&gt;"",I367&lt;H367),AND(J367&lt;&gt;"",J367&lt;I367)),"Date error","OK")))</f>
        <v>OK</v>
      </c>
    </row>
    <row r="368" customFormat="false" ht="15" hidden="false" customHeight="false" outlineLevel="0" collapsed="false">
      <c r="A368" s="24" t="s">
        <v>448</v>
      </c>
      <c r="B368" s="31" t="n">
        <v>46147</v>
      </c>
      <c r="C368" s="24" t="s">
        <v>26</v>
      </c>
      <c r="D368" s="24" t="s">
        <v>33</v>
      </c>
      <c r="E368" s="24" t="s">
        <v>89</v>
      </c>
      <c r="F368" s="24" t="s">
        <v>40</v>
      </c>
      <c r="G368" s="31" t="n">
        <v>46147</v>
      </c>
      <c r="H368" s="24"/>
      <c r="I368" s="24"/>
      <c r="J368" s="24"/>
      <c r="K368" s="24" t="n">
        <v>2</v>
      </c>
      <c r="L368" s="24" t="str">
        <f aca="false">IF(J368&lt;&gt;"","Enrolled",IF(I368&lt;&gt;"","Admitted",IF(H368&lt;&gt;"","Applied",IF(G368&lt;&gt;"","Contacted","New"))))</f>
        <v>Contacted</v>
      </c>
      <c r="M368" s="32" t="n">
        <f aca="false">IF(G368="","",G368-B368)</f>
        <v>0</v>
      </c>
      <c r="N368" s="24" t="str">
        <f aca="false">IF(COUNTIF($A$2:A368,A368)&gt;1,"Duplicate ID",IF(C368="","Missing source",IF(OR(AND(G368&lt;&gt;"",G368&lt;B368),AND(H368&lt;&gt;"",H368&lt;B368),AND(I368&lt;&gt;"",I368&lt;H368),AND(J368&lt;&gt;"",J368&lt;I368)),"Date error","OK")))</f>
        <v>OK</v>
      </c>
    </row>
    <row r="369" customFormat="false" ht="15" hidden="false" customHeight="false" outlineLevel="0" collapsed="false">
      <c r="A369" s="24" t="s">
        <v>449</v>
      </c>
      <c r="B369" s="31" t="n">
        <v>46147</v>
      </c>
      <c r="C369" s="24" t="s">
        <v>26</v>
      </c>
      <c r="D369" s="24" t="s">
        <v>35</v>
      </c>
      <c r="E369" s="24" t="s">
        <v>81</v>
      </c>
      <c r="F369" s="24" t="s">
        <v>44</v>
      </c>
      <c r="G369" s="31" t="n">
        <v>46150</v>
      </c>
      <c r="H369" s="24"/>
      <c r="I369" s="24"/>
      <c r="J369" s="24"/>
      <c r="K369" s="24" t="n">
        <v>1</v>
      </c>
      <c r="L369" s="24" t="str">
        <f aca="false">IF(J369&lt;&gt;"","Enrolled",IF(I369&lt;&gt;"","Admitted",IF(H369&lt;&gt;"","Applied",IF(G369&lt;&gt;"","Contacted","New"))))</f>
        <v>Contacted</v>
      </c>
      <c r="M369" s="32" t="n">
        <f aca="false">IF(G369="","",G369-B369)</f>
        <v>3</v>
      </c>
      <c r="N369" s="24" t="str">
        <f aca="false">IF(COUNTIF($A$2:A369,A369)&gt;1,"Duplicate ID",IF(C369="","Missing source",IF(OR(AND(G369&lt;&gt;"",G369&lt;B369),AND(H369&lt;&gt;"",H369&lt;B369),AND(I369&lt;&gt;"",I369&lt;H369),AND(J369&lt;&gt;"",J369&lt;I369)),"Date error","OK")))</f>
        <v>OK</v>
      </c>
    </row>
    <row r="370" customFormat="false" ht="15" hidden="false" customHeight="false" outlineLevel="0" collapsed="false">
      <c r="A370" s="24" t="s">
        <v>450</v>
      </c>
      <c r="B370" s="31" t="n">
        <v>46148</v>
      </c>
      <c r="C370" s="24" t="s">
        <v>26</v>
      </c>
      <c r="D370" s="24" t="s">
        <v>33</v>
      </c>
      <c r="E370" s="24" t="s">
        <v>89</v>
      </c>
      <c r="F370" s="24" t="s">
        <v>42</v>
      </c>
      <c r="G370" s="31" t="n">
        <v>46148</v>
      </c>
      <c r="H370" s="24"/>
      <c r="I370" s="24"/>
      <c r="J370" s="24"/>
      <c r="K370" s="24" t="n">
        <v>3</v>
      </c>
      <c r="L370" s="24" t="str">
        <f aca="false">IF(J370&lt;&gt;"","Enrolled",IF(I370&lt;&gt;"","Admitted",IF(H370&lt;&gt;"","Applied",IF(G370&lt;&gt;"","Contacted","New"))))</f>
        <v>Contacted</v>
      </c>
      <c r="M370" s="32" t="n">
        <f aca="false">IF(G370="","",G370-B370)</f>
        <v>0</v>
      </c>
      <c r="N370" s="24" t="str">
        <f aca="false">IF(COUNTIF($A$2:A370,A370)&gt;1,"Duplicate ID",IF(C370="","Missing source",IF(OR(AND(G370&lt;&gt;"",G370&lt;B370),AND(H370&lt;&gt;"",H370&lt;B370),AND(I370&lt;&gt;"",I370&lt;H370),AND(J370&lt;&gt;"",J370&lt;I370)),"Date error","OK")))</f>
        <v>OK</v>
      </c>
    </row>
    <row r="371" customFormat="false" ht="15" hidden="false" customHeight="false" outlineLevel="0" collapsed="false">
      <c r="A371" s="24" t="s">
        <v>451</v>
      </c>
      <c r="B371" s="31" t="n">
        <v>46148</v>
      </c>
      <c r="C371" s="24" t="s">
        <v>23</v>
      </c>
      <c r="D371" s="24" t="s">
        <v>36</v>
      </c>
      <c r="E371" s="24" t="s">
        <v>89</v>
      </c>
      <c r="F371" s="24" t="s">
        <v>41</v>
      </c>
      <c r="G371" s="31" t="n">
        <v>46148</v>
      </c>
      <c r="H371" s="24"/>
      <c r="I371" s="24"/>
      <c r="J371" s="24"/>
      <c r="K371" s="24" t="n">
        <v>0</v>
      </c>
      <c r="L371" s="24" t="str">
        <f aca="false">IF(J371&lt;&gt;"","Enrolled",IF(I371&lt;&gt;"","Admitted",IF(H371&lt;&gt;"","Applied",IF(G371&lt;&gt;"","Contacted","New"))))</f>
        <v>Contacted</v>
      </c>
      <c r="M371" s="32" t="n">
        <f aca="false">IF(G371="","",G371-B371)</f>
        <v>0</v>
      </c>
      <c r="N371" s="24" t="str">
        <f aca="false">IF(COUNTIF($A$2:A371,A371)&gt;1,"Duplicate ID",IF(C371="","Missing source",IF(OR(AND(G371&lt;&gt;"",G371&lt;B371),AND(H371&lt;&gt;"",H371&lt;B371),AND(I371&lt;&gt;"",I371&lt;H371),AND(J371&lt;&gt;"",J371&lt;I371)),"Date error","OK")))</f>
        <v>OK</v>
      </c>
    </row>
    <row r="372" customFormat="false" ht="15" hidden="false" customHeight="false" outlineLevel="0" collapsed="false">
      <c r="A372" s="24" t="s">
        <v>452</v>
      </c>
      <c r="B372" s="31" t="n">
        <v>46148</v>
      </c>
      <c r="C372" s="24" t="s">
        <v>23</v>
      </c>
      <c r="D372" s="24" t="s">
        <v>36</v>
      </c>
      <c r="E372" s="24" t="s">
        <v>89</v>
      </c>
      <c r="F372" s="24" t="s">
        <v>41</v>
      </c>
      <c r="G372" s="31" t="n">
        <v>46149</v>
      </c>
      <c r="H372" s="24"/>
      <c r="I372" s="24"/>
      <c r="J372" s="24"/>
      <c r="K372" s="24" t="n">
        <v>1</v>
      </c>
      <c r="L372" s="24" t="str">
        <f aca="false">IF(J372&lt;&gt;"","Enrolled",IF(I372&lt;&gt;"","Admitted",IF(H372&lt;&gt;"","Applied",IF(G372&lt;&gt;"","Contacted","New"))))</f>
        <v>Contacted</v>
      </c>
      <c r="M372" s="32" t="n">
        <f aca="false">IF(G372="","",G372-B372)</f>
        <v>1</v>
      </c>
      <c r="N372" s="24" t="str">
        <f aca="false">IF(COUNTIF($A$2:A372,A372)&gt;1,"Duplicate ID",IF(C372="","Missing source",IF(OR(AND(G372&lt;&gt;"",G372&lt;B372),AND(H372&lt;&gt;"",H372&lt;B372),AND(I372&lt;&gt;"",I372&lt;H372),AND(J372&lt;&gt;"",J372&lt;I372)),"Date error","OK")))</f>
        <v>OK</v>
      </c>
    </row>
    <row r="373" customFormat="false" ht="15" hidden="false" customHeight="false" outlineLevel="0" collapsed="false">
      <c r="A373" s="24" t="s">
        <v>453</v>
      </c>
      <c r="B373" s="31" t="n">
        <v>46148</v>
      </c>
      <c r="C373" s="24" t="s">
        <v>26</v>
      </c>
      <c r="D373" s="24" t="s">
        <v>36</v>
      </c>
      <c r="E373" s="24" t="s">
        <v>79</v>
      </c>
      <c r="F373" s="24" t="s">
        <v>42</v>
      </c>
      <c r="G373" s="31" t="n">
        <v>46149</v>
      </c>
      <c r="H373" s="24"/>
      <c r="I373" s="24"/>
      <c r="J373" s="24"/>
      <c r="K373" s="24" t="n">
        <v>1</v>
      </c>
      <c r="L373" s="24" t="str">
        <f aca="false">IF(J373&lt;&gt;"","Enrolled",IF(I373&lt;&gt;"","Admitted",IF(H373&lt;&gt;"","Applied",IF(G373&lt;&gt;"","Contacted","New"))))</f>
        <v>Contacted</v>
      </c>
      <c r="M373" s="32" t="n">
        <f aca="false">IF(G373="","",G373-B373)</f>
        <v>1</v>
      </c>
      <c r="N373" s="24" t="str">
        <f aca="false">IF(COUNTIF($A$2:A373,A373)&gt;1,"Duplicate ID",IF(C373="","Missing source",IF(OR(AND(G373&lt;&gt;"",G373&lt;B373),AND(H373&lt;&gt;"",H373&lt;B373),AND(I373&lt;&gt;"",I373&lt;H373),AND(J373&lt;&gt;"",J373&lt;I373)),"Date error","OK")))</f>
        <v>OK</v>
      </c>
    </row>
    <row r="374" customFormat="false" ht="15" hidden="false" customHeight="false" outlineLevel="0" collapsed="false">
      <c r="A374" s="24" t="s">
        <v>454</v>
      </c>
      <c r="B374" s="31" t="n">
        <v>46149</v>
      </c>
      <c r="C374" s="24" t="s">
        <v>24</v>
      </c>
      <c r="D374" s="24" t="s">
        <v>33</v>
      </c>
      <c r="E374" s="24" t="s">
        <v>89</v>
      </c>
      <c r="F374" s="24" t="s">
        <v>42</v>
      </c>
      <c r="G374" s="31" t="n">
        <v>46150</v>
      </c>
      <c r="H374" s="24"/>
      <c r="I374" s="24"/>
      <c r="J374" s="24"/>
      <c r="K374" s="24" t="n">
        <v>3</v>
      </c>
      <c r="L374" s="24" t="str">
        <f aca="false">IF(J374&lt;&gt;"","Enrolled",IF(I374&lt;&gt;"","Admitted",IF(H374&lt;&gt;"","Applied",IF(G374&lt;&gt;"","Contacted","New"))))</f>
        <v>Contacted</v>
      </c>
      <c r="M374" s="32" t="n">
        <f aca="false">IF(G374="","",G374-B374)</f>
        <v>1</v>
      </c>
      <c r="N374" s="24" t="str">
        <f aca="false">IF(COUNTIF($A$2:A374,A374)&gt;1,"Duplicate ID",IF(C374="","Missing source",IF(OR(AND(G374&lt;&gt;"",G374&lt;B374),AND(H374&lt;&gt;"",H374&lt;B374),AND(I374&lt;&gt;"",I374&lt;H374),AND(J374&lt;&gt;"",J374&lt;I374)),"Date error","OK")))</f>
        <v>OK</v>
      </c>
    </row>
    <row r="375" customFormat="false" ht="15" hidden="false" customHeight="false" outlineLevel="0" collapsed="false">
      <c r="A375" s="24" t="s">
        <v>455</v>
      </c>
      <c r="B375" s="31" t="n">
        <v>46149</v>
      </c>
      <c r="C375" s="24" t="s">
        <v>26</v>
      </c>
      <c r="D375" s="24" t="s">
        <v>35</v>
      </c>
      <c r="E375" s="24" t="s">
        <v>89</v>
      </c>
      <c r="F375" s="24" t="s">
        <v>41</v>
      </c>
      <c r="G375" s="31" t="n">
        <v>46149</v>
      </c>
      <c r="H375" s="31" t="n">
        <v>46161</v>
      </c>
      <c r="I375" s="24"/>
      <c r="J375" s="24"/>
      <c r="K375" s="24" t="n">
        <v>1</v>
      </c>
      <c r="L375" s="24" t="str">
        <f aca="false">IF(J375&lt;&gt;"","Enrolled",IF(I375&lt;&gt;"","Admitted",IF(H375&lt;&gt;"","Applied",IF(G375&lt;&gt;"","Contacted","New"))))</f>
        <v>Applied</v>
      </c>
      <c r="M375" s="32" t="n">
        <f aca="false">IF(G375="","",G375-B375)</f>
        <v>0</v>
      </c>
      <c r="N375" s="24" t="str">
        <f aca="false">IF(COUNTIF($A$2:A375,A375)&gt;1,"Duplicate ID",IF(C375="","Missing source",IF(OR(AND(G375&lt;&gt;"",G375&lt;B375),AND(H375&lt;&gt;"",H375&lt;B375),AND(I375&lt;&gt;"",I375&lt;H375),AND(J375&lt;&gt;"",J375&lt;I375)),"Date error","OK")))</f>
        <v>OK</v>
      </c>
    </row>
    <row r="376" customFormat="false" ht="15" hidden="false" customHeight="false" outlineLevel="0" collapsed="false">
      <c r="A376" s="24" t="s">
        <v>456</v>
      </c>
      <c r="B376" s="31" t="n">
        <v>46149</v>
      </c>
      <c r="C376" s="24" t="s">
        <v>25</v>
      </c>
      <c r="D376" s="24" t="s">
        <v>36</v>
      </c>
      <c r="E376" s="24" t="s">
        <v>89</v>
      </c>
      <c r="F376" s="24" t="s">
        <v>43</v>
      </c>
      <c r="G376" s="31" t="n">
        <v>46151</v>
      </c>
      <c r="H376" s="24"/>
      <c r="I376" s="24"/>
      <c r="J376" s="24"/>
      <c r="K376" s="24" t="n">
        <v>3</v>
      </c>
      <c r="L376" s="24" t="str">
        <f aca="false">IF(J376&lt;&gt;"","Enrolled",IF(I376&lt;&gt;"","Admitted",IF(H376&lt;&gt;"","Applied",IF(G376&lt;&gt;"","Contacted","New"))))</f>
        <v>Contacted</v>
      </c>
      <c r="M376" s="32" t="n">
        <f aca="false">IF(G376="","",G376-B376)</f>
        <v>2</v>
      </c>
      <c r="N376" s="24" t="str">
        <f aca="false">IF(COUNTIF($A$2:A376,A376)&gt;1,"Duplicate ID",IF(C376="","Missing source",IF(OR(AND(G376&lt;&gt;"",G376&lt;B376),AND(H376&lt;&gt;"",H376&lt;B376),AND(I376&lt;&gt;"",I376&lt;H376),AND(J376&lt;&gt;"",J376&lt;I376)),"Date error","OK")))</f>
        <v>OK</v>
      </c>
    </row>
    <row r="377" customFormat="false" ht="15" hidden="false" customHeight="false" outlineLevel="0" collapsed="false">
      <c r="A377" s="24" t="s">
        <v>457</v>
      </c>
      <c r="B377" s="31" t="n">
        <v>46149</v>
      </c>
      <c r="C377" s="24" t="s">
        <v>22</v>
      </c>
      <c r="D377" s="24" t="s">
        <v>36</v>
      </c>
      <c r="E377" s="24" t="s">
        <v>79</v>
      </c>
      <c r="F377" s="24" t="s">
        <v>42</v>
      </c>
      <c r="G377" s="31" t="n">
        <v>46151</v>
      </c>
      <c r="H377" s="24"/>
      <c r="I377" s="24"/>
      <c r="J377" s="24"/>
      <c r="K377" s="24" t="n">
        <v>2</v>
      </c>
      <c r="L377" s="24" t="str">
        <f aca="false">IF(J377&lt;&gt;"","Enrolled",IF(I377&lt;&gt;"","Admitted",IF(H377&lt;&gt;"","Applied",IF(G377&lt;&gt;"","Contacted","New"))))</f>
        <v>Contacted</v>
      </c>
      <c r="M377" s="32" t="n">
        <f aca="false">IF(G377="","",G377-B377)</f>
        <v>2</v>
      </c>
      <c r="N377" s="24" t="str">
        <f aca="false">IF(COUNTIF($A$2:A377,A377)&gt;1,"Duplicate ID",IF(C377="","Missing source",IF(OR(AND(G377&lt;&gt;"",G377&lt;B377),AND(H377&lt;&gt;"",H377&lt;B377),AND(I377&lt;&gt;"",I377&lt;H377),AND(J377&lt;&gt;"",J377&lt;I377)),"Date error","OK")))</f>
        <v>OK</v>
      </c>
    </row>
    <row r="378" customFormat="false" ht="15" hidden="false" customHeight="false" outlineLevel="0" collapsed="false">
      <c r="A378" s="24" t="s">
        <v>458</v>
      </c>
      <c r="B378" s="31" t="n">
        <v>46149</v>
      </c>
      <c r="C378" s="24" t="s">
        <v>22</v>
      </c>
      <c r="D378" s="24" t="s">
        <v>33</v>
      </c>
      <c r="E378" s="24" t="s">
        <v>89</v>
      </c>
      <c r="F378" s="24" t="s">
        <v>45</v>
      </c>
      <c r="G378" s="31" t="n">
        <v>46150</v>
      </c>
      <c r="H378" s="24"/>
      <c r="I378" s="24"/>
      <c r="J378" s="24"/>
      <c r="K378" s="24" t="n">
        <v>3</v>
      </c>
      <c r="L378" s="24" t="str">
        <f aca="false">IF(J378&lt;&gt;"","Enrolled",IF(I378&lt;&gt;"","Admitted",IF(H378&lt;&gt;"","Applied",IF(G378&lt;&gt;"","Contacted","New"))))</f>
        <v>Contacted</v>
      </c>
      <c r="M378" s="32" t="n">
        <f aca="false">IF(G378="","",G378-B378)</f>
        <v>1</v>
      </c>
      <c r="N378" s="24" t="str">
        <f aca="false">IF(COUNTIF($A$2:A378,A378)&gt;1,"Duplicate ID",IF(C378="","Missing source",IF(OR(AND(G378&lt;&gt;"",G378&lt;B378),AND(H378&lt;&gt;"",H378&lt;B378),AND(I378&lt;&gt;"",I378&lt;H378),AND(J378&lt;&gt;"",J378&lt;I378)),"Date error","OK")))</f>
        <v>OK</v>
      </c>
    </row>
    <row r="379" customFormat="false" ht="15" hidden="false" customHeight="false" outlineLevel="0" collapsed="false">
      <c r="A379" s="24" t="s">
        <v>459</v>
      </c>
      <c r="B379" s="31" t="n">
        <v>46149</v>
      </c>
      <c r="C379" s="24" t="s">
        <v>26</v>
      </c>
      <c r="D379" s="24" t="s">
        <v>34</v>
      </c>
      <c r="E379" s="24" t="s">
        <v>89</v>
      </c>
      <c r="F379" s="24" t="s">
        <v>40</v>
      </c>
      <c r="G379" s="31" t="n">
        <v>46149</v>
      </c>
      <c r="H379" s="24"/>
      <c r="I379" s="24"/>
      <c r="J379" s="24"/>
      <c r="K379" s="24" t="n">
        <v>6</v>
      </c>
      <c r="L379" s="24" t="str">
        <f aca="false">IF(J379&lt;&gt;"","Enrolled",IF(I379&lt;&gt;"","Admitted",IF(H379&lt;&gt;"","Applied",IF(G379&lt;&gt;"","Contacted","New"))))</f>
        <v>Contacted</v>
      </c>
      <c r="M379" s="32" t="n">
        <f aca="false">IF(G379="","",G379-B379)</f>
        <v>0</v>
      </c>
      <c r="N379" s="24" t="str">
        <f aca="false">IF(COUNTIF($A$2:A379,A379)&gt;1,"Duplicate ID",IF(C379="","Missing source",IF(OR(AND(G379&lt;&gt;"",G379&lt;B379),AND(H379&lt;&gt;"",H379&lt;B379),AND(I379&lt;&gt;"",I379&lt;H379),AND(J379&lt;&gt;"",J379&lt;I379)),"Date error","OK")))</f>
        <v>OK</v>
      </c>
    </row>
    <row r="380" customFormat="false" ht="15" hidden="false" customHeight="false" outlineLevel="0" collapsed="false">
      <c r="A380" s="24" t="s">
        <v>460</v>
      </c>
      <c r="B380" s="31" t="n">
        <v>46149</v>
      </c>
      <c r="C380" s="24" t="s">
        <v>22</v>
      </c>
      <c r="D380" s="24" t="s">
        <v>35</v>
      </c>
      <c r="E380" s="24" t="s">
        <v>89</v>
      </c>
      <c r="F380" s="24" t="s">
        <v>42</v>
      </c>
      <c r="G380" s="31" t="n">
        <v>46150</v>
      </c>
      <c r="H380" s="31" t="n">
        <v>46154</v>
      </c>
      <c r="I380" s="31" t="n">
        <v>46165</v>
      </c>
      <c r="J380" s="24"/>
      <c r="K380" s="24" t="n">
        <v>4</v>
      </c>
      <c r="L380" s="24" t="str">
        <f aca="false">IF(J380&lt;&gt;"","Enrolled",IF(I380&lt;&gt;"","Admitted",IF(H380&lt;&gt;"","Applied",IF(G380&lt;&gt;"","Contacted","New"))))</f>
        <v>Admitted</v>
      </c>
      <c r="M380" s="32" t="n">
        <f aca="false">IF(G380="","",G380-B380)</f>
        <v>1</v>
      </c>
      <c r="N380" s="24" t="str">
        <f aca="false">IF(COUNTIF($A$2:A380,A380)&gt;1,"Duplicate ID",IF(C380="","Missing source",IF(OR(AND(G380&lt;&gt;"",G380&lt;B380),AND(H380&lt;&gt;"",H380&lt;B380),AND(I380&lt;&gt;"",I380&lt;H380),AND(J380&lt;&gt;"",J380&lt;I380)),"Date error","OK")))</f>
        <v>OK</v>
      </c>
    </row>
    <row r="381" customFormat="false" ht="15" hidden="false" customHeight="false" outlineLevel="0" collapsed="false">
      <c r="A381" s="24" t="s">
        <v>461</v>
      </c>
      <c r="B381" s="31" t="n">
        <v>46150</v>
      </c>
      <c r="C381" s="24" t="s">
        <v>27</v>
      </c>
      <c r="D381" s="24" t="s">
        <v>34</v>
      </c>
      <c r="E381" s="24" t="s">
        <v>79</v>
      </c>
      <c r="F381" s="24" t="s">
        <v>44</v>
      </c>
      <c r="G381" s="31" t="n">
        <v>46157</v>
      </c>
      <c r="H381" s="24"/>
      <c r="I381" s="24"/>
      <c r="J381" s="24"/>
      <c r="K381" s="24" t="n">
        <v>2</v>
      </c>
      <c r="L381" s="24" t="str">
        <f aca="false">IF(J381&lt;&gt;"","Enrolled",IF(I381&lt;&gt;"","Admitted",IF(H381&lt;&gt;"","Applied",IF(G381&lt;&gt;"","Contacted","New"))))</f>
        <v>Contacted</v>
      </c>
      <c r="M381" s="32" t="n">
        <f aca="false">IF(G381="","",G381-B381)</f>
        <v>7</v>
      </c>
      <c r="N381" s="24" t="str">
        <f aca="false">IF(COUNTIF($A$2:A381,A381)&gt;1,"Duplicate ID",IF(C381="","Missing source",IF(OR(AND(G381&lt;&gt;"",G381&lt;B381),AND(H381&lt;&gt;"",H381&lt;B381),AND(I381&lt;&gt;"",I381&lt;H381),AND(J381&lt;&gt;"",J381&lt;I381)),"Date error","OK")))</f>
        <v>OK</v>
      </c>
    </row>
    <row r="382" customFormat="false" ht="15" hidden="false" customHeight="false" outlineLevel="0" collapsed="false">
      <c r="A382" s="24" t="s">
        <v>462</v>
      </c>
      <c r="B382" s="31" t="n">
        <v>46150</v>
      </c>
      <c r="C382" s="24" t="s">
        <v>23</v>
      </c>
      <c r="D382" s="24" t="s">
        <v>33</v>
      </c>
      <c r="E382" s="24" t="s">
        <v>79</v>
      </c>
      <c r="F382" s="24" t="s">
        <v>42</v>
      </c>
      <c r="G382" s="31" t="n">
        <v>46154</v>
      </c>
      <c r="H382" s="24"/>
      <c r="I382" s="24"/>
      <c r="J382" s="24"/>
      <c r="K382" s="24" t="n">
        <v>4</v>
      </c>
      <c r="L382" s="24" t="str">
        <f aca="false">IF(J382&lt;&gt;"","Enrolled",IF(I382&lt;&gt;"","Admitted",IF(H382&lt;&gt;"","Applied",IF(G382&lt;&gt;"","Contacted","New"))))</f>
        <v>Contacted</v>
      </c>
      <c r="M382" s="32" t="n">
        <f aca="false">IF(G382="","",G382-B382)</f>
        <v>4</v>
      </c>
      <c r="N382" s="24" t="str">
        <f aca="false">IF(COUNTIF($A$2:A382,A382)&gt;1,"Duplicate ID",IF(C382="","Missing source",IF(OR(AND(G382&lt;&gt;"",G382&lt;B382),AND(H382&lt;&gt;"",H382&lt;B382),AND(I382&lt;&gt;"",I382&lt;H382),AND(J382&lt;&gt;"",J382&lt;I382)),"Date error","OK")))</f>
        <v>OK</v>
      </c>
    </row>
    <row r="383" customFormat="false" ht="15" hidden="false" customHeight="false" outlineLevel="0" collapsed="false">
      <c r="A383" s="24" t="s">
        <v>463</v>
      </c>
      <c r="B383" s="31" t="n">
        <v>46150</v>
      </c>
      <c r="C383" s="24" t="s">
        <v>22</v>
      </c>
      <c r="D383" s="24" t="s">
        <v>33</v>
      </c>
      <c r="E383" s="24" t="s">
        <v>89</v>
      </c>
      <c r="F383" s="24" t="s">
        <v>45</v>
      </c>
      <c r="G383" s="31" t="n">
        <v>46151</v>
      </c>
      <c r="H383" s="24"/>
      <c r="I383" s="24"/>
      <c r="J383" s="24"/>
      <c r="K383" s="24" t="n">
        <v>3</v>
      </c>
      <c r="L383" s="24" t="str">
        <f aca="false">IF(J383&lt;&gt;"","Enrolled",IF(I383&lt;&gt;"","Admitted",IF(H383&lt;&gt;"","Applied",IF(G383&lt;&gt;"","Contacted","New"))))</f>
        <v>Contacted</v>
      </c>
      <c r="M383" s="32" t="n">
        <f aca="false">IF(G383="","",G383-B383)</f>
        <v>1</v>
      </c>
      <c r="N383" s="24" t="str">
        <f aca="false">IF(COUNTIF($A$2:A383,A383)&gt;1,"Duplicate ID",IF(C383="","Missing source",IF(OR(AND(G383&lt;&gt;"",G383&lt;B383),AND(H383&lt;&gt;"",H383&lt;B383),AND(I383&lt;&gt;"",I383&lt;H383),AND(J383&lt;&gt;"",J383&lt;I383)),"Date error","OK")))</f>
        <v>OK</v>
      </c>
    </row>
    <row r="384" customFormat="false" ht="15" hidden="false" customHeight="false" outlineLevel="0" collapsed="false">
      <c r="A384" s="24" t="s">
        <v>464</v>
      </c>
      <c r="B384" s="31" t="n">
        <v>46150</v>
      </c>
      <c r="C384" s="24" t="s">
        <v>22</v>
      </c>
      <c r="D384" s="24" t="s">
        <v>34</v>
      </c>
      <c r="E384" s="24" t="s">
        <v>94</v>
      </c>
      <c r="F384" s="24" t="s">
        <v>41</v>
      </c>
      <c r="G384" s="31" t="n">
        <v>46150</v>
      </c>
      <c r="H384" s="24"/>
      <c r="I384" s="24"/>
      <c r="J384" s="24"/>
      <c r="K384" s="24" t="n">
        <v>3</v>
      </c>
      <c r="L384" s="24" t="str">
        <f aca="false">IF(J384&lt;&gt;"","Enrolled",IF(I384&lt;&gt;"","Admitted",IF(H384&lt;&gt;"","Applied",IF(G384&lt;&gt;"","Contacted","New"))))</f>
        <v>Contacted</v>
      </c>
      <c r="M384" s="32" t="n">
        <f aca="false">IF(G384="","",G384-B384)</f>
        <v>0</v>
      </c>
      <c r="N384" s="24" t="str">
        <f aca="false">IF(COUNTIF($A$2:A384,A384)&gt;1,"Duplicate ID",IF(C384="","Missing source",IF(OR(AND(G384&lt;&gt;"",G384&lt;B384),AND(H384&lt;&gt;"",H384&lt;B384),AND(I384&lt;&gt;"",I384&lt;H384),AND(J384&lt;&gt;"",J384&lt;I384)),"Date error","OK")))</f>
        <v>OK</v>
      </c>
    </row>
    <row r="385" customFormat="false" ht="15" hidden="false" customHeight="false" outlineLevel="0" collapsed="false">
      <c r="A385" s="24" t="s">
        <v>465</v>
      </c>
      <c r="B385" s="31" t="n">
        <v>46151</v>
      </c>
      <c r="C385" s="24" t="s">
        <v>23</v>
      </c>
      <c r="D385" s="24" t="s">
        <v>36</v>
      </c>
      <c r="E385" s="24" t="s">
        <v>79</v>
      </c>
      <c r="F385" s="24" t="s">
        <v>43</v>
      </c>
      <c r="G385" s="31" t="n">
        <v>46154</v>
      </c>
      <c r="H385" s="24"/>
      <c r="I385" s="24"/>
      <c r="J385" s="24"/>
      <c r="K385" s="24" t="n">
        <v>3</v>
      </c>
      <c r="L385" s="24" t="str">
        <f aca="false">IF(J385&lt;&gt;"","Enrolled",IF(I385&lt;&gt;"","Admitted",IF(H385&lt;&gt;"","Applied",IF(G385&lt;&gt;"","Contacted","New"))))</f>
        <v>Contacted</v>
      </c>
      <c r="M385" s="32" t="n">
        <f aca="false">IF(G385="","",G385-B385)</f>
        <v>3</v>
      </c>
      <c r="N385" s="24" t="str">
        <f aca="false">IF(COUNTIF($A$2:A385,A385)&gt;1,"Duplicate ID",IF(C385="","Missing source",IF(OR(AND(G385&lt;&gt;"",G385&lt;B385),AND(H385&lt;&gt;"",H385&lt;B385),AND(I385&lt;&gt;"",I385&lt;H385),AND(J385&lt;&gt;"",J385&lt;I385)),"Date error","OK")))</f>
        <v>OK</v>
      </c>
    </row>
    <row r="386" customFormat="false" ht="15" hidden="false" customHeight="false" outlineLevel="0" collapsed="false">
      <c r="A386" s="24" t="s">
        <v>466</v>
      </c>
      <c r="B386" s="31" t="n">
        <v>46151</v>
      </c>
      <c r="C386" s="24" t="s">
        <v>21</v>
      </c>
      <c r="D386" s="24" t="s">
        <v>33</v>
      </c>
      <c r="E386" s="24" t="s">
        <v>89</v>
      </c>
      <c r="F386" s="24" t="s">
        <v>42</v>
      </c>
      <c r="G386" s="31" t="n">
        <v>46151</v>
      </c>
      <c r="H386" s="31" t="n">
        <v>46163</v>
      </c>
      <c r="I386" s="31" t="n">
        <v>46177</v>
      </c>
      <c r="J386" s="31" t="n">
        <v>46210</v>
      </c>
      <c r="K386" s="24" t="n">
        <v>7</v>
      </c>
      <c r="L386" s="24" t="str">
        <f aca="false">IF(J386&lt;&gt;"","Enrolled",IF(I386&lt;&gt;"","Admitted",IF(H386&lt;&gt;"","Applied",IF(G386&lt;&gt;"","Contacted","New"))))</f>
        <v>Enrolled</v>
      </c>
      <c r="M386" s="32" t="n">
        <f aca="false">IF(G386="","",G386-B386)</f>
        <v>0</v>
      </c>
      <c r="N386" s="24" t="str">
        <f aca="false">IF(COUNTIF($A$2:A386,A386)&gt;1,"Duplicate ID",IF(C386="","Missing source",IF(OR(AND(G386&lt;&gt;"",G386&lt;B386),AND(H386&lt;&gt;"",H386&lt;B386),AND(I386&lt;&gt;"",I386&lt;H386),AND(J386&lt;&gt;"",J386&lt;I386)),"Date error","OK")))</f>
        <v>OK</v>
      </c>
    </row>
    <row r="387" customFormat="false" ht="15" hidden="false" customHeight="false" outlineLevel="0" collapsed="false">
      <c r="A387" s="24" t="s">
        <v>467</v>
      </c>
      <c r="B387" s="31" t="n">
        <v>46151</v>
      </c>
      <c r="C387" s="24" t="s">
        <v>25</v>
      </c>
      <c r="D387" s="24" t="s">
        <v>34</v>
      </c>
      <c r="E387" s="24" t="s">
        <v>94</v>
      </c>
      <c r="F387" s="24" t="s">
        <v>44</v>
      </c>
      <c r="G387" s="31" t="n">
        <v>46153</v>
      </c>
      <c r="H387" s="24"/>
      <c r="I387" s="24"/>
      <c r="J387" s="24"/>
      <c r="K387" s="24" t="n">
        <v>3</v>
      </c>
      <c r="L387" s="24" t="str">
        <f aca="false">IF(J387&lt;&gt;"","Enrolled",IF(I387&lt;&gt;"","Admitted",IF(H387&lt;&gt;"","Applied",IF(G387&lt;&gt;"","Contacted","New"))))</f>
        <v>Contacted</v>
      </c>
      <c r="M387" s="32" t="n">
        <f aca="false">IF(G387="","",G387-B387)</f>
        <v>2</v>
      </c>
      <c r="N387" s="24" t="str">
        <f aca="false">IF(COUNTIF($A$2:A387,A387)&gt;1,"Duplicate ID",IF(C387="","Missing source",IF(OR(AND(G387&lt;&gt;"",G387&lt;B387),AND(H387&lt;&gt;"",H387&lt;B387),AND(I387&lt;&gt;"",I387&lt;H387),AND(J387&lt;&gt;"",J387&lt;I387)),"Date error","OK")))</f>
        <v>OK</v>
      </c>
    </row>
    <row r="388" customFormat="false" ht="15" hidden="false" customHeight="false" outlineLevel="0" collapsed="false">
      <c r="A388" s="24" t="s">
        <v>468</v>
      </c>
      <c r="B388" s="31" t="n">
        <v>46151</v>
      </c>
      <c r="C388" s="24" t="s">
        <v>27</v>
      </c>
      <c r="D388" s="24" t="s">
        <v>33</v>
      </c>
      <c r="E388" s="24" t="s">
        <v>89</v>
      </c>
      <c r="F388" s="24" t="s">
        <v>40</v>
      </c>
      <c r="G388" s="31" t="n">
        <v>46151</v>
      </c>
      <c r="H388" s="24"/>
      <c r="I388" s="24"/>
      <c r="J388" s="24"/>
      <c r="K388" s="24" t="n">
        <v>6</v>
      </c>
      <c r="L388" s="24" t="str">
        <f aca="false">IF(J388&lt;&gt;"","Enrolled",IF(I388&lt;&gt;"","Admitted",IF(H388&lt;&gt;"","Applied",IF(G388&lt;&gt;"","Contacted","New"))))</f>
        <v>Contacted</v>
      </c>
      <c r="M388" s="32" t="n">
        <f aca="false">IF(G388="","",G388-B388)</f>
        <v>0</v>
      </c>
      <c r="N388" s="24" t="str">
        <f aca="false">IF(COUNTIF($A$2:A388,A388)&gt;1,"Duplicate ID",IF(C388="","Missing source",IF(OR(AND(G388&lt;&gt;"",G388&lt;B388),AND(H388&lt;&gt;"",H388&lt;B388),AND(I388&lt;&gt;"",I388&lt;H388),AND(J388&lt;&gt;"",J388&lt;I388)),"Date error","OK")))</f>
        <v>OK</v>
      </c>
    </row>
    <row r="389" customFormat="false" ht="15" hidden="false" customHeight="false" outlineLevel="0" collapsed="false">
      <c r="A389" s="24" t="s">
        <v>469</v>
      </c>
      <c r="B389" s="31" t="n">
        <v>46151</v>
      </c>
      <c r="C389" s="24" t="s">
        <v>26</v>
      </c>
      <c r="D389" s="24" t="s">
        <v>32</v>
      </c>
      <c r="E389" s="24" t="s">
        <v>94</v>
      </c>
      <c r="F389" s="24" t="s">
        <v>45</v>
      </c>
      <c r="G389" s="31" t="n">
        <v>46153</v>
      </c>
      <c r="H389" s="31" t="n">
        <v>46176</v>
      </c>
      <c r="I389" s="24"/>
      <c r="J389" s="24"/>
      <c r="K389" s="24" t="n">
        <v>6</v>
      </c>
      <c r="L389" s="24" t="str">
        <f aca="false">IF(J389&lt;&gt;"","Enrolled",IF(I389&lt;&gt;"","Admitted",IF(H389&lt;&gt;"","Applied",IF(G389&lt;&gt;"","Contacted","New"))))</f>
        <v>Applied</v>
      </c>
      <c r="M389" s="32" t="n">
        <f aca="false">IF(G389="","",G389-B389)</f>
        <v>2</v>
      </c>
      <c r="N389" s="24" t="str">
        <f aca="false">IF(COUNTIF($A$2:A389,A389)&gt;1,"Duplicate ID",IF(C389="","Missing source",IF(OR(AND(G389&lt;&gt;"",G389&lt;B389),AND(H389&lt;&gt;"",H389&lt;B389),AND(I389&lt;&gt;"",I389&lt;H389),AND(J389&lt;&gt;"",J389&lt;I389)),"Date error","OK")))</f>
        <v>OK</v>
      </c>
    </row>
    <row r="390" customFormat="false" ht="15" hidden="false" customHeight="false" outlineLevel="0" collapsed="false">
      <c r="A390" s="24" t="s">
        <v>470</v>
      </c>
      <c r="B390" s="31" t="n">
        <v>46151</v>
      </c>
      <c r="C390" s="24" t="s">
        <v>22</v>
      </c>
      <c r="D390" s="24" t="s">
        <v>33</v>
      </c>
      <c r="E390" s="24" t="s">
        <v>94</v>
      </c>
      <c r="F390" s="24" t="s">
        <v>43</v>
      </c>
      <c r="G390" s="31" t="n">
        <v>46151</v>
      </c>
      <c r="H390" s="31" t="n">
        <v>46175</v>
      </c>
      <c r="I390" s="24"/>
      <c r="J390" s="24"/>
      <c r="K390" s="24" t="n">
        <v>3</v>
      </c>
      <c r="L390" s="24" t="str">
        <f aca="false">IF(J390&lt;&gt;"","Enrolled",IF(I390&lt;&gt;"","Admitted",IF(H390&lt;&gt;"","Applied",IF(G390&lt;&gt;"","Contacted","New"))))</f>
        <v>Applied</v>
      </c>
      <c r="M390" s="32" t="n">
        <f aca="false">IF(G390="","",G390-B390)</f>
        <v>0</v>
      </c>
      <c r="N390" s="24" t="str">
        <f aca="false">IF(COUNTIF($A$2:A390,A390)&gt;1,"Duplicate ID",IF(C390="","Missing source",IF(OR(AND(G390&lt;&gt;"",G390&lt;B390),AND(H390&lt;&gt;"",H390&lt;B390),AND(I390&lt;&gt;"",I390&lt;H390),AND(J390&lt;&gt;"",J390&lt;I390)),"Date error","OK")))</f>
        <v>OK</v>
      </c>
    </row>
    <row r="391" customFormat="false" ht="15" hidden="false" customHeight="false" outlineLevel="0" collapsed="false">
      <c r="A391" s="24" t="s">
        <v>471</v>
      </c>
      <c r="B391" s="31" t="n">
        <v>46152</v>
      </c>
      <c r="C391" s="24" t="s">
        <v>24</v>
      </c>
      <c r="D391" s="24" t="s">
        <v>36</v>
      </c>
      <c r="E391" s="24" t="s">
        <v>89</v>
      </c>
      <c r="F391" s="24" t="s">
        <v>44</v>
      </c>
      <c r="G391" s="31" t="n">
        <v>46154</v>
      </c>
      <c r="H391" s="31" t="n">
        <v>46159</v>
      </c>
      <c r="I391" s="24"/>
      <c r="J391" s="24"/>
      <c r="K391" s="24" t="n">
        <v>0</v>
      </c>
      <c r="L391" s="24" t="str">
        <f aca="false">IF(J391&lt;&gt;"","Enrolled",IF(I391&lt;&gt;"","Admitted",IF(H391&lt;&gt;"","Applied",IF(G391&lt;&gt;"","Contacted","New"))))</f>
        <v>Applied</v>
      </c>
      <c r="M391" s="32" t="n">
        <f aca="false">IF(G391="","",G391-B391)</f>
        <v>2</v>
      </c>
      <c r="N391" s="24" t="str">
        <f aca="false">IF(COUNTIF($A$2:A391,A391)&gt;1,"Duplicate ID",IF(C391="","Missing source",IF(OR(AND(G391&lt;&gt;"",G391&lt;B391),AND(H391&lt;&gt;"",H391&lt;B391),AND(I391&lt;&gt;"",I391&lt;H391),AND(J391&lt;&gt;"",J391&lt;I391)),"Date error","OK")))</f>
        <v>OK</v>
      </c>
    </row>
    <row r="392" customFormat="false" ht="15" hidden="false" customHeight="false" outlineLevel="0" collapsed="false">
      <c r="A392" s="24" t="s">
        <v>472</v>
      </c>
      <c r="B392" s="31" t="n">
        <v>46152</v>
      </c>
      <c r="C392" s="24" t="s">
        <v>27</v>
      </c>
      <c r="D392" s="24" t="s">
        <v>32</v>
      </c>
      <c r="E392" s="24" t="s">
        <v>81</v>
      </c>
      <c r="F392" s="24" t="s">
        <v>44</v>
      </c>
      <c r="G392" s="31" t="n">
        <v>46157</v>
      </c>
      <c r="H392" s="24"/>
      <c r="I392" s="24"/>
      <c r="J392" s="24"/>
      <c r="K392" s="24" t="n">
        <v>3</v>
      </c>
      <c r="L392" s="24" t="str">
        <f aca="false">IF(J392&lt;&gt;"","Enrolled",IF(I392&lt;&gt;"","Admitted",IF(H392&lt;&gt;"","Applied",IF(G392&lt;&gt;"","Contacted","New"))))</f>
        <v>Contacted</v>
      </c>
      <c r="M392" s="32" t="n">
        <f aca="false">IF(G392="","",G392-B392)</f>
        <v>5</v>
      </c>
      <c r="N392" s="24" t="str">
        <f aca="false">IF(COUNTIF($A$2:A392,A392)&gt;1,"Duplicate ID",IF(C392="","Missing source",IF(OR(AND(G392&lt;&gt;"",G392&lt;B392),AND(H392&lt;&gt;"",H392&lt;B392),AND(I392&lt;&gt;"",I392&lt;H392),AND(J392&lt;&gt;"",J392&lt;I392)),"Date error","OK")))</f>
        <v>OK</v>
      </c>
    </row>
    <row r="393" customFormat="false" ht="15" hidden="false" customHeight="false" outlineLevel="0" collapsed="false">
      <c r="A393" s="24" t="s">
        <v>473</v>
      </c>
      <c r="B393" s="31" t="n">
        <v>46152</v>
      </c>
      <c r="C393" s="24" t="s">
        <v>26</v>
      </c>
      <c r="D393" s="24" t="s">
        <v>35</v>
      </c>
      <c r="E393" s="24" t="s">
        <v>79</v>
      </c>
      <c r="F393" s="24" t="s">
        <v>45</v>
      </c>
      <c r="G393" s="24"/>
      <c r="H393" s="24"/>
      <c r="I393" s="24"/>
      <c r="J393" s="24"/>
      <c r="K393" s="24" t="n">
        <v>0</v>
      </c>
      <c r="L393" s="24" t="str">
        <f aca="false">IF(J393&lt;&gt;"","Enrolled",IF(I393&lt;&gt;"","Admitted",IF(H393&lt;&gt;"","Applied",IF(G393&lt;&gt;"","Contacted","New"))))</f>
        <v>New</v>
      </c>
      <c r="M393" s="32" t="str">
        <f aca="false">IF(G393="","",G393-B393)</f>
        <v/>
      </c>
      <c r="N393" s="24" t="str">
        <f aca="false">IF(COUNTIF($A$2:A393,A393)&gt;1,"Duplicate ID",IF(C393="","Missing source",IF(OR(AND(G393&lt;&gt;"",G393&lt;B393),AND(H393&lt;&gt;"",H393&lt;B393),AND(I393&lt;&gt;"",I393&lt;H393),AND(J393&lt;&gt;"",J393&lt;I393)),"Date error","OK")))</f>
        <v>OK</v>
      </c>
    </row>
    <row r="394" customFormat="false" ht="15" hidden="false" customHeight="false" outlineLevel="0" collapsed="false">
      <c r="A394" s="24" t="s">
        <v>474</v>
      </c>
      <c r="B394" s="31" t="n">
        <v>46152</v>
      </c>
      <c r="C394" s="24" t="s">
        <v>26</v>
      </c>
      <c r="D394" s="24" t="s">
        <v>36</v>
      </c>
      <c r="E394" s="24" t="s">
        <v>79</v>
      </c>
      <c r="F394" s="24" t="s">
        <v>43</v>
      </c>
      <c r="G394" s="31" t="n">
        <v>46156</v>
      </c>
      <c r="H394" s="24"/>
      <c r="I394" s="24"/>
      <c r="J394" s="24"/>
      <c r="K394" s="24" t="n">
        <v>4</v>
      </c>
      <c r="L394" s="24" t="str">
        <f aca="false">IF(J394&lt;&gt;"","Enrolled",IF(I394&lt;&gt;"","Admitted",IF(H394&lt;&gt;"","Applied",IF(G394&lt;&gt;"","Contacted","New"))))</f>
        <v>Contacted</v>
      </c>
      <c r="M394" s="32" t="n">
        <f aca="false">IF(G394="","",G394-B394)</f>
        <v>4</v>
      </c>
      <c r="N394" s="24" t="str">
        <f aca="false">IF(COUNTIF($A$2:A394,A394)&gt;1,"Duplicate ID",IF(C394="","Missing source",IF(OR(AND(G394&lt;&gt;"",G394&lt;B394),AND(H394&lt;&gt;"",H394&lt;B394),AND(I394&lt;&gt;"",I394&lt;H394),AND(J394&lt;&gt;"",J394&lt;I394)),"Date error","OK")))</f>
        <v>OK</v>
      </c>
    </row>
    <row r="395" customFormat="false" ht="15" hidden="false" customHeight="false" outlineLevel="0" collapsed="false">
      <c r="A395" s="24" t="s">
        <v>475</v>
      </c>
      <c r="B395" s="31" t="n">
        <v>46152</v>
      </c>
      <c r="C395" s="24" t="s">
        <v>25</v>
      </c>
      <c r="D395" s="24" t="s">
        <v>36</v>
      </c>
      <c r="E395" s="24" t="s">
        <v>94</v>
      </c>
      <c r="F395" s="24" t="s">
        <v>43</v>
      </c>
      <c r="G395" s="31" t="n">
        <v>46152</v>
      </c>
      <c r="H395" s="24"/>
      <c r="I395" s="24"/>
      <c r="J395" s="24"/>
      <c r="K395" s="24" t="n">
        <v>2</v>
      </c>
      <c r="L395" s="24" t="str">
        <f aca="false">IF(J395&lt;&gt;"","Enrolled",IF(I395&lt;&gt;"","Admitted",IF(H395&lt;&gt;"","Applied",IF(G395&lt;&gt;"","Contacted","New"))))</f>
        <v>Contacted</v>
      </c>
      <c r="M395" s="32" t="n">
        <f aca="false">IF(G395="","",G395-B395)</f>
        <v>0</v>
      </c>
      <c r="N395" s="24" t="str">
        <f aca="false">IF(COUNTIF($A$2:A395,A395)&gt;1,"Duplicate ID",IF(C395="","Missing source",IF(OR(AND(G395&lt;&gt;"",G395&lt;B395),AND(H395&lt;&gt;"",H395&lt;B395),AND(I395&lt;&gt;"",I395&lt;H395),AND(J395&lt;&gt;"",J395&lt;I395)),"Date error","OK")))</f>
        <v>OK</v>
      </c>
    </row>
    <row r="396" customFormat="false" ht="15" hidden="false" customHeight="false" outlineLevel="0" collapsed="false">
      <c r="A396" s="24" t="s">
        <v>476</v>
      </c>
      <c r="B396" s="31" t="n">
        <v>46152</v>
      </c>
      <c r="C396" s="24" t="s">
        <v>26</v>
      </c>
      <c r="D396" s="24" t="s">
        <v>36</v>
      </c>
      <c r="E396" s="24" t="s">
        <v>94</v>
      </c>
      <c r="F396" s="24" t="s">
        <v>45</v>
      </c>
      <c r="G396" s="24"/>
      <c r="H396" s="24"/>
      <c r="I396" s="24"/>
      <c r="J396" s="24"/>
      <c r="K396" s="24" t="n">
        <v>0</v>
      </c>
      <c r="L396" s="24" t="str">
        <f aca="false">IF(J396&lt;&gt;"","Enrolled",IF(I396&lt;&gt;"","Admitted",IF(H396&lt;&gt;"","Applied",IF(G396&lt;&gt;"","Contacted","New"))))</f>
        <v>New</v>
      </c>
      <c r="M396" s="32" t="str">
        <f aca="false">IF(G396="","",G396-B396)</f>
        <v/>
      </c>
      <c r="N396" s="24" t="str">
        <f aca="false">IF(COUNTIF($A$2:A396,A396)&gt;1,"Duplicate ID",IF(C396="","Missing source",IF(OR(AND(G396&lt;&gt;"",G396&lt;B396),AND(H396&lt;&gt;"",H396&lt;B396),AND(I396&lt;&gt;"",I396&lt;H396),AND(J396&lt;&gt;"",J396&lt;I396)),"Date error","OK")))</f>
        <v>OK</v>
      </c>
    </row>
    <row r="397" customFormat="false" ht="15" hidden="false" customHeight="false" outlineLevel="0" collapsed="false">
      <c r="A397" s="24" t="s">
        <v>477</v>
      </c>
      <c r="B397" s="31" t="n">
        <v>46152</v>
      </c>
      <c r="C397" s="24" t="s">
        <v>27</v>
      </c>
      <c r="D397" s="24" t="s">
        <v>32</v>
      </c>
      <c r="E397" s="24" t="s">
        <v>89</v>
      </c>
      <c r="F397" s="24" t="s">
        <v>42</v>
      </c>
      <c r="G397" s="31" t="n">
        <v>46153</v>
      </c>
      <c r="H397" s="24"/>
      <c r="I397" s="24"/>
      <c r="J397" s="24"/>
      <c r="K397" s="24" t="n">
        <v>1</v>
      </c>
      <c r="L397" s="24" t="str">
        <f aca="false">IF(J397&lt;&gt;"","Enrolled",IF(I397&lt;&gt;"","Admitted",IF(H397&lt;&gt;"","Applied",IF(G397&lt;&gt;"","Contacted","New"))))</f>
        <v>Contacted</v>
      </c>
      <c r="M397" s="32" t="n">
        <f aca="false">IF(G397="","",G397-B397)</f>
        <v>1</v>
      </c>
      <c r="N397" s="24" t="str">
        <f aca="false">IF(COUNTIF($A$2:A397,A397)&gt;1,"Duplicate ID",IF(C397="","Missing source",IF(OR(AND(G397&lt;&gt;"",G397&lt;B397),AND(H397&lt;&gt;"",H397&lt;B397),AND(I397&lt;&gt;"",I397&lt;H397),AND(J397&lt;&gt;"",J397&lt;I397)),"Date error","OK")))</f>
        <v>OK</v>
      </c>
    </row>
    <row r="398" customFormat="false" ht="15" hidden="false" customHeight="false" outlineLevel="0" collapsed="false">
      <c r="A398" s="24" t="s">
        <v>478</v>
      </c>
      <c r="B398" s="31" t="n">
        <v>46153</v>
      </c>
      <c r="C398" s="24" t="s">
        <v>26</v>
      </c>
      <c r="D398" s="24" t="s">
        <v>36</v>
      </c>
      <c r="E398" s="24" t="s">
        <v>94</v>
      </c>
      <c r="F398" s="24" t="s">
        <v>45</v>
      </c>
      <c r="G398" s="31" t="n">
        <v>46157</v>
      </c>
      <c r="H398" s="24"/>
      <c r="I398" s="24"/>
      <c r="J398" s="24"/>
      <c r="K398" s="24" t="n">
        <v>4</v>
      </c>
      <c r="L398" s="24" t="str">
        <f aca="false">IF(J398&lt;&gt;"","Enrolled",IF(I398&lt;&gt;"","Admitted",IF(H398&lt;&gt;"","Applied",IF(G398&lt;&gt;"","Contacted","New"))))</f>
        <v>Contacted</v>
      </c>
      <c r="M398" s="32" t="n">
        <f aca="false">IF(G398="","",G398-B398)</f>
        <v>4</v>
      </c>
      <c r="N398" s="24" t="str">
        <f aca="false">IF(COUNTIF($A$2:A398,A398)&gt;1,"Duplicate ID",IF(C398="","Missing source",IF(OR(AND(G398&lt;&gt;"",G398&lt;B398),AND(H398&lt;&gt;"",H398&lt;B398),AND(I398&lt;&gt;"",I398&lt;H398),AND(J398&lt;&gt;"",J398&lt;I398)),"Date error","OK")))</f>
        <v>OK</v>
      </c>
    </row>
    <row r="399" customFormat="false" ht="15" hidden="false" customHeight="false" outlineLevel="0" collapsed="false">
      <c r="A399" s="24" t="s">
        <v>479</v>
      </c>
      <c r="B399" s="31" t="n">
        <v>46153</v>
      </c>
      <c r="C399" s="24" t="s">
        <v>25</v>
      </c>
      <c r="D399" s="24" t="s">
        <v>33</v>
      </c>
      <c r="E399" s="24" t="s">
        <v>89</v>
      </c>
      <c r="F399" s="24" t="s">
        <v>45</v>
      </c>
      <c r="G399" s="31" t="n">
        <v>46154</v>
      </c>
      <c r="H399" s="24"/>
      <c r="I399" s="24"/>
      <c r="J399" s="24"/>
      <c r="K399" s="24" t="n">
        <v>3</v>
      </c>
      <c r="L399" s="24" t="str">
        <f aca="false">IF(J399&lt;&gt;"","Enrolled",IF(I399&lt;&gt;"","Admitted",IF(H399&lt;&gt;"","Applied",IF(G399&lt;&gt;"","Contacted","New"))))</f>
        <v>Contacted</v>
      </c>
      <c r="M399" s="32" t="n">
        <f aca="false">IF(G399="","",G399-B399)</f>
        <v>1</v>
      </c>
      <c r="N399" s="24" t="str">
        <f aca="false">IF(COUNTIF($A$2:A399,A399)&gt;1,"Duplicate ID",IF(C399="","Missing source",IF(OR(AND(G399&lt;&gt;"",G399&lt;B399),AND(H399&lt;&gt;"",H399&lt;B399),AND(I399&lt;&gt;"",I399&lt;H399),AND(J399&lt;&gt;"",J399&lt;I399)),"Date error","OK")))</f>
        <v>OK</v>
      </c>
    </row>
    <row r="400" customFormat="false" ht="15" hidden="false" customHeight="false" outlineLevel="0" collapsed="false">
      <c r="A400" s="24" t="s">
        <v>480</v>
      </c>
      <c r="B400" s="31" t="n">
        <v>46153</v>
      </c>
      <c r="C400" s="24" t="s">
        <v>22</v>
      </c>
      <c r="D400" s="24" t="s">
        <v>36</v>
      </c>
      <c r="E400" s="24" t="s">
        <v>89</v>
      </c>
      <c r="F400" s="24" t="s">
        <v>44</v>
      </c>
      <c r="G400" s="31" t="n">
        <v>46158</v>
      </c>
      <c r="H400" s="24"/>
      <c r="I400" s="24"/>
      <c r="J400" s="24"/>
      <c r="K400" s="24" t="n">
        <v>3</v>
      </c>
      <c r="L400" s="24" t="str">
        <f aca="false">IF(J400&lt;&gt;"","Enrolled",IF(I400&lt;&gt;"","Admitted",IF(H400&lt;&gt;"","Applied",IF(G400&lt;&gt;"","Contacted","New"))))</f>
        <v>Contacted</v>
      </c>
      <c r="M400" s="32" t="n">
        <f aca="false">IF(G400="","",G400-B400)</f>
        <v>5</v>
      </c>
      <c r="N400" s="24" t="str">
        <f aca="false">IF(COUNTIF($A$2:A400,A400)&gt;1,"Duplicate ID",IF(C400="","Missing source",IF(OR(AND(G400&lt;&gt;"",G400&lt;B400),AND(H400&lt;&gt;"",H400&lt;B400),AND(I400&lt;&gt;"",I400&lt;H400),AND(J400&lt;&gt;"",J400&lt;I400)),"Date error","OK")))</f>
        <v>OK</v>
      </c>
    </row>
    <row r="401" customFormat="false" ht="15" hidden="false" customHeight="false" outlineLevel="0" collapsed="false">
      <c r="A401" s="24" t="s">
        <v>481</v>
      </c>
      <c r="B401" s="31" t="n">
        <v>46153</v>
      </c>
      <c r="C401" s="24" t="s">
        <v>26</v>
      </c>
      <c r="D401" s="24" t="s">
        <v>36</v>
      </c>
      <c r="E401" s="24" t="s">
        <v>94</v>
      </c>
      <c r="F401" s="24" t="s">
        <v>45</v>
      </c>
      <c r="G401" s="31" t="n">
        <v>46153</v>
      </c>
      <c r="H401" s="24"/>
      <c r="I401" s="24"/>
      <c r="J401" s="24"/>
      <c r="K401" s="24" t="n">
        <v>1</v>
      </c>
      <c r="L401" s="24" t="str">
        <f aca="false">IF(J401&lt;&gt;"","Enrolled",IF(I401&lt;&gt;"","Admitted",IF(H401&lt;&gt;"","Applied",IF(G401&lt;&gt;"","Contacted","New"))))</f>
        <v>Contacted</v>
      </c>
      <c r="M401" s="32" t="n">
        <f aca="false">IF(G401="","",G401-B401)</f>
        <v>0</v>
      </c>
      <c r="N401" s="24" t="str">
        <f aca="false">IF(COUNTIF($A$2:A401,A401)&gt;1,"Duplicate ID",IF(C401="","Missing source",IF(OR(AND(G401&lt;&gt;"",G401&lt;B401),AND(H401&lt;&gt;"",H401&lt;B401),AND(I401&lt;&gt;"",I401&lt;H401),AND(J401&lt;&gt;"",J401&lt;I401)),"Date error","OK")))</f>
        <v>OK</v>
      </c>
    </row>
    <row r="402" customFormat="false" ht="15" hidden="false" customHeight="false" outlineLevel="0" collapsed="false">
      <c r="A402" s="24" t="s">
        <v>482</v>
      </c>
      <c r="B402" s="31" t="n">
        <v>46153</v>
      </c>
      <c r="C402" s="24" t="s">
        <v>22</v>
      </c>
      <c r="D402" s="24" t="s">
        <v>33</v>
      </c>
      <c r="E402" s="24" t="s">
        <v>94</v>
      </c>
      <c r="F402" s="24" t="s">
        <v>42</v>
      </c>
      <c r="G402" s="31" t="n">
        <v>46154</v>
      </c>
      <c r="H402" s="31" t="n">
        <v>46169</v>
      </c>
      <c r="I402" s="31" t="n">
        <v>46178</v>
      </c>
      <c r="J402" s="31" t="n">
        <v>46186</v>
      </c>
      <c r="K402" s="24" t="n">
        <v>2</v>
      </c>
      <c r="L402" s="24" t="str">
        <f aca="false">IF(J402&lt;&gt;"","Enrolled",IF(I402&lt;&gt;"","Admitted",IF(H402&lt;&gt;"","Applied",IF(G402&lt;&gt;"","Contacted","New"))))</f>
        <v>Enrolled</v>
      </c>
      <c r="M402" s="32" t="n">
        <f aca="false">IF(G402="","",G402-B402)</f>
        <v>1</v>
      </c>
      <c r="N402" s="24" t="str">
        <f aca="false">IF(COUNTIF($A$2:A402,A402)&gt;1,"Duplicate ID",IF(C402="","Missing source",IF(OR(AND(G402&lt;&gt;"",G402&lt;B402),AND(H402&lt;&gt;"",H402&lt;B402),AND(I402&lt;&gt;"",I402&lt;H402),AND(J402&lt;&gt;"",J402&lt;I402)),"Date error","OK")))</f>
        <v>OK</v>
      </c>
    </row>
    <row r="403" customFormat="false" ht="15" hidden="false" customHeight="false" outlineLevel="0" collapsed="false">
      <c r="A403" s="24" t="s">
        <v>483</v>
      </c>
      <c r="B403" s="31" t="n">
        <v>46153</v>
      </c>
      <c r="C403" s="24" t="s">
        <v>25</v>
      </c>
      <c r="D403" s="24" t="s">
        <v>36</v>
      </c>
      <c r="E403" s="24" t="s">
        <v>94</v>
      </c>
      <c r="F403" s="24" t="s">
        <v>45</v>
      </c>
      <c r="G403" s="31" t="n">
        <v>46153</v>
      </c>
      <c r="H403" s="24"/>
      <c r="I403" s="24"/>
      <c r="J403" s="24"/>
      <c r="K403" s="24" t="n">
        <v>1</v>
      </c>
      <c r="L403" s="24" t="str">
        <f aca="false">IF(J403&lt;&gt;"","Enrolled",IF(I403&lt;&gt;"","Admitted",IF(H403&lt;&gt;"","Applied",IF(G403&lt;&gt;"","Contacted","New"))))</f>
        <v>Contacted</v>
      </c>
      <c r="M403" s="32" t="n">
        <f aca="false">IF(G403="","",G403-B403)</f>
        <v>0</v>
      </c>
      <c r="N403" s="24" t="str">
        <f aca="false">IF(COUNTIF($A$2:A403,A403)&gt;1,"Duplicate ID",IF(C403="","Missing source",IF(OR(AND(G403&lt;&gt;"",G403&lt;B403),AND(H403&lt;&gt;"",H403&lt;B403),AND(I403&lt;&gt;"",I403&lt;H403),AND(J403&lt;&gt;"",J403&lt;I403)),"Date error","OK")))</f>
        <v>OK</v>
      </c>
    </row>
    <row r="404" customFormat="false" ht="15" hidden="false" customHeight="false" outlineLevel="0" collapsed="false">
      <c r="A404" s="24" t="s">
        <v>484</v>
      </c>
      <c r="B404" s="31" t="n">
        <v>46154</v>
      </c>
      <c r="C404" s="24" t="s">
        <v>26</v>
      </c>
      <c r="D404" s="24" t="s">
        <v>33</v>
      </c>
      <c r="E404" s="24" t="s">
        <v>94</v>
      </c>
      <c r="F404" s="24" t="s">
        <v>44</v>
      </c>
      <c r="G404" s="24"/>
      <c r="H404" s="24"/>
      <c r="I404" s="24"/>
      <c r="J404" s="24"/>
      <c r="K404" s="24" t="n">
        <v>0</v>
      </c>
      <c r="L404" s="24" t="str">
        <f aca="false">IF(J404&lt;&gt;"","Enrolled",IF(I404&lt;&gt;"","Admitted",IF(H404&lt;&gt;"","Applied",IF(G404&lt;&gt;"","Contacted","New"))))</f>
        <v>New</v>
      </c>
      <c r="M404" s="32" t="str">
        <f aca="false">IF(G404="","",G404-B404)</f>
        <v/>
      </c>
      <c r="N404" s="24" t="str">
        <f aca="false">IF(COUNTIF($A$2:A404,A404)&gt;1,"Duplicate ID",IF(C404="","Missing source",IF(OR(AND(G404&lt;&gt;"",G404&lt;B404),AND(H404&lt;&gt;"",H404&lt;B404),AND(I404&lt;&gt;"",I404&lt;H404),AND(J404&lt;&gt;"",J404&lt;I404)),"Date error","OK")))</f>
        <v>OK</v>
      </c>
    </row>
    <row r="405" customFormat="false" ht="15" hidden="false" customHeight="false" outlineLevel="0" collapsed="false">
      <c r="A405" s="24" t="s">
        <v>485</v>
      </c>
      <c r="B405" s="31" t="n">
        <v>46154</v>
      </c>
      <c r="C405" s="24" t="s">
        <v>27</v>
      </c>
      <c r="D405" s="24" t="s">
        <v>35</v>
      </c>
      <c r="E405" s="24" t="s">
        <v>89</v>
      </c>
      <c r="F405" s="24" t="s">
        <v>45</v>
      </c>
      <c r="G405" s="24"/>
      <c r="H405" s="24"/>
      <c r="I405" s="24"/>
      <c r="J405" s="24"/>
      <c r="K405" s="24" t="n">
        <v>0</v>
      </c>
      <c r="L405" s="24" t="str">
        <f aca="false">IF(J405&lt;&gt;"","Enrolled",IF(I405&lt;&gt;"","Admitted",IF(H405&lt;&gt;"","Applied",IF(G405&lt;&gt;"","Contacted","New"))))</f>
        <v>New</v>
      </c>
      <c r="M405" s="32" t="str">
        <f aca="false">IF(G405="","",G405-B405)</f>
        <v/>
      </c>
      <c r="N405" s="24" t="str">
        <f aca="false">IF(COUNTIF($A$2:A405,A405)&gt;1,"Duplicate ID",IF(C405="","Missing source",IF(OR(AND(G405&lt;&gt;"",G405&lt;B405),AND(H405&lt;&gt;"",H405&lt;B405),AND(I405&lt;&gt;"",I405&lt;H405),AND(J405&lt;&gt;"",J405&lt;I405)),"Date error","OK")))</f>
        <v>OK</v>
      </c>
    </row>
    <row r="406" customFormat="false" ht="15" hidden="false" customHeight="false" outlineLevel="0" collapsed="false">
      <c r="A406" s="24" t="s">
        <v>486</v>
      </c>
      <c r="B406" s="31" t="n">
        <v>46154</v>
      </c>
      <c r="C406" s="24" t="s">
        <v>25</v>
      </c>
      <c r="D406" s="24" t="s">
        <v>36</v>
      </c>
      <c r="E406" s="24" t="s">
        <v>89</v>
      </c>
      <c r="F406" s="24" t="s">
        <v>40</v>
      </c>
      <c r="G406" s="31" t="n">
        <v>46154</v>
      </c>
      <c r="H406" s="24"/>
      <c r="I406" s="24"/>
      <c r="J406" s="24"/>
      <c r="K406" s="24" t="n">
        <v>3</v>
      </c>
      <c r="L406" s="24" t="str">
        <f aca="false">IF(J406&lt;&gt;"","Enrolled",IF(I406&lt;&gt;"","Admitted",IF(H406&lt;&gt;"","Applied",IF(G406&lt;&gt;"","Contacted","New"))))</f>
        <v>Contacted</v>
      </c>
      <c r="M406" s="32" t="n">
        <f aca="false">IF(G406="","",G406-B406)</f>
        <v>0</v>
      </c>
      <c r="N406" s="24" t="str">
        <f aca="false">IF(COUNTIF($A$2:A406,A406)&gt;1,"Duplicate ID",IF(C406="","Missing source",IF(OR(AND(G406&lt;&gt;"",G406&lt;B406),AND(H406&lt;&gt;"",H406&lt;B406),AND(I406&lt;&gt;"",I406&lt;H406),AND(J406&lt;&gt;"",J406&lt;I406)),"Date error","OK")))</f>
        <v>OK</v>
      </c>
    </row>
    <row r="407" customFormat="false" ht="15" hidden="false" customHeight="false" outlineLevel="0" collapsed="false">
      <c r="A407" s="24" t="s">
        <v>487</v>
      </c>
      <c r="B407" s="31" t="n">
        <v>46154</v>
      </c>
      <c r="C407" s="24" t="s">
        <v>25</v>
      </c>
      <c r="D407" s="24" t="s">
        <v>36</v>
      </c>
      <c r="E407" s="24" t="s">
        <v>79</v>
      </c>
      <c r="F407" s="24" t="s">
        <v>45</v>
      </c>
      <c r="G407" s="31" t="n">
        <v>46159</v>
      </c>
      <c r="H407" s="24"/>
      <c r="I407" s="24"/>
      <c r="J407" s="24"/>
      <c r="K407" s="24" t="n">
        <v>4</v>
      </c>
      <c r="L407" s="24" t="str">
        <f aca="false">IF(J407&lt;&gt;"","Enrolled",IF(I407&lt;&gt;"","Admitted",IF(H407&lt;&gt;"","Applied",IF(G407&lt;&gt;"","Contacted","New"))))</f>
        <v>Contacted</v>
      </c>
      <c r="M407" s="32" t="n">
        <f aca="false">IF(G407="","",G407-B407)</f>
        <v>5</v>
      </c>
      <c r="N407" s="24" t="str">
        <f aca="false">IF(COUNTIF($A$2:A407,A407)&gt;1,"Duplicate ID",IF(C407="","Missing source",IF(OR(AND(G407&lt;&gt;"",G407&lt;B407),AND(H407&lt;&gt;"",H407&lt;B407),AND(I407&lt;&gt;"",I407&lt;H407),AND(J407&lt;&gt;"",J407&lt;I407)),"Date error","OK")))</f>
        <v>OK</v>
      </c>
    </row>
    <row r="408" customFormat="false" ht="15" hidden="false" customHeight="false" outlineLevel="0" collapsed="false">
      <c r="A408" s="24" t="s">
        <v>488</v>
      </c>
      <c r="B408" s="31" t="n">
        <v>46154</v>
      </c>
      <c r="C408" s="24" t="s">
        <v>23</v>
      </c>
      <c r="D408" s="24" t="s">
        <v>35</v>
      </c>
      <c r="E408" s="24" t="s">
        <v>79</v>
      </c>
      <c r="F408" s="24" t="s">
        <v>42</v>
      </c>
      <c r="G408" s="31" t="n">
        <v>46157</v>
      </c>
      <c r="H408" s="24"/>
      <c r="I408" s="24"/>
      <c r="J408" s="24"/>
      <c r="K408" s="24" t="n">
        <v>5</v>
      </c>
      <c r="L408" s="24" t="str">
        <f aca="false">IF(J408&lt;&gt;"","Enrolled",IF(I408&lt;&gt;"","Admitted",IF(H408&lt;&gt;"","Applied",IF(G408&lt;&gt;"","Contacted","New"))))</f>
        <v>Contacted</v>
      </c>
      <c r="M408" s="32" t="n">
        <f aca="false">IF(G408="","",G408-B408)</f>
        <v>3</v>
      </c>
      <c r="N408" s="24" t="str">
        <f aca="false">IF(COUNTIF($A$2:A408,A408)&gt;1,"Duplicate ID",IF(C408="","Missing source",IF(OR(AND(G408&lt;&gt;"",G408&lt;B408),AND(H408&lt;&gt;"",H408&lt;B408),AND(I408&lt;&gt;"",I408&lt;H408),AND(J408&lt;&gt;"",J408&lt;I408)),"Date error","OK")))</f>
        <v>OK</v>
      </c>
    </row>
    <row r="409" customFormat="false" ht="15" hidden="false" customHeight="false" outlineLevel="0" collapsed="false">
      <c r="A409" s="24" t="s">
        <v>489</v>
      </c>
      <c r="B409" s="31" t="n">
        <v>46155</v>
      </c>
      <c r="C409" s="24" t="s">
        <v>23</v>
      </c>
      <c r="D409" s="24" t="s">
        <v>33</v>
      </c>
      <c r="E409" s="24" t="s">
        <v>89</v>
      </c>
      <c r="F409" s="24" t="s">
        <v>42</v>
      </c>
      <c r="G409" s="31" t="n">
        <v>46157</v>
      </c>
      <c r="H409" s="24"/>
      <c r="I409" s="24"/>
      <c r="J409" s="24"/>
      <c r="K409" s="24" t="n">
        <v>4</v>
      </c>
      <c r="L409" s="24" t="str">
        <f aca="false">IF(J409&lt;&gt;"","Enrolled",IF(I409&lt;&gt;"","Admitted",IF(H409&lt;&gt;"","Applied",IF(G409&lt;&gt;"","Contacted","New"))))</f>
        <v>Contacted</v>
      </c>
      <c r="M409" s="32" t="n">
        <f aca="false">IF(G409="","",G409-B409)</f>
        <v>2</v>
      </c>
      <c r="N409" s="24" t="str">
        <f aca="false">IF(COUNTIF($A$2:A409,A409)&gt;1,"Duplicate ID",IF(C409="","Missing source",IF(OR(AND(G409&lt;&gt;"",G409&lt;B409),AND(H409&lt;&gt;"",H409&lt;B409),AND(I409&lt;&gt;"",I409&lt;H409),AND(J409&lt;&gt;"",J409&lt;I409)),"Date error","OK")))</f>
        <v>OK</v>
      </c>
    </row>
    <row r="410" customFormat="false" ht="15" hidden="false" customHeight="false" outlineLevel="0" collapsed="false">
      <c r="A410" s="24" t="s">
        <v>490</v>
      </c>
      <c r="B410" s="31" t="n">
        <v>46155</v>
      </c>
      <c r="C410" s="24" t="s">
        <v>22</v>
      </c>
      <c r="D410" s="24" t="s">
        <v>36</v>
      </c>
      <c r="E410" s="24" t="s">
        <v>89</v>
      </c>
      <c r="F410" s="24" t="s">
        <v>45</v>
      </c>
      <c r="G410" s="31" t="n">
        <v>46155</v>
      </c>
      <c r="H410" s="24"/>
      <c r="I410" s="24"/>
      <c r="J410" s="24"/>
      <c r="K410" s="24" t="n">
        <v>3</v>
      </c>
      <c r="L410" s="24" t="str">
        <f aca="false">IF(J410&lt;&gt;"","Enrolled",IF(I410&lt;&gt;"","Admitted",IF(H410&lt;&gt;"","Applied",IF(G410&lt;&gt;"","Contacted","New"))))</f>
        <v>Contacted</v>
      </c>
      <c r="M410" s="32" t="n">
        <f aca="false">IF(G410="","",G410-B410)</f>
        <v>0</v>
      </c>
      <c r="N410" s="24" t="str">
        <f aca="false">IF(COUNTIF($A$2:A410,A410)&gt;1,"Duplicate ID",IF(C410="","Missing source",IF(OR(AND(G410&lt;&gt;"",G410&lt;B410),AND(H410&lt;&gt;"",H410&lt;B410),AND(I410&lt;&gt;"",I410&lt;H410),AND(J410&lt;&gt;"",J410&lt;I410)),"Date error","OK")))</f>
        <v>OK</v>
      </c>
    </row>
    <row r="411" customFormat="false" ht="15" hidden="false" customHeight="false" outlineLevel="0" collapsed="false">
      <c r="A411" s="24" t="s">
        <v>491</v>
      </c>
      <c r="B411" s="31" t="n">
        <v>46155</v>
      </c>
      <c r="C411" s="24" t="s">
        <v>25</v>
      </c>
      <c r="D411" s="24" t="s">
        <v>32</v>
      </c>
      <c r="E411" s="24" t="s">
        <v>89</v>
      </c>
      <c r="F411" s="24" t="s">
        <v>41</v>
      </c>
      <c r="G411" s="24"/>
      <c r="H411" s="24"/>
      <c r="I411" s="24"/>
      <c r="J411" s="24"/>
      <c r="K411" s="24" t="n">
        <v>0</v>
      </c>
      <c r="L411" s="24" t="str">
        <f aca="false">IF(J411&lt;&gt;"","Enrolled",IF(I411&lt;&gt;"","Admitted",IF(H411&lt;&gt;"","Applied",IF(G411&lt;&gt;"","Contacted","New"))))</f>
        <v>New</v>
      </c>
      <c r="M411" s="32" t="str">
        <f aca="false">IF(G411="","",G411-B411)</f>
        <v/>
      </c>
      <c r="N411" s="24" t="str">
        <f aca="false">IF(COUNTIF($A$2:A411,A411)&gt;1,"Duplicate ID",IF(C411="","Missing source",IF(OR(AND(G411&lt;&gt;"",G411&lt;B411),AND(H411&lt;&gt;"",H411&lt;B411),AND(I411&lt;&gt;"",I411&lt;H411),AND(J411&lt;&gt;"",J411&lt;I411)),"Date error","OK")))</f>
        <v>OK</v>
      </c>
    </row>
    <row r="412" customFormat="false" ht="15" hidden="false" customHeight="false" outlineLevel="0" collapsed="false">
      <c r="A412" s="24" t="s">
        <v>492</v>
      </c>
      <c r="B412" s="31" t="n">
        <v>46155</v>
      </c>
      <c r="C412" s="24" t="s">
        <v>27</v>
      </c>
      <c r="D412" s="24" t="s">
        <v>33</v>
      </c>
      <c r="E412" s="24" t="s">
        <v>94</v>
      </c>
      <c r="F412" s="24" t="s">
        <v>40</v>
      </c>
      <c r="G412" s="31" t="n">
        <v>46156</v>
      </c>
      <c r="H412" s="24"/>
      <c r="I412" s="24"/>
      <c r="J412" s="24"/>
      <c r="K412" s="24" t="n">
        <v>4</v>
      </c>
      <c r="L412" s="24" t="str">
        <f aca="false">IF(J412&lt;&gt;"","Enrolled",IF(I412&lt;&gt;"","Admitted",IF(H412&lt;&gt;"","Applied",IF(G412&lt;&gt;"","Contacted","New"))))</f>
        <v>Contacted</v>
      </c>
      <c r="M412" s="32" t="n">
        <f aca="false">IF(G412="","",G412-B412)</f>
        <v>1</v>
      </c>
      <c r="N412" s="24" t="str">
        <f aca="false">IF(COUNTIF($A$2:A412,A412)&gt;1,"Duplicate ID",IF(C412="","Missing source",IF(OR(AND(G412&lt;&gt;"",G412&lt;B412),AND(H412&lt;&gt;"",H412&lt;B412),AND(I412&lt;&gt;"",I412&lt;H412),AND(J412&lt;&gt;"",J412&lt;I412)),"Date error","OK")))</f>
        <v>OK</v>
      </c>
    </row>
    <row r="413" customFormat="false" ht="15" hidden="false" customHeight="false" outlineLevel="0" collapsed="false">
      <c r="A413" s="24" t="s">
        <v>493</v>
      </c>
      <c r="B413" s="31" t="n">
        <v>46155</v>
      </c>
      <c r="C413" s="24" t="s">
        <v>25</v>
      </c>
      <c r="D413" s="24" t="s">
        <v>34</v>
      </c>
      <c r="E413" s="24" t="s">
        <v>79</v>
      </c>
      <c r="F413" s="24" t="s">
        <v>42</v>
      </c>
      <c r="G413" s="31" t="n">
        <v>46156</v>
      </c>
      <c r="H413" s="24"/>
      <c r="I413" s="24"/>
      <c r="J413" s="24"/>
      <c r="K413" s="24" t="n">
        <v>1</v>
      </c>
      <c r="L413" s="24" t="str">
        <f aca="false">IF(J413&lt;&gt;"","Enrolled",IF(I413&lt;&gt;"","Admitted",IF(H413&lt;&gt;"","Applied",IF(G413&lt;&gt;"","Contacted","New"))))</f>
        <v>Contacted</v>
      </c>
      <c r="M413" s="32" t="n">
        <f aca="false">IF(G413="","",G413-B413)</f>
        <v>1</v>
      </c>
      <c r="N413" s="24" t="str">
        <f aca="false">IF(COUNTIF($A$2:A413,A413)&gt;1,"Duplicate ID",IF(C413="","Missing source",IF(OR(AND(G413&lt;&gt;"",G413&lt;B413),AND(H413&lt;&gt;"",H413&lt;B413),AND(I413&lt;&gt;"",I413&lt;H413),AND(J413&lt;&gt;"",J413&lt;I413)),"Date error","OK")))</f>
        <v>OK</v>
      </c>
    </row>
    <row r="414" customFormat="false" ht="15" hidden="false" customHeight="false" outlineLevel="0" collapsed="false">
      <c r="A414" s="24" t="s">
        <v>494</v>
      </c>
      <c r="B414" s="31" t="n">
        <v>46155</v>
      </c>
      <c r="C414" s="24" t="s">
        <v>26</v>
      </c>
      <c r="D414" s="24" t="s">
        <v>33</v>
      </c>
      <c r="E414" s="24" t="s">
        <v>94</v>
      </c>
      <c r="F414" s="24" t="s">
        <v>42</v>
      </c>
      <c r="G414" s="31" t="n">
        <v>46156</v>
      </c>
      <c r="H414" s="24"/>
      <c r="I414" s="24"/>
      <c r="J414" s="24"/>
      <c r="K414" s="24" t="n">
        <v>1</v>
      </c>
      <c r="L414" s="24" t="str">
        <f aca="false">IF(J414&lt;&gt;"","Enrolled",IF(I414&lt;&gt;"","Admitted",IF(H414&lt;&gt;"","Applied",IF(G414&lt;&gt;"","Contacted","New"))))</f>
        <v>Contacted</v>
      </c>
      <c r="M414" s="32" t="n">
        <f aca="false">IF(G414="","",G414-B414)</f>
        <v>1</v>
      </c>
      <c r="N414" s="24" t="str">
        <f aca="false">IF(COUNTIF($A$2:A414,A414)&gt;1,"Duplicate ID",IF(C414="","Missing source",IF(OR(AND(G414&lt;&gt;"",G414&lt;B414),AND(H414&lt;&gt;"",H414&lt;B414),AND(I414&lt;&gt;"",I414&lt;H414),AND(J414&lt;&gt;"",J414&lt;I414)),"Date error","OK")))</f>
        <v>OK</v>
      </c>
    </row>
    <row r="415" customFormat="false" ht="15" hidden="false" customHeight="false" outlineLevel="0" collapsed="false">
      <c r="A415" s="24" t="s">
        <v>495</v>
      </c>
      <c r="B415" s="31" t="n">
        <v>46155</v>
      </c>
      <c r="C415" s="24" t="s">
        <v>24</v>
      </c>
      <c r="D415" s="24" t="s">
        <v>33</v>
      </c>
      <c r="E415" s="24" t="s">
        <v>89</v>
      </c>
      <c r="F415" s="24" t="s">
        <v>43</v>
      </c>
      <c r="G415" s="31" t="n">
        <v>46157</v>
      </c>
      <c r="H415" s="31" t="n">
        <v>46167</v>
      </c>
      <c r="I415" s="31" t="n">
        <v>46180</v>
      </c>
      <c r="J415" s="31" t="n">
        <v>46211</v>
      </c>
      <c r="K415" s="24" t="n">
        <v>2</v>
      </c>
      <c r="L415" s="24" t="str">
        <f aca="false">IF(J415&lt;&gt;"","Enrolled",IF(I415&lt;&gt;"","Admitted",IF(H415&lt;&gt;"","Applied",IF(G415&lt;&gt;"","Contacted","New"))))</f>
        <v>Enrolled</v>
      </c>
      <c r="M415" s="32" t="n">
        <f aca="false">IF(G415="","",G415-B415)</f>
        <v>2</v>
      </c>
      <c r="N415" s="24" t="str">
        <f aca="false">IF(COUNTIF($A$2:A415,A415)&gt;1,"Duplicate ID",IF(C415="","Missing source",IF(OR(AND(G415&lt;&gt;"",G415&lt;B415),AND(H415&lt;&gt;"",H415&lt;B415),AND(I415&lt;&gt;"",I415&lt;H415),AND(J415&lt;&gt;"",J415&lt;I415)),"Date error","OK")))</f>
        <v>OK</v>
      </c>
    </row>
    <row r="416" customFormat="false" ht="15" hidden="false" customHeight="false" outlineLevel="0" collapsed="false">
      <c r="A416" s="24" t="s">
        <v>496</v>
      </c>
      <c r="B416" s="31" t="n">
        <v>46155</v>
      </c>
      <c r="C416" s="24" t="s">
        <v>21</v>
      </c>
      <c r="D416" s="24" t="s">
        <v>35</v>
      </c>
      <c r="E416" s="24" t="s">
        <v>89</v>
      </c>
      <c r="F416" s="24" t="s">
        <v>40</v>
      </c>
      <c r="G416" s="31" t="n">
        <v>46156</v>
      </c>
      <c r="H416" s="24"/>
      <c r="I416" s="24"/>
      <c r="J416" s="24"/>
      <c r="K416" s="24" t="n">
        <v>6</v>
      </c>
      <c r="L416" s="24" t="str">
        <f aca="false">IF(J416&lt;&gt;"","Enrolled",IF(I416&lt;&gt;"","Admitted",IF(H416&lt;&gt;"","Applied",IF(G416&lt;&gt;"","Contacted","New"))))</f>
        <v>Contacted</v>
      </c>
      <c r="M416" s="32" t="n">
        <f aca="false">IF(G416="","",G416-B416)</f>
        <v>1</v>
      </c>
      <c r="N416" s="24" t="str">
        <f aca="false">IF(COUNTIF($A$2:A416,A416)&gt;1,"Duplicate ID",IF(C416="","Missing source",IF(OR(AND(G416&lt;&gt;"",G416&lt;B416),AND(H416&lt;&gt;"",H416&lt;B416),AND(I416&lt;&gt;"",I416&lt;H416),AND(J416&lt;&gt;"",J416&lt;I416)),"Date error","OK")))</f>
        <v>OK</v>
      </c>
    </row>
    <row r="417" customFormat="false" ht="15" hidden="false" customHeight="false" outlineLevel="0" collapsed="false">
      <c r="A417" s="24" t="s">
        <v>497</v>
      </c>
      <c r="B417" s="31" t="n">
        <v>46155</v>
      </c>
      <c r="C417" s="24" t="s">
        <v>26</v>
      </c>
      <c r="D417" s="24" t="s">
        <v>34</v>
      </c>
      <c r="E417" s="24" t="s">
        <v>94</v>
      </c>
      <c r="F417" s="24" t="s">
        <v>42</v>
      </c>
      <c r="G417" s="31" t="n">
        <v>46157</v>
      </c>
      <c r="H417" s="24"/>
      <c r="I417" s="24"/>
      <c r="J417" s="24"/>
      <c r="K417" s="24" t="n">
        <v>1</v>
      </c>
      <c r="L417" s="24" t="str">
        <f aca="false">IF(J417&lt;&gt;"","Enrolled",IF(I417&lt;&gt;"","Admitted",IF(H417&lt;&gt;"","Applied",IF(G417&lt;&gt;"","Contacted","New"))))</f>
        <v>Contacted</v>
      </c>
      <c r="M417" s="32" t="n">
        <f aca="false">IF(G417="","",G417-B417)</f>
        <v>2</v>
      </c>
      <c r="N417" s="24" t="str">
        <f aca="false">IF(COUNTIF($A$2:A417,A417)&gt;1,"Duplicate ID",IF(C417="","Missing source",IF(OR(AND(G417&lt;&gt;"",G417&lt;B417),AND(H417&lt;&gt;"",H417&lt;B417),AND(I417&lt;&gt;"",I417&lt;H417),AND(J417&lt;&gt;"",J417&lt;I417)),"Date error","OK")))</f>
        <v>OK</v>
      </c>
    </row>
    <row r="418" customFormat="false" ht="15" hidden="false" customHeight="false" outlineLevel="0" collapsed="false">
      <c r="A418" s="24" t="s">
        <v>498</v>
      </c>
      <c r="B418" s="31" t="n">
        <v>46155</v>
      </c>
      <c r="C418" s="24" t="s">
        <v>22</v>
      </c>
      <c r="D418" s="24" t="s">
        <v>33</v>
      </c>
      <c r="E418" s="24" t="s">
        <v>79</v>
      </c>
      <c r="F418" s="24" t="s">
        <v>42</v>
      </c>
      <c r="G418" s="31" t="n">
        <v>46155</v>
      </c>
      <c r="H418" s="31" t="n">
        <v>46169</v>
      </c>
      <c r="I418" s="31" t="n">
        <v>46184</v>
      </c>
      <c r="J418" s="24"/>
      <c r="K418" s="24" t="n">
        <v>3</v>
      </c>
      <c r="L418" s="24" t="str">
        <f aca="false">IF(J418&lt;&gt;"","Enrolled",IF(I418&lt;&gt;"","Admitted",IF(H418&lt;&gt;"","Applied",IF(G418&lt;&gt;"","Contacted","New"))))</f>
        <v>Admitted</v>
      </c>
      <c r="M418" s="32" t="n">
        <f aca="false">IF(G418="","",G418-B418)</f>
        <v>0</v>
      </c>
      <c r="N418" s="24" t="str">
        <f aca="false">IF(COUNTIF($A$2:A418,A418)&gt;1,"Duplicate ID",IF(C418="","Missing source",IF(OR(AND(G418&lt;&gt;"",G418&lt;B418),AND(H418&lt;&gt;"",H418&lt;B418),AND(I418&lt;&gt;"",I418&lt;H418),AND(J418&lt;&gt;"",J418&lt;I418)),"Date error","OK")))</f>
        <v>OK</v>
      </c>
    </row>
    <row r="419" customFormat="false" ht="15" hidden="false" customHeight="false" outlineLevel="0" collapsed="false">
      <c r="A419" s="24" t="s">
        <v>499</v>
      </c>
      <c r="B419" s="31" t="n">
        <v>46155</v>
      </c>
      <c r="C419" s="24" t="s">
        <v>25</v>
      </c>
      <c r="D419" s="24" t="s">
        <v>36</v>
      </c>
      <c r="E419" s="24" t="s">
        <v>79</v>
      </c>
      <c r="F419" s="24" t="s">
        <v>41</v>
      </c>
      <c r="G419" s="31" t="n">
        <v>46157</v>
      </c>
      <c r="H419" s="31" t="n">
        <v>46169</v>
      </c>
      <c r="I419" s="31" t="n">
        <v>46181</v>
      </c>
      <c r="J419" s="24"/>
      <c r="K419" s="24" t="n">
        <v>2</v>
      </c>
      <c r="L419" s="24" t="str">
        <f aca="false">IF(J419&lt;&gt;"","Enrolled",IF(I419&lt;&gt;"","Admitted",IF(H419&lt;&gt;"","Applied",IF(G419&lt;&gt;"","Contacted","New"))))</f>
        <v>Admitted</v>
      </c>
      <c r="M419" s="32" t="n">
        <f aca="false">IF(G419="","",G419-B419)</f>
        <v>2</v>
      </c>
      <c r="N419" s="24" t="str">
        <f aca="false">IF(COUNTIF($A$2:A419,A419)&gt;1,"Duplicate ID",IF(C419="","Missing source",IF(OR(AND(G419&lt;&gt;"",G419&lt;B419),AND(H419&lt;&gt;"",H419&lt;B419),AND(I419&lt;&gt;"",I419&lt;H419),AND(J419&lt;&gt;"",J419&lt;I419)),"Date error","OK")))</f>
        <v>OK</v>
      </c>
    </row>
    <row r="420" customFormat="false" ht="15" hidden="false" customHeight="false" outlineLevel="0" collapsed="false">
      <c r="A420" s="24" t="s">
        <v>500</v>
      </c>
      <c r="B420" s="31" t="n">
        <v>46156</v>
      </c>
      <c r="C420" s="24" t="s">
        <v>23</v>
      </c>
      <c r="D420" s="24" t="s">
        <v>33</v>
      </c>
      <c r="E420" s="24" t="s">
        <v>94</v>
      </c>
      <c r="F420" s="24" t="s">
        <v>44</v>
      </c>
      <c r="G420" s="31" t="n">
        <v>46167</v>
      </c>
      <c r="H420" s="24"/>
      <c r="I420" s="24"/>
      <c r="J420" s="24"/>
      <c r="K420" s="24" t="n">
        <v>2</v>
      </c>
      <c r="L420" s="24" t="str">
        <f aca="false">IF(J420&lt;&gt;"","Enrolled",IF(I420&lt;&gt;"","Admitted",IF(H420&lt;&gt;"","Applied",IF(G420&lt;&gt;"","Contacted","New"))))</f>
        <v>Contacted</v>
      </c>
      <c r="M420" s="32" t="n">
        <f aca="false">IF(G420="","",G420-B420)</f>
        <v>11</v>
      </c>
      <c r="N420" s="24" t="str">
        <f aca="false">IF(COUNTIF($A$2:A420,A420)&gt;1,"Duplicate ID",IF(C420="","Missing source",IF(OR(AND(G420&lt;&gt;"",G420&lt;B420),AND(H420&lt;&gt;"",H420&lt;B420),AND(I420&lt;&gt;"",I420&lt;H420),AND(J420&lt;&gt;"",J420&lt;I420)),"Date error","OK")))</f>
        <v>OK</v>
      </c>
    </row>
    <row r="421" customFormat="false" ht="15" hidden="false" customHeight="false" outlineLevel="0" collapsed="false">
      <c r="A421" s="24" t="s">
        <v>501</v>
      </c>
      <c r="B421" s="31" t="n">
        <v>46156</v>
      </c>
      <c r="C421" s="24" t="s">
        <v>25</v>
      </c>
      <c r="D421" s="24" t="s">
        <v>33</v>
      </c>
      <c r="E421" s="24" t="s">
        <v>79</v>
      </c>
      <c r="F421" s="24" t="s">
        <v>40</v>
      </c>
      <c r="G421" s="31" t="n">
        <v>46156</v>
      </c>
      <c r="H421" s="24"/>
      <c r="I421" s="24"/>
      <c r="J421" s="24"/>
      <c r="K421" s="24" t="n">
        <v>3</v>
      </c>
      <c r="L421" s="24" t="str">
        <f aca="false">IF(J421&lt;&gt;"","Enrolled",IF(I421&lt;&gt;"","Admitted",IF(H421&lt;&gt;"","Applied",IF(G421&lt;&gt;"","Contacted","New"))))</f>
        <v>Contacted</v>
      </c>
      <c r="M421" s="32" t="n">
        <f aca="false">IF(G421="","",G421-B421)</f>
        <v>0</v>
      </c>
      <c r="N421" s="24" t="str">
        <f aca="false">IF(COUNTIF($A$2:A421,A421)&gt;1,"Duplicate ID",IF(C421="","Missing source",IF(OR(AND(G421&lt;&gt;"",G421&lt;B421),AND(H421&lt;&gt;"",H421&lt;B421),AND(I421&lt;&gt;"",I421&lt;H421),AND(J421&lt;&gt;"",J421&lt;I421)),"Date error","OK")))</f>
        <v>OK</v>
      </c>
    </row>
    <row r="422" customFormat="false" ht="15" hidden="false" customHeight="false" outlineLevel="0" collapsed="false">
      <c r="A422" s="24" t="s">
        <v>502</v>
      </c>
      <c r="B422" s="31" t="n">
        <v>46156</v>
      </c>
      <c r="C422" s="24" t="s">
        <v>24</v>
      </c>
      <c r="D422" s="24" t="s">
        <v>33</v>
      </c>
      <c r="E422" s="24" t="s">
        <v>94</v>
      </c>
      <c r="F422" s="24" t="s">
        <v>42</v>
      </c>
      <c r="G422" s="31" t="n">
        <v>46160</v>
      </c>
      <c r="H422" s="24"/>
      <c r="I422" s="24"/>
      <c r="J422" s="24"/>
      <c r="K422" s="24" t="n">
        <v>1</v>
      </c>
      <c r="L422" s="24" t="str">
        <f aca="false">IF(J422&lt;&gt;"","Enrolled",IF(I422&lt;&gt;"","Admitted",IF(H422&lt;&gt;"","Applied",IF(G422&lt;&gt;"","Contacted","New"))))</f>
        <v>Contacted</v>
      </c>
      <c r="M422" s="32" t="n">
        <f aca="false">IF(G422="","",G422-B422)</f>
        <v>4</v>
      </c>
      <c r="N422" s="24" t="str">
        <f aca="false">IF(COUNTIF($A$2:A422,A422)&gt;1,"Duplicate ID",IF(C422="","Missing source",IF(OR(AND(G422&lt;&gt;"",G422&lt;B422),AND(H422&lt;&gt;"",H422&lt;B422),AND(I422&lt;&gt;"",I422&lt;H422),AND(J422&lt;&gt;"",J422&lt;I422)),"Date error","OK")))</f>
        <v>OK</v>
      </c>
    </row>
    <row r="423" customFormat="false" ht="15" hidden="false" customHeight="false" outlineLevel="0" collapsed="false">
      <c r="A423" s="24" t="s">
        <v>503</v>
      </c>
      <c r="B423" s="31" t="n">
        <v>46156</v>
      </c>
      <c r="C423" s="24" t="s">
        <v>24</v>
      </c>
      <c r="D423" s="24" t="s">
        <v>33</v>
      </c>
      <c r="E423" s="24" t="s">
        <v>84</v>
      </c>
      <c r="F423" s="24" t="s">
        <v>44</v>
      </c>
      <c r="G423" s="31" t="n">
        <v>46163</v>
      </c>
      <c r="H423" s="24"/>
      <c r="I423" s="24"/>
      <c r="J423" s="24"/>
      <c r="K423" s="24" t="n">
        <v>5</v>
      </c>
      <c r="L423" s="24" t="str">
        <f aca="false">IF(J423&lt;&gt;"","Enrolled",IF(I423&lt;&gt;"","Admitted",IF(H423&lt;&gt;"","Applied",IF(G423&lt;&gt;"","Contacted","New"))))</f>
        <v>Contacted</v>
      </c>
      <c r="M423" s="32" t="n">
        <f aca="false">IF(G423="","",G423-B423)</f>
        <v>7</v>
      </c>
      <c r="N423" s="24" t="str">
        <f aca="false">IF(COUNTIF($A$2:A423,A423)&gt;1,"Duplicate ID",IF(C423="","Missing source",IF(OR(AND(G423&lt;&gt;"",G423&lt;B423),AND(H423&lt;&gt;"",H423&lt;B423),AND(I423&lt;&gt;"",I423&lt;H423),AND(J423&lt;&gt;"",J423&lt;I423)),"Date error","OK")))</f>
        <v>OK</v>
      </c>
    </row>
    <row r="424" customFormat="false" ht="15" hidden="false" customHeight="false" outlineLevel="0" collapsed="false">
      <c r="A424" s="24" t="s">
        <v>504</v>
      </c>
      <c r="B424" s="31" t="n">
        <v>46157</v>
      </c>
      <c r="C424" s="24" t="s">
        <v>26</v>
      </c>
      <c r="D424" s="24" t="s">
        <v>36</v>
      </c>
      <c r="E424" s="24" t="s">
        <v>89</v>
      </c>
      <c r="F424" s="24" t="s">
        <v>42</v>
      </c>
      <c r="G424" s="31" t="n">
        <v>46161</v>
      </c>
      <c r="H424" s="24"/>
      <c r="I424" s="24"/>
      <c r="J424" s="24"/>
      <c r="K424" s="24" t="n">
        <v>1</v>
      </c>
      <c r="L424" s="24" t="str">
        <f aca="false">IF(J424&lt;&gt;"","Enrolled",IF(I424&lt;&gt;"","Admitted",IF(H424&lt;&gt;"","Applied",IF(G424&lt;&gt;"","Contacted","New"))))</f>
        <v>Contacted</v>
      </c>
      <c r="M424" s="32" t="n">
        <f aca="false">IF(G424="","",G424-B424)</f>
        <v>4</v>
      </c>
      <c r="N424" s="24" t="str">
        <f aca="false">IF(COUNTIF($A$2:A424,A424)&gt;1,"Duplicate ID",IF(C424="","Missing source",IF(OR(AND(G424&lt;&gt;"",G424&lt;B424),AND(H424&lt;&gt;"",H424&lt;B424),AND(I424&lt;&gt;"",I424&lt;H424),AND(J424&lt;&gt;"",J424&lt;I424)),"Date error","OK")))</f>
        <v>OK</v>
      </c>
    </row>
    <row r="425" customFormat="false" ht="15" hidden="false" customHeight="false" outlineLevel="0" collapsed="false">
      <c r="A425" s="24" t="s">
        <v>505</v>
      </c>
      <c r="B425" s="31" t="n">
        <v>46157</v>
      </c>
      <c r="C425" s="24" t="s">
        <v>26</v>
      </c>
      <c r="D425" s="24" t="s">
        <v>33</v>
      </c>
      <c r="E425" s="24" t="s">
        <v>89</v>
      </c>
      <c r="F425" s="24" t="s">
        <v>41</v>
      </c>
      <c r="G425" s="31" t="n">
        <v>46158</v>
      </c>
      <c r="H425" s="24"/>
      <c r="I425" s="24"/>
      <c r="J425" s="24"/>
      <c r="K425" s="24" t="n">
        <v>3</v>
      </c>
      <c r="L425" s="24" t="str">
        <f aca="false">IF(J425&lt;&gt;"","Enrolled",IF(I425&lt;&gt;"","Admitted",IF(H425&lt;&gt;"","Applied",IF(G425&lt;&gt;"","Contacted","New"))))</f>
        <v>Contacted</v>
      </c>
      <c r="M425" s="32" t="n">
        <f aca="false">IF(G425="","",G425-B425)</f>
        <v>1</v>
      </c>
      <c r="N425" s="24" t="str">
        <f aca="false">IF(COUNTIF($A$2:A425,A425)&gt;1,"Duplicate ID",IF(C425="","Missing source",IF(OR(AND(G425&lt;&gt;"",G425&lt;B425),AND(H425&lt;&gt;"",H425&lt;B425),AND(I425&lt;&gt;"",I425&lt;H425),AND(J425&lt;&gt;"",J425&lt;I425)),"Date error","OK")))</f>
        <v>OK</v>
      </c>
    </row>
    <row r="426" customFormat="false" ht="15" hidden="false" customHeight="false" outlineLevel="0" collapsed="false">
      <c r="A426" s="24" t="s">
        <v>506</v>
      </c>
      <c r="B426" s="31" t="n">
        <v>46157</v>
      </c>
      <c r="C426" s="24" t="s">
        <v>26</v>
      </c>
      <c r="D426" s="24" t="s">
        <v>33</v>
      </c>
      <c r="E426" s="24" t="s">
        <v>79</v>
      </c>
      <c r="F426" s="24" t="s">
        <v>45</v>
      </c>
      <c r="G426" s="31" t="n">
        <v>46159</v>
      </c>
      <c r="H426" s="24"/>
      <c r="I426" s="24"/>
      <c r="J426" s="24"/>
      <c r="K426" s="24" t="n">
        <v>0</v>
      </c>
      <c r="L426" s="24" t="str">
        <f aca="false">IF(J426&lt;&gt;"","Enrolled",IF(I426&lt;&gt;"","Admitted",IF(H426&lt;&gt;"","Applied",IF(G426&lt;&gt;"","Contacted","New"))))</f>
        <v>Contacted</v>
      </c>
      <c r="M426" s="32" t="n">
        <f aca="false">IF(G426="","",G426-B426)</f>
        <v>2</v>
      </c>
      <c r="N426" s="24" t="str">
        <f aca="false">IF(COUNTIF($A$2:A426,A426)&gt;1,"Duplicate ID",IF(C426="","Missing source",IF(OR(AND(G426&lt;&gt;"",G426&lt;B426),AND(H426&lt;&gt;"",H426&lt;B426),AND(I426&lt;&gt;"",I426&lt;H426),AND(J426&lt;&gt;"",J426&lt;I426)),"Date error","OK")))</f>
        <v>OK</v>
      </c>
    </row>
    <row r="427" customFormat="false" ht="15" hidden="false" customHeight="false" outlineLevel="0" collapsed="false">
      <c r="A427" s="24" t="s">
        <v>507</v>
      </c>
      <c r="B427" s="31" t="n">
        <v>46157</v>
      </c>
      <c r="C427" s="24" t="s">
        <v>26</v>
      </c>
      <c r="D427" s="24" t="s">
        <v>33</v>
      </c>
      <c r="E427" s="24" t="s">
        <v>79</v>
      </c>
      <c r="F427" s="24" t="s">
        <v>40</v>
      </c>
      <c r="G427" s="31" t="n">
        <v>46158</v>
      </c>
      <c r="H427" s="31" t="n">
        <v>46161</v>
      </c>
      <c r="I427" s="31" t="n">
        <v>46171</v>
      </c>
      <c r="J427" s="31" t="n">
        <v>46189</v>
      </c>
      <c r="K427" s="24" t="n">
        <v>2</v>
      </c>
      <c r="L427" s="24" t="str">
        <f aca="false">IF(J427&lt;&gt;"","Enrolled",IF(I427&lt;&gt;"","Admitted",IF(H427&lt;&gt;"","Applied",IF(G427&lt;&gt;"","Contacted","New"))))</f>
        <v>Enrolled</v>
      </c>
      <c r="M427" s="32" t="n">
        <f aca="false">IF(G427="","",G427-B427)</f>
        <v>1</v>
      </c>
      <c r="N427" s="24" t="str">
        <f aca="false">IF(COUNTIF($A$2:A427,A427)&gt;1,"Duplicate ID",IF(C427="","Missing source",IF(OR(AND(G427&lt;&gt;"",G427&lt;B427),AND(H427&lt;&gt;"",H427&lt;B427),AND(I427&lt;&gt;"",I427&lt;H427),AND(J427&lt;&gt;"",J427&lt;I427)),"Date error","OK")))</f>
        <v>OK</v>
      </c>
    </row>
    <row r="428" customFormat="false" ht="15" hidden="false" customHeight="false" outlineLevel="0" collapsed="false">
      <c r="A428" s="24" t="s">
        <v>508</v>
      </c>
      <c r="B428" s="31" t="n">
        <v>46157</v>
      </c>
      <c r="C428" s="24" t="s">
        <v>23</v>
      </c>
      <c r="D428" s="24" t="s">
        <v>36</v>
      </c>
      <c r="E428" s="24" t="s">
        <v>79</v>
      </c>
      <c r="F428" s="24" t="s">
        <v>42</v>
      </c>
      <c r="G428" s="31" t="n">
        <v>46157</v>
      </c>
      <c r="H428" s="24"/>
      <c r="I428" s="24"/>
      <c r="J428" s="24"/>
      <c r="K428" s="24" t="n">
        <v>2</v>
      </c>
      <c r="L428" s="24" t="str">
        <f aca="false">IF(J428&lt;&gt;"","Enrolled",IF(I428&lt;&gt;"","Admitted",IF(H428&lt;&gt;"","Applied",IF(G428&lt;&gt;"","Contacted","New"))))</f>
        <v>Contacted</v>
      </c>
      <c r="M428" s="32" t="n">
        <f aca="false">IF(G428="","",G428-B428)</f>
        <v>0</v>
      </c>
      <c r="N428" s="24" t="str">
        <f aca="false">IF(COUNTIF($A$2:A428,A428)&gt;1,"Duplicate ID",IF(C428="","Missing source",IF(OR(AND(G428&lt;&gt;"",G428&lt;B428),AND(H428&lt;&gt;"",H428&lt;B428),AND(I428&lt;&gt;"",I428&lt;H428),AND(J428&lt;&gt;"",J428&lt;I428)),"Date error","OK")))</f>
        <v>OK</v>
      </c>
    </row>
    <row r="429" customFormat="false" ht="15" hidden="false" customHeight="false" outlineLevel="0" collapsed="false">
      <c r="A429" s="24" t="s">
        <v>509</v>
      </c>
      <c r="B429" s="31" t="n">
        <v>46158</v>
      </c>
      <c r="C429" s="24" t="s">
        <v>26</v>
      </c>
      <c r="D429" s="24" t="s">
        <v>32</v>
      </c>
      <c r="E429" s="24" t="s">
        <v>89</v>
      </c>
      <c r="F429" s="24" t="s">
        <v>45</v>
      </c>
      <c r="G429" s="31" t="n">
        <v>46159</v>
      </c>
      <c r="H429" s="24"/>
      <c r="I429" s="24"/>
      <c r="J429" s="24"/>
      <c r="K429" s="24" t="n">
        <v>1</v>
      </c>
      <c r="L429" s="24" t="str">
        <f aca="false">IF(J429&lt;&gt;"","Enrolled",IF(I429&lt;&gt;"","Admitted",IF(H429&lt;&gt;"","Applied",IF(G429&lt;&gt;"","Contacted","New"))))</f>
        <v>Contacted</v>
      </c>
      <c r="M429" s="32" t="n">
        <f aca="false">IF(G429="","",G429-B429)</f>
        <v>1</v>
      </c>
      <c r="N429" s="24" t="str">
        <f aca="false">IF(COUNTIF($A$2:A429,A429)&gt;1,"Duplicate ID",IF(C429="","Missing source",IF(OR(AND(G429&lt;&gt;"",G429&lt;B429),AND(H429&lt;&gt;"",H429&lt;B429),AND(I429&lt;&gt;"",I429&lt;H429),AND(J429&lt;&gt;"",J429&lt;I429)),"Date error","OK")))</f>
        <v>OK</v>
      </c>
    </row>
    <row r="430" customFormat="false" ht="15" hidden="false" customHeight="false" outlineLevel="0" collapsed="false">
      <c r="A430" s="24" t="s">
        <v>510</v>
      </c>
      <c r="B430" s="31" t="n">
        <v>46158</v>
      </c>
      <c r="C430" s="24" t="s">
        <v>26</v>
      </c>
      <c r="D430" s="24" t="s">
        <v>32</v>
      </c>
      <c r="E430" s="24" t="s">
        <v>79</v>
      </c>
      <c r="F430" s="24" t="s">
        <v>41</v>
      </c>
      <c r="G430" s="31" t="n">
        <v>46158</v>
      </c>
      <c r="H430" s="31" t="n">
        <v>46164</v>
      </c>
      <c r="I430" s="31" t="n">
        <v>46175</v>
      </c>
      <c r="J430" s="24"/>
      <c r="K430" s="24" t="n">
        <v>5</v>
      </c>
      <c r="L430" s="24" t="str">
        <f aca="false">IF(J430&lt;&gt;"","Enrolled",IF(I430&lt;&gt;"","Admitted",IF(H430&lt;&gt;"","Applied",IF(G430&lt;&gt;"","Contacted","New"))))</f>
        <v>Admitted</v>
      </c>
      <c r="M430" s="32" t="n">
        <f aca="false">IF(G430="","",G430-B430)</f>
        <v>0</v>
      </c>
      <c r="N430" s="24" t="str">
        <f aca="false">IF(COUNTIF($A$2:A430,A430)&gt;1,"Duplicate ID",IF(C430="","Missing source",IF(OR(AND(G430&lt;&gt;"",G430&lt;B430),AND(H430&lt;&gt;"",H430&lt;B430),AND(I430&lt;&gt;"",I430&lt;H430),AND(J430&lt;&gt;"",J430&lt;I430)),"Date error","OK")))</f>
        <v>OK</v>
      </c>
    </row>
    <row r="431" customFormat="false" ht="15" hidden="false" customHeight="false" outlineLevel="0" collapsed="false">
      <c r="A431" s="24" t="s">
        <v>511</v>
      </c>
      <c r="B431" s="31" t="n">
        <v>46158</v>
      </c>
      <c r="C431" s="24" t="s">
        <v>25</v>
      </c>
      <c r="D431" s="24" t="s">
        <v>33</v>
      </c>
      <c r="E431" s="24" t="s">
        <v>79</v>
      </c>
      <c r="F431" s="24" t="s">
        <v>40</v>
      </c>
      <c r="G431" s="31" t="n">
        <v>46158</v>
      </c>
      <c r="H431" s="24"/>
      <c r="I431" s="24"/>
      <c r="J431" s="24"/>
      <c r="K431" s="24" t="n">
        <v>2</v>
      </c>
      <c r="L431" s="24" t="str">
        <f aca="false">IF(J431&lt;&gt;"","Enrolled",IF(I431&lt;&gt;"","Admitted",IF(H431&lt;&gt;"","Applied",IF(G431&lt;&gt;"","Contacted","New"))))</f>
        <v>Contacted</v>
      </c>
      <c r="M431" s="32" t="n">
        <f aca="false">IF(G431="","",G431-B431)</f>
        <v>0</v>
      </c>
      <c r="N431" s="24" t="str">
        <f aca="false">IF(COUNTIF($A$2:A431,A431)&gt;1,"Duplicate ID",IF(C431="","Missing source",IF(OR(AND(G431&lt;&gt;"",G431&lt;B431),AND(H431&lt;&gt;"",H431&lt;B431),AND(I431&lt;&gt;"",I431&lt;H431),AND(J431&lt;&gt;"",J431&lt;I431)),"Date error","OK")))</f>
        <v>OK</v>
      </c>
    </row>
    <row r="432" customFormat="false" ht="15" hidden="false" customHeight="false" outlineLevel="0" collapsed="false">
      <c r="A432" s="24" t="s">
        <v>512</v>
      </c>
      <c r="B432" s="31" t="n">
        <v>46158</v>
      </c>
      <c r="C432" s="24" t="s">
        <v>22</v>
      </c>
      <c r="D432" s="24" t="s">
        <v>33</v>
      </c>
      <c r="E432" s="24" t="s">
        <v>79</v>
      </c>
      <c r="F432" s="24" t="s">
        <v>42</v>
      </c>
      <c r="G432" s="31" t="n">
        <v>46160</v>
      </c>
      <c r="H432" s="24"/>
      <c r="I432" s="24"/>
      <c r="J432" s="24"/>
      <c r="K432" s="24" t="n">
        <v>1</v>
      </c>
      <c r="L432" s="24" t="str">
        <f aca="false">IF(J432&lt;&gt;"","Enrolled",IF(I432&lt;&gt;"","Admitted",IF(H432&lt;&gt;"","Applied",IF(G432&lt;&gt;"","Contacted","New"))))</f>
        <v>Contacted</v>
      </c>
      <c r="M432" s="32" t="n">
        <f aca="false">IF(G432="","",G432-B432)</f>
        <v>2</v>
      </c>
      <c r="N432" s="24" t="str">
        <f aca="false">IF(COUNTIF($A$2:A432,A432)&gt;1,"Duplicate ID",IF(C432="","Missing source",IF(OR(AND(G432&lt;&gt;"",G432&lt;B432),AND(H432&lt;&gt;"",H432&lt;B432),AND(I432&lt;&gt;"",I432&lt;H432),AND(J432&lt;&gt;"",J432&lt;I432)),"Date error","OK")))</f>
        <v>OK</v>
      </c>
    </row>
    <row r="433" customFormat="false" ht="15" hidden="false" customHeight="false" outlineLevel="0" collapsed="false">
      <c r="A433" s="24" t="s">
        <v>513</v>
      </c>
      <c r="B433" s="31" t="n">
        <v>46158</v>
      </c>
      <c r="C433" s="24" t="s">
        <v>26</v>
      </c>
      <c r="D433" s="24" t="s">
        <v>36</v>
      </c>
      <c r="E433" s="24" t="s">
        <v>89</v>
      </c>
      <c r="F433" s="24" t="s">
        <v>40</v>
      </c>
      <c r="G433" s="31" t="n">
        <v>46159</v>
      </c>
      <c r="H433" s="24"/>
      <c r="I433" s="24"/>
      <c r="J433" s="24"/>
      <c r="K433" s="24" t="n">
        <v>4</v>
      </c>
      <c r="L433" s="24" t="str">
        <f aca="false">IF(J433&lt;&gt;"","Enrolled",IF(I433&lt;&gt;"","Admitted",IF(H433&lt;&gt;"","Applied",IF(G433&lt;&gt;"","Contacted","New"))))</f>
        <v>Contacted</v>
      </c>
      <c r="M433" s="32" t="n">
        <f aca="false">IF(G433="","",G433-B433)</f>
        <v>1</v>
      </c>
      <c r="N433" s="24" t="str">
        <f aca="false">IF(COUNTIF($A$2:A433,A433)&gt;1,"Duplicate ID",IF(C433="","Missing source",IF(OR(AND(G433&lt;&gt;"",G433&lt;B433),AND(H433&lt;&gt;"",H433&lt;B433),AND(I433&lt;&gt;"",I433&lt;H433),AND(J433&lt;&gt;"",J433&lt;I433)),"Date error","OK")))</f>
        <v>OK</v>
      </c>
    </row>
    <row r="434" customFormat="false" ht="15" hidden="false" customHeight="false" outlineLevel="0" collapsed="false">
      <c r="A434" s="24" t="s">
        <v>514</v>
      </c>
      <c r="B434" s="31" t="n">
        <v>46158</v>
      </c>
      <c r="C434" s="24" t="s">
        <v>27</v>
      </c>
      <c r="D434" s="24" t="s">
        <v>36</v>
      </c>
      <c r="E434" s="24" t="s">
        <v>79</v>
      </c>
      <c r="F434" s="24" t="s">
        <v>43</v>
      </c>
      <c r="G434" s="31" t="n">
        <v>46160</v>
      </c>
      <c r="H434" s="24"/>
      <c r="I434" s="24"/>
      <c r="J434" s="24"/>
      <c r="K434" s="24" t="n">
        <v>0</v>
      </c>
      <c r="L434" s="24" t="str">
        <f aca="false">IF(J434&lt;&gt;"","Enrolled",IF(I434&lt;&gt;"","Admitted",IF(H434&lt;&gt;"","Applied",IF(G434&lt;&gt;"","Contacted","New"))))</f>
        <v>Contacted</v>
      </c>
      <c r="M434" s="32" t="n">
        <f aca="false">IF(G434="","",G434-B434)</f>
        <v>2</v>
      </c>
      <c r="N434" s="24" t="str">
        <f aca="false">IF(COUNTIF($A$2:A434,A434)&gt;1,"Duplicate ID",IF(C434="","Missing source",IF(OR(AND(G434&lt;&gt;"",G434&lt;B434),AND(H434&lt;&gt;"",H434&lt;B434),AND(I434&lt;&gt;"",I434&lt;H434),AND(J434&lt;&gt;"",J434&lt;I434)),"Date error","OK")))</f>
        <v>OK</v>
      </c>
    </row>
    <row r="435" customFormat="false" ht="15" hidden="false" customHeight="false" outlineLevel="0" collapsed="false">
      <c r="A435" s="24" t="s">
        <v>515</v>
      </c>
      <c r="B435" s="31" t="n">
        <v>46158</v>
      </c>
      <c r="C435" s="24" t="s">
        <v>25</v>
      </c>
      <c r="D435" s="24" t="s">
        <v>35</v>
      </c>
      <c r="E435" s="24" t="s">
        <v>79</v>
      </c>
      <c r="F435" s="24" t="s">
        <v>44</v>
      </c>
      <c r="G435" s="31" t="n">
        <v>46159</v>
      </c>
      <c r="H435" s="24"/>
      <c r="I435" s="24"/>
      <c r="J435" s="24"/>
      <c r="K435" s="24" t="n">
        <v>4</v>
      </c>
      <c r="L435" s="24" t="str">
        <f aca="false">IF(J435&lt;&gt;"","Enrolled",IF(I435&lt;&gt;"","Admitted",IF(H435&lt;&gt;"","Applied",IF(G435&lt;&gt;"","Contacted","New"))))</f>
        <v>Contacted</v>
      </c>
      <c r="M435" s="32" t="n">
        <f aca="false">IF(G435="","",G435-B435)</f>
        <v>1</v>
      </c>
      <c r="N435" s="24" t="str">
        <f aca="false">IF(COUNTIF($A$2:A435,A435)&gt;1,"Duplicate ID",IF(C435="","Missing source",IF(OR(AND(G435&lt;&gt;"",G435&lt;B435),AND(H435&lt;&gt;"",H435&lt;B435),AND(I435&lt;&gt;"",I435&lt;H435),AND(J435&lt;&gt;"",J435&lt;I435)),"Date error","OK")))</f>
        <v>OK</v>
      </c>
    </row>
    <row r="436" customFormat="false" ht="15" hidden="false" customHeight="false" outlineLevel="0" collapsed="false">
      <c r="A436" s="24" t="s">
        <v>516</v>
      </c>
      <c r="B436" s="31" t="n">
        <v>46158</v>
      </c>
      <c r="C436" s="24" t="s">
        <v>26</v>
      </c>
      <c r="D436" s="24" t="s">
        <v>32</v>
      </c>
      <c r="E436" s="24" t="s">
        <v>94</v>
      </c>
      <c r="F436" s="24" t="s">
        <v>43</v>
      </c>
      <c r="G436" s="31" t="n">
        <v>46158</v>
      </c>
      <c r="H436" s="24"/>
      <c r="I436" s="24"/>
      <c r="J436" s="24"/>
      <c r="K436" s="24" t="n">
        <v>1</v>
      </c>
      <c r="L436" s="24" t="str">
        <f aca="false">IF(J436&lt;&gt;"","Enrolled",IF(I436&lt;&gt;"","Admitted",IF(H436&lt;&gt;"","Applied",IF(G436&lt;&gt;"","Contacted","New"))))</f>
        <v>Contacted</v>
      </c>
      <c r="M436" s="32" t="n">
        <f aca="false">IF(G436="","",G436-B436)</f>
        <v>0</v>
      </c>
      <c r="N436" s="24" t="str">
        <f aca="false">IF(COUNTIF($A$2:A436,A436)&gt;1,"Duplicate ID",IF(C436="","Missing source",IF(OR(AND(G436&lt;&gt;"",G436&lt;B436),AND(H436&lt;&gt;"",H436&lt;B436),AND(I436&lt;&gt;"",I436&lt;H436),AND(J436&lt;&gt;"",J436&lt;I436)),"Date error","OK")))</f>
        <v>OK</v>
      </c>
    </row>
    <row r="437" customFormat="false" ht="15" hidden="false" customHeight="false" outlineLevel="0" collapsed="false">
      <c r="A437" s="24" t="s">
        <v>517</v>
      </c>
      <c r="B437" s="31" t="n">
        <v>46158</v>
      </c>
      <c r="C437" s="24" t="s">
        <v>26</v>
      </c>
      <c r="D437" s="24" t="s">
        <v>33</v>
      </c>
      <c r="E437" s="24" t="s">
        <v>79</v>
      </c>
      <c r="F437" s="24" t="s">
        <v>40</v>
      </c>
      <c r="G437" s="31" t="n">
        <v>46158</v>
      </c>
      <c r="H437" s="24"/>
      <c r="I437" s="24"/>
      <c r="J437" s="24"/>
      <c r="K437" s="24" t="n">
        <v>3</v>
      </c>
      <c r="L437" s="24" t="str">
        <f aca="false">IF(J437&lt;&gt;"","Enrolled",IF(I437&lt;&gt;"","Admitted",IF(H437&lt;&gt;"","Applied",IF(G437&lt;&gt;"","Contacted","New"))))</f>
        <v>Contacted</v>
      </c>
      <c r="M437" s="32" t="n">
        <f aca="false">IF(G437="","",G437-B437)</f>
        <v>0</v>
      </c>
      <c r="N437" s="24" t="str">
        <f aca="false">IF(COUNTIF($A$2:A437,A437)&gt;1,"Duplicate ID",IF(C437="","Missing source",IF(OR(AND(G437&lt;&gt;"",G437&lt;B437),AND(H437&lt;&gt;"",H437&lt;B437),AND(I437&lt;&gt;"",I437&lt;H437),AND(J437&lt;&gt;"",J437&lt;I437)),"Date error","OK")))</f>
        <v>OK</v>
      </c>
    </row>
    <row r="438" customFormat="false" ht="15" hidden="false" customHeight="false" outlineLevel="0" collapsed="false">
      <c r="A438" s="24" t="s">
        <v>518</v>
      </c>
      <c r="B438" s="31" t="n">
        <v>46158</v>
      </c>
      <c r="C438" s="24" t="s">
        <v>25</v>
      </c>
      <c r="D438" s="24" t="s">
        <v>32</v>
      </c>
      <c r="E438" s="24" t="s">
        <v>94</v>
      </c>
      <c r="F438" s="24" t="s">
        <v>41</v>
      </c>
      <c r="G438" s="31" t="n">
        <v>46158</v>
      </c>
      <c r="H438" s="24"/>
      <c r="I438" s="24"/>
      <c r="J438" s="24"/>
      <c r="K438" s="24" t="n">
        <v>3</v>
      </c>
      <c r="L438" s="24" t="str">
        <f aca="false">IF(J438&lt;&gt;"","Enrolled",IF(I438&lt;&gt;"","Admitted",IF(H438&lt;&gt;"","Applied",IF(G438&lt;&gt;"","Contacted","New"))))</f>
        <v>Contacted</v>
      </c>
      <c r="M438" s="32" t="n">
        <f aca="false">IF(G438="","",G438-B438)</f>
        <v>0</v>
      </c>
      <c r="N438" s="24" t="str">
        <f aca="false">IF(COUNTIF($A$2:A438,A438)&gt;1,"Duplicate ID",IF(C438="","Missing source",IF(OR(AND(G438&lt;&gt;"",G438&lt;B438),AND(H438&lt;&gt;"",H438&lt;B438),AND(I438&lt;&gt;"",I438&lt;H438),AND(J438&lt;&gt;"",J438&lt;I438)),"Date error","OK")))</f>
        <v>OK</v>
      </c>
    </row>
    <row r="439" customFormat="false" ht="15" hidden="false" customHeight="false" outlineLevel="0" collapsed="false">
      <c r="A439" s="24" t="s">
        <v>519</v>
      </c>
      <c r="B439" s="31" t="n">
        <v>46159</v>
      </c>
      <c r="C439" s="24" t="s">
        <v>27</v>
      </c>
      <c r="D439" s="24" t="s">
        <v>35</v>
      </c>
      <c r="E439" s="24" t="s">
        <v>79</v>
      </c>
      <c r="F439" s="24" t="s">
        <v>44</v>
      </c>
      <c r="G439" s="31" t="n">
        <v>46171</v>
      </c>
      <c r="H439" s="24"/>
      <c r="I439" s="24"/>
      <c r="J439" s="24"/>
      <c r="K439" s="24" t="n">
        <v>3</v>
      </c>
      <c r="L439" s="24" t="str">
        <f aca="false">IF(J439&lt;&gt;"","Enrolled",IF(I439&lt;&gt;"","Admitted",IF(H439&lt;&gt;"","Applied",IF(G439&lt;&gt;"","Contacted","New"))))</f>
        <v>Contacted</v>
      </c>
      <c r="M439" s="32" t="n">
        <f aca="false">IF(G439="","",G439-B439)</f>
        <v>12</v>
      </c>
      <c r="N439" s="24" t="str">
        <f aca="false">IF(COUNTIF($A$2:A439,A439)&gt;1,"Duplicate ID",IF(C439="","Missing source",IF(OR(AND(G439&lt;&gt;"",G439&lt;B439),AND(H439&lt;&gt;"",H439&lt;B439),AND(I439&lt;&gt;"",I439&lt;H439),AND(J439&lt;&gt;"",J439&lt;I439)),"Date error","OK")))</f>
        <v>OK</v>
      </c>
    </row>
    <row r="440" customFormat="false" ht="15" hidden="false" customHeight="false" outlineLevel="0" collapsed="false">
      <c r="A440" s="24" t="s">
        <v>520</v>
      </c>
      <c r="B440" s="31" t="n">
        <v>46159</v>
      </c>
      <c r="C440" s="24" t="s">
        <v>27</v>
      </c>
      <c r="D440" s="24" t="s">
        <v>33</v>
      </c>
      <c r="E440" s="24" t="s">
        <v>94</v>
      </c>
      <c r="F440" s="24" t="s">
        <v>42</v>
      </c>
      <c r="G440" s="31" t="n">
        <v>46159</v>
      </c>
      <c r="H440" s="31" t="n">
        <v>46182</v>
      </c>
      <c r="I440" s="31" t="n">
        <v>46193</v>
      </c>
      <c r="J440" s="24"/>
      <c r="K440" s="24" t="n">
        <v>3</v>
      </c>
      <c r="L440" s="24" t="str">
        <f aca="false">IF(J440&lt;&gt;"","Enrolled",IF(I440&lt;&gt;"","Admitted",IF(H440&lt;&gt;"","Applied",IF(G440&lt;&gt;"","Contacted","New"))))</f>
        <v>Admitted</v>
      </c>
      <c r="M440" s="32" t="n">
        <f aca="false">IF(G440="","",G440-B440)</f>
        <v>0</v>
      </c>
      <c r="N440" s="24" t="str">
        <f aca="false">IF(COUNTIF($A$2:A440,A440)&gt;1,"Duplicate ID",IF(C440="","Missing source",IF(OR(AND(G440&lt;&gt;"",G440&lt;B440),AND(H440&lt;&gt;"",H440&lt;B440),AND(I440&lt;&gt;"",I440&lt;H440),AND(J440&lt;&gt;"",J440&lt;I440)),"Date error","OK")))</f>
        <v>OK</v>
      </c>
    </row>
    <row r="441" customFormat="false" ht="15" hidden="false" customHeight="false" outlineLevel="0" collapsed="false">
      <c r="A441" s="24" t="s">
        <v>521</v>
      </c>
      <c r="B441" s="31" t="n">
        <v>46159</v>
      </c>
      <c r="C441" s="24" t="s">
        <v>22</v>
      </c>
      <c r="D441" s="24" t="s">
        <v>35</v>
      </c>
      <c r="E441" s="24" t="s">
        <v>89</v>
      </c>
      <c r="F441" s="24" t="s">
        <v>42</v>
      </c>
      <c r="G441" s="31" t="n">
        <v>46159</v>
      </c>
      <c r="H441" s="24"/>
      <c r="I441" s="24"/>
      <c r="J441" s="24"/>
      <c r="K441" s="24" t="n">
        <v>2</v>
      </c>
      <c r="L441" s="24" t="str">
        <f aca="false">IF(J441&lt;&gt;"","Enrolled",IF(I441&lt;&gt;"","Admitted",IF(H441&lt;&gt;"","Applied",IF(G441&lt;&gt;"","Contacted","New"))))</f>
        <v>Contacted</v>
      </c>
      <c r="M441" s="32" t="n">
        <f aca="false">IF(G441="","",G441-B441)</f>
        <v>0</v>
      </c>
      <c r="N441" s="24" t="str">
        <f aca="false">IF(COUNTIF($A$2:A441,A441)&gt;1,"Duplicate ID",IF(C441="","Missing source",IF(OR(AND(G441&lt;&gt;"",G441&lt;B441),AND(H441&lt;&gt;"",H441&lt;B441),AND(I441&lt;&gt;"",I441&lt;H441),AND(J441&lt;&gt;"",J441&lt;I441)),"Date error","OK")))</f>
        <v>OK</v>
      </c>
    </row>
    <row r="442" customFormat="false" ht="15" hidden="false" customHeight="false" outlineLevel="0" collapsed="false">
      <c r="A442" s="24" t="s">
        <v>522</v>
      </c>
      <c r="B442" s="31" t="n">
        <v>46159</v>
      </c>
      <c r="C442" s="24" t="s">
        <v>23</v>
      </c>
      <c r="D442" s="24" t="s">
        <v>33</v>
      </c>
      <c r="E442" s="24" t="s">
        <v>89</v>
      </c>
      <c r="F442" s="24" t="s">
        <v>45</v>
      </c>
      <c r="G442" s="31" t="n">
        <v>46159</v>
      </c>
      <c r="H442" s="24"/>
      <c r="I442" s="24"/>
      <c r="J442" s="24"/>
      <c r="K442" s="24" t="n">
        <v>1</v>
      </c>
      <c r="L442" s="24" t="str">
        <f aca="false">IF(J442&lt;&gt;"","Enrolled",IF(I442&lt;&gt;"","Admitted",IF(H442&lt;&gt;"","Applied",IF(G442&lt;&gt;"","Contacted","New"))))</f>
        <v>Contacted</v>
      </c>
      <c r="M442" s="32" t="n">
        <f aca="false">IF(G442="","",G442-B442)</f>
        <v>0</v>
      </c>
      <c r="N442" s="24" t="str">
        <f aca="false">IF(COUNTIF($A$2:A442,A442)&gt;1,"Duplicate ID",IF(C442="","Missing source",IF(OR(AND(G442&lt;&gt;"",G442&lt;B442),AND(H442&lt;&gt;"",H442&lt;B442),AND(I442&lt;&gt;"",I442&lt;H442),AND(J442&lt;&gt;"",J442&lt;I442)),"Date error","OK")))</f>
        <v>OK</v>
      </c>
    </row>
    <row r="443" customFormat="false" ht="15" hidden="false" customHeight="false" outlineLevel="0" collapsed="false">
      <c r="A443" s="24" t="s">
        <v>523</v>
      </c>
      <c r="B443" s="31" t="n">
        <v>46159</v>
      </c>
      <c r="C443" s="24" t="s">
        <v>26</v>
      </c>
      <c r="D443" s="24" t="s">
        <v>32</v>
      </c>
      <c r="E443" s="24" t="s">
        <v>94</v>
      </c>
      <c r="F443" s="24" t="s">
        <v>41</v>
      </c>
      <c r="G443" s="31" t="n">
        <v>46159</v>
      </c>
      <c r="H443" s="31" t="n">
        <v>46178</v>
      </c>
      <c r="I443" s="31" t="n">
        <v>46186</v>
      </c>
      <c r="J443" s="24"/>
      <c r="K443" s="24" t="n">
        <v>3</v>
      </c>
      <c r="L443" s="24" t="str">
        <f aca="false">IF(J443&lt;&gt;"","Enrolled",IF(I443&lt;&gt;"","Admitted",IF(H443&lt;&gt;"","Applied",IF(G443&lt;&gt;"","Contacted","New"))))</f>
        <v>Admitted</v>
      </c>
      <c r="M443" s="32" t="n">
        <f aca="false">IF(G443="","",G443-B443)</f>
        <v>0</v>
      </c>
      <c r="N443" s="24" t="str">
        <f aca="false">IF(COUNTIF($A$2:A443,A443)&gt;1,"Duplicate ID",IF(C443="","Missing source",IF(OR(AND(G443&lt;&gt;"",G443&lt;B443),AND(H443&lt;&gt;"",H443&lt;B443),AND(I443&lt;&gt;"",I443&lt;H443),AND(J443&lt;&gt;"",J443&lt;I443)),"Date error","OK")))</f>
        <v>OK</v>
      </c>
    </row>
    <row r="444" customFormat="false" ht="15" hidden="false" customHeight="false" outlineLevel="0" collapsed="false">
      <c r="A444" s="24" t="s">
        <v>524</v>
      </c>
      <c r="B444" s="31" t="n">
        <v>46159</v>
      </c>
      <c r="C444" s="24" t="s">
        <v>25</v>
      </c>
      <c r="D444" s="24" t="s">
        <v>36</v>
      </c>
      <c r="E444" s="24" t="s">
        <v>89</v>
      </c>
      <c r="F444" s="24" t="s">
        <v>44</v>
      </c>
      <c r="G444" s="31" t="n">
        <v>46168</v>
      </c>
      <c r="H444" s="24"/>
      <c r="I444" s="24"/>
      <c r="J444" s="24"/>
      <c r="K444" s="24" t="n">
        <v>3</v>
      </c>
      <c r="L444" s="24" t="str">
        <f aca="false">IF(J444&lt;&gt;"","Enrolled",IF(I444&lt;&gt;"","Admitted",IF(H444&lt;&gt;"","Applied",IF(G444&lt;&gt;"","Contacted","New"))))</f>
        <v>Contacted</v>
      </c>
      <c r="M444" s="32" t="n">
        <f aca="false">IF(G444="","",G444-B444)</f>
        <v>9</v>
      </c>
      <c r="N444" s="24" t="str">
        <f aca="false">IF(COUNTIF($A$2:A444,A444)&gt;1,"Duplicate ID",IF(C444="","Missing source",IF(OR(AND(G444&lt;&gt;"",G444&lt;B444),AND(H444&lt;&gt;"",H444&lt;B444),AND(I444&lt;&gt;"",I444&lt;H444),AND(J444&lt;&gt;"",J444&lt;I444)),"Date error","OK")))</f>
        <v>OK</v>
      </c>
    </row>
    <row r="445" customFormat="false" ht="15" hidden="false" customHeight="false" outlineLevel="0" collapsed="false">
      <c r="A445" s="24" t="s">
        <v>525</v>
      </c>
      <c r="B445" s="31" t="n">
        <v>46159</v>
      </c>
      <c r="C445" s="24" t="s">
        <v>21</v>
      </c>
      <c r="D445" s="24" t="s">
        <v>34</v>
      </c>
      <c r="E445" s="24" t="s">
        <v>79</v>
      </c>
      <c r="F445" s="24" t="s">
        <v>44</v>
      </c>
      <c r="G445" s="31" t="n">
        <v>46162</v>
      </c>
      <c r="H445" s="24"/>
      <c r="I445" s="24"/>
      <c r="J445" s="24"/>
      <c r="K445" s="24" t="n">
        <v>1</v>
      </c>
      <c r="L445" s="24" t="str">
        <f aca="false">IF(J445&lt;&gt;"","Enrolled",IF(I445&lt;&gt;"","Admitted",IF(H445&lt;&gt;"","Applied",IF(G445&lt;&gt;"","Contacted","New"))))</f>
        <v>Contacted</v>
      </c>
      <c r="M445" s="32" t="n">
        <f aca="false">IF(G445="","",G445-B445)</f>
        <v>3</v>
      </c>
      <c r="N445" s="24" t="str">
        <f aca="false">IF(COUNTIF($A$2:A445,A445)&gt;1,"Duplicate ID",IF(C445="","Missing source",IF(OR(AND(G445&lt;&gt;"",G445&lt;B445),AND(H445&lt;&gt;"",H445&lt;B445),AND(I445&lt;&gt;"",I445&lt;H445),AND(J445&lt;&gt;"",J445&lt;I445)),"Date error","OK")))</f>
        <v>OK</v>
      </c>
    </row>
    <row r="446" customFormat="false" ht="15" hidden="false" customHeight="false" outlineLevel="0" collapsed="false">
      <c r="A446" s="24" t="s">
        <v>526</v>
      </c>
      <c r="B446" s="31" t="n">
        <v>46159</v>
      </c>
      <c r="C446" s="24" t="s">
        <v>23</v>
      </c>
      <c r="D446" s="24" t="s">
        <v>32</v>
      </c>
      <c r="E446" s="24" t="s">
        <v>79</v>
      </c>
      <c r="F446" s="24" t="s">
        <v>41</v>
      </c>
      <c r="G446" s="31" t="n">
        <v>46160</v>
      </c>
      <c r="H446" s="31" t="n">
        <v>46185</v>
      </c>
      <c r="I446" s="31" t="n">
        <v>46191</v>
      </c>
      <c r="J446" s="31" t="n">
        <v>46212</v>
      </c>
      <c r="K446" s="24" t="n">
        <v>2</v>
      </c>
      <c r="L446" s="24" t="str">
        <f aca="false">IF(J446&lt;&gt;"","Enrolled",IF(I446&lt;&gt;"","Admitted",IF(H446&lt;&gt;"","Applied",IF(G446&lt;&gt;"","Contacted","New"))))</f>
        <v>Enrolled</v>
      </c>
      <c r="M446" s="32" t="n">
        <f aca="false">IF(G446="","",G446-B446)</f>
        <v>1</v>
      </c>
      <c r="N446" s="24" t="str">
        <f aca="false">IF(COUNTIF($A$2:A446,A446)&gt;1,"Duplicate ID",IF(C446="","Missing source",IF(OR(AND(G446&lt;&gt;"",G446&lt;B446),AND(H446&lt;&gt;"",H446&lt;B446),AND(I446&lt;&gt;"",I446&lt;H446),AND(J446&lt;&gt;"",J446&lt;I446)),"Date error","OK")))</f>
        <v>OK</v>
      </c>
    </row>
    <row r="447" customFormat="false" ht="15" hidden="false" customHeight="false" outlineLevel="0" collapsed="false">
      <c r="A447" s="24" t="s">
        <v>527</v>
      </c>
      <c r="B447" s="31" t="n">
        <v>46159</v>
      </c>
      <c r="C447" s="24" t="s">
        <v>26</v>
      </c>
      <c r="D447" s="24" t="s">
        <v>34</v>
      </c>
      <c r="E447" s="24" t="s">
        <v>89</v>
      </c>
      <c r="F447" s="24" t="s">
        <v>41</v>
      </c>
      <c r="G447" s="31" t="n">
        <v>46162</v>
      </c>
      <c r="H447" s="24"/>
      <c r="I447" s="24"/>
      <c r="J447" s="24"/>
      <c r="K447" s="24" t="n">
        <v>2</v>
      </c>
      <c r="L447" s="24" t="str">
        <f aca="false">IF(J447&lt;&gt;"","Enrolled",IF(I447&lt;&gt;"","Admitted",IF(H447&lt;&gt;"","Applied",IF(G447&lt;&gt;"","Contacted","New"))))</f>
        <v>Contacted</v>
      </c>
      <c r="M447" s="32" t="n">
        <f aca="false">IF(G447="","",G447-B447)</f>
        <v>3</v>
      </c>
      <c r="N447" s="24" t="str">
        <f aca="false">IF(COUNTIF($A$2:A447,A447)&gt;1,"Duplicate ID",IF(C447="","Missing source",IF(OR(AND(G447&lt;&gt;"",G447&lt;B447),AND(H447&lt;&gt;"",H447&lt;B447),AND(I447&lt;&gt;"",I447&lt;H447),AND(J447&lt;&gt;"",J447&lt;I447)),"Date error","OK")))</f>
        <v>OK</v>
      </c>
    </row>
    <row r="448" customFormat="false" ht="15" hidden="false" customHeight="false" outlineLevel="0" collapsed="false">
      <c r="A448" s="24" t="s">
        <v>528</v>
      </c>
      <c r="B448" s="31" t="n">
        <v>46159</v>
      </c>
      <c r="C448" s="24" t="s">
        <v>25</v>
      </c>
      <c r="D448" s="24" t="s">
        <v>33</v>
      </c>
      <c r="E448" s="24" t="s">
        <v>94</v>
      </c>
      <c r="F448" s="24" t="s">
        <v>41</v>
      </c>
      <c r="G448" s="31" t="n">
        <v>46160</v>
      </c>
      <c r="H448" s="31" t="n">
        <v>46184</v>
      </c>
      <c r="I448" s="31" t="n">
        <v>46197</v>
      </c>
      <c r="J448" s="31" t="n">
        <v>46214</v>
      </c>
      <c r="K448" s="24" t="n">
        <v>3</v>
      </c>
      <c r="L448" s="24" t="str">
        <f aca="false">IF(J448&lt;&gt;"","Enrolled",IF(I448&lt;&gt;"","Admitted",IF(H448&lt;&gt;"","Applied",IF(G448&lt;&gt;"","Contacted","New"))))</f>
        <v>Enrolled</v>
      </c>
      <c r="M448" s="32" t="n">
        <f aca="false">IF(G448="","",G448-B448)</f>
        <v>1</v>
      </c>
      <c r="N448" s="24" t="str">
        <f aca="false">IF(COUNTIF($A$2:A448,A448)&gt;1,"Duplicate ID",IF(C448="","Missing source",IF(OR(AND(G448&lt;&gt;"",G448&lt;B448),AND(H448&lt;&gt;"",H448&lt;B448),AND(I448&lt;&gt;"",I448&lt;H448),AND(J448&lt;&gt;"",J448&lt;I448)),"Date error","OK")))</f>
        <v>OK</v>
      </c>
    </row>
    <row r="449" customFormat="false" ht="15" hidden="false" customHeight="false" outlineLevel="0" collapsed="false">
      <c r="A449" s="24" t="s">
        <v>529</v>
      </c>
      <c r="B449" s="31" t="n">
        <v>46159</v>
      </c>
      <c r="C449" s="24" t="s">
        <v>23</v>
      </c>
      <c r="D449" s="24" t="s">
        <v>35</v>
      </c>
      <c r="E449" s="24" t="s">
        <v>81</v>
      </c>
      <c r="F449" s="24" t="s">
        <v>40</v>
      </c>
      <c r="G449" s="31" t="n">
        <v>46159</v>
      </c>
      <c r="H449" s="24"/>
      <c r="I449" s="24"/>
      <c r="J449" s="24"/>
      <c r="K449" s="24" t="n">
        <v>0</v>
      </c>
      <c r="L449" s="24" t="str">
        <f aca="false">IF(J449&lt;&gt;"","Enrolled",IF(I449&lt;&gt;"","Admitted",IF(H449&lt;&gt;"","Applied",IF(G449&lt;&gt;"","Contacted","New"))))</f>
        <v>Contacted</v>
      </c>
      <c r="M449" s="32" t="n">
        <f aca="false">IF(G449="","",G449-B449)</f>
        <v>0</v>
      </c>
      <c r="N449" s="24" t="str">
        <f aca="false">IF(COUNTIF($A$2:A449,A449)&gt;1,"Duplicate ID",IF(C449="","Missing source",IF(OR(AND(G449&lt;&gt;"",G449&lt;B449),AND(H449&lt;&gt;"",H449&lt;B449),AND(I449&lt;&gt;"",I449&lt;H449),AND(J449&lt;&gt;"",J449&lt;I449)),"Date error","OK")))</f>
        <v>OK</v>
      </c>
    </row>
    <row r="450" customFormat="false" ht="15" hidden="false" customHeight="false" outlineLevel="0" collapsed="false">
      <c r="A450" s="24" t="s">
        <v>530</v>
      </c>
      <c r="B450" s="31" t="n">
        <v>46160</v>
      </c>
      <c r="C450" s="24" t="s">
        <v>26</v>
      </c>
      <c r="D450" s="24" t="s">
        <v>34</v>
      </c>
      <c r="E450" s="24" t="s">
        <v>79</v>
      </c>
      <c r="F450" s="24" t="s">
        <v>41</v>
      </c>
      <c r="G450" s="31" t="n">
        <v>46161</v>
      </c>
      <c r="H450" s="24"/>
      <c r="I450" s="24"/>
      <c r="J450" s="24"/>
      <c r="K450" s="24" t="n">
        <v>4</v>
      </c>
      <c r="L450" s="24" t="str">
        <f aca="false">IF(J450&lt;&gt;"","Enrolled",IF(I450&lt;&gt;"","Admitted",IF(H450&lt;&gt;"","Applied",IF(G450&lt;&gt;"","Contacted","New"))))</f>
        <v>Contacted</v>
      </c>
      <c r="M450" s="32" t="n">
        <f aca="false">IF(G450="","",G450-B450)</f>
        <v>1</v>
      </c>
      <c r="N450" s="24" t="str">
        <f aca="false">IF(COUNTIF($A$2:A450,A450)&gt;1,"Duplicate ID",IF(C450="","Missing source",IF(OR(AND(G450&lt;&gt;"",G450&lt;B450),AND(H450&lt;&gt;"",H450&lt;B450),AND(I450&lt;&gt;"",I450&lt;H450),AND(J450&lt;&gt;"",J450&lt;I450)),"Date error","OK")))</f>
        <v>OK</v>
      </c>
    </row>
    <row r="451" customFormat="false" ht="15" hidden="false" customHeight="false" outlineLevel="0" collapsed="false">
      <c r="A451" s="24" t="s">
        <v>531</v>
      </c>
      <c r="B451" s="31" t="n">
        <v>46160</v>
      </c>
      <c r="C451" s="24" t="s">
        <v>26</v>
      </c>
      <c r="D451" s="24" t="s">
        <v>35</v>
      </c>
      <c r="E451" s="24" t="s">
        <v>94</v>
      </c>
      <c r="F451" s="24" t="s">
        <v>45</v>
      </c>
      <c r="G451" s="31" t="n">
        <v>46163</v>
      </c>
      <c r="H451" s="24"/>
      <c r="I451" s="24"/>
      <c r="J451" s="24"/>
      <c r="K451" s="24" t="n">
        <v>2</v>
      </c>
      <c r="L451" s="24" t="str">
        <f aca="false">IF(J451&lt;&gt;"","Enrolled",IF(I451&lt;&gt;"","Admitted",IF(H451&lt;&gt;"","Applied",IF(G451&lt;&gt;"","Contacted","New"))))</f>
        <v>Contacted</v>
      </c>
      <c r="M451" s="32" t="n">
        <f aca="false">IF(G451="","",G451-B451)</f>
        <v>3</v>
      </c>
      <c r="N451" s="24" t="str">
        <f aca="false">IF(COUNTIF($A$2:A451,A451)&gt;1,"Duplicate ID",IF(C451="","Missing source",IF(OR(AND(G451&lt;&gt;"",G451&lt;B451),AND(H451&lt;&gt;"",H451&lt;B451),AND(I451&lt;&gt;"",I451&lt;H451),AND(J451&lt;&gt;"",J451&lt;I451)),"Date error","OK")))</f>
        <v>OK</v>
      </c>
    </row>
    <row r="452" customFormat="false" ht="15" hidden="false" customHeight="false" outlineLevel="0" collapsed="false">
      <c r="A452" s="24" t="s">
        <v>532</v>
      </c>
      <c r="B452" s="31" t="n">
        <v>46160</v>
      </c>
      <c r="C452" s="24" t="s">
        <v>26</v>
      </c>
      <c r="D452" s="24" t="s">
        <v>35</v>
      </c>
      <c r="E452" s="24" t="s">
        <v>89</v>
      </c>
      <c r="F452" s="24" t="s">
        <v>41</v>
      </c>
      <c r="G452" s="24"/>
      <c r="H452" s="24"/>
      <c r="I452" s="24"/>
      <c r="J452" s="24"/>
      <c r="K452" s="24" t="n">
        <v>0</v>
      </c>
      <c r="L452" s="24" t="str">
        <f aca="false">IF(J452&lt;&gt;"","Enrolled",IF(I452&lt;&gt;"","Admitted",IF(H452&lt;&gt;"","Applied",IF(G452&lt;&gt;"","Contacted","New"))))</f>
        <v>New</v>
      </c>
      <c r="M452" s="32" t="str">
        <f aca="false">IF(G452="","",G452-B452)</f>
        <v/>
      </c>
      <c r="N452" s="24" t="str">
        <f aca="false">IF(COUNTIF($A$2:A452,A452)&gt;1,"Duplicate ID",IF(C452="","Missing source",IF(OR(AND(G452&lt;&gt;"",G452&lt;B452),AND(H452&lt;&gt;"",H452&lt;B452),AND(I452&lt;&gt;"",I452&lt;H452),AND(J452&lt;&gt;"",J452&lt;I452)),"Date error","OK")))</f>
        <v>OK</v>
      </c>
    </row>
    <row r="453" customFormat="false" ht="15" hidden="false" customHeight="false" outlineLevel="0" collapsed="false">
      <c r="A453" s="24" t="s">
        <v>533</v>
      </c>
      <c r="B453" s="31" t="n">
        <v>46160</v>
      </c>
      <c r="C453" s="24" t="s">
        <v>27</v>
      </c>
      <c r="D453" s="24" t="s">
        <v>35</v>
      </c>
      <c r="E453" s="24" t="s">
        <v>89</v>
      </c>
      <c r="F453" s="24" t="s">
        <v>43</v>
      </c>
      <c r="G453" s="31" t="n">
        <v>46164</v>
      </c>
      <c r="H453" s="24"/>
      <c r="I453" s="24"/>
      <c r="J453" s="24"/>
      <c r="K453" s="24" t="n">
        <v>2</v>
      </c>
      <c r="L453" s="24" t="str">
        <f aca="false">IF(J453&lt;&gt;"","Enrolled",IF(I453&lt;&gt;"","Admitted",IF(H453&lt;&gt;"","Applied",IF(G453&lt;&gt;"","Contacted","New"))))</f>
        <v>Contacted</v>
      </c>
      <c r="M453" s="32" t="n">
        <f aca="false">IF(G453="","",G453-B453)</f>
        <v>4</v>
      </c>
      <c r="N453" s="24" t="str">
        <f aca="false">IF(COUNTIF($A$2:A453,A453)&gt;1,"Duplicate ID",IF(C453="","Missing source",IF(OR(AND(G453&lt;&gt;"",G453&lt;B453),AND(H453&lt;&gt;"",H453&lt;B453),AND(I453&lt;&gt;"",I453&lt;H453),AND(J453&lt;&gt;"",J453&lt;I453)),"Date error","OK")))</f>
        <v>OK</v>
      </c>
    </row>
    <row r="454" customFormat="false" ht="15" hidden="false" customHeight="false" outlineLevel="0" collapsed="false">
      <c r="A454" s="24" t="s">
        <v>534</v>
      </c>
      <c r="B454" s="31" t="n">
        <v>46160</v>
      </c>
      <c r="C454" s="24" t="s">
        <v>26</v>
      </c>
      <c r="D454" s="24" t="s">
        <v>32</v>
      </c>
      <c r="E454" s="24" t="s">
        <v>84</v>
      </c>
      <c r="F454" s="24" t="s">
        <v>40</v>
      </c>
      <c r="G454" s="31" t="n">
        <v>46160</v>
      </c>
      <c r="H454" s="24"/>
      <c r="I454" s="24"/>
      <c r="J454" s="24"/>
      <c r="K454" s="24" t="n">
        <v>3</v>
      </c>
      <c r="L454" s="24" t="str">
        <f aca="false">IF(J454&lt;&gt;"","Enrolled",IF(I454&lt;&gt;"","Admitted",IF(H454&lt;&gt;"","Applied",IF(G454&lt;&gt;"","Contacted","New"))))</f>
        <v>Contacted</v>
      </c>
      <c r="M454" s="32" t="n">
        <f aca="false">IF(G454="","",G454-B454)</f>
        <v>0</v>
      </c>
      <c r="N454" s="24" t="str">
        <f aca="false">IF(COUNTIF($A$2:A454,A454)&gt;1,"Duplicate ID",IF(C454="","Missing source",IF(OR(AND(G454&lt;&gt;"",G454&lt;B454),AND(H454&lt;&gt;"",H454&lt;B454),AND(I454&lt;&gt;"",I454&lt;H454),AND(J454&lt;&gt;"",J454&lt;I454)),"Date error","OK")))</f>
        <v>OK</v>
      </c>
    </row>
    <row r="455" customFormat="false" ht="15" hidden="false" customHeight="false" outlineLevel="0" collapsed="false">
      <c r="A455" s="24" t="s">
        <v>535</v>
      </c>
      <c r="B455" s="31" t="n">
        <v>46160</v>
      </c>
      <c r="C455" s="24" t="s">
        <v>23</v>
      </c>
      <c r="D455" s="24" t="s">
        <v>36</v>
      </c>
      <c r="E455" s="24" t="s">
        <v>89</v>
      </c>
      <c r="F455" s="24" t="s">
        <v>42</v>
      </c>
      <c r="G455" s="31" t="n">
        <v>46160</v>
      </c>
      <c r="H455" s="24"/>
      <c r="I455" s="24"/>
      <c r="J455" s="24"/>
      <c r="K455" s="24" t="n">
        <v>2</v>
      </c>
      <c r="L455" s="24" t="str">
        <f aca="false">IF(J455&lt;&gt;"","Enrolled",IF(I455&lt;&gt;"","Admitted",IF(H455&lt;&gt;"","Applied",IF(G455&lt;&gt;"","Contacted","New"))))</f>
        <v>Contacted</v>
      </c>
      <c r="M455" s="32" t="n">
        <f aca="false">IF(G455="","",G455-B455)</f>
        <v>0</v>
      </c>
      <c r="N455" s="24" t="str">
        <f aca="false">IF(COUNTIF($A$2:A455,A455)&gt;1,"Duplicate ID",IF(C455="","Missing source",IF(OR(AND(G455&lt;&gt;"",G455&lt;B455),AND(H455&lt;&gt;"",H455&lt;B455),AND(I455&lt;&gt;"",I455&lt;H455),AND(J455&lt;&gt;"",J455&lt;I455)),"Date error","OK")))</f>
        <v>OK</v>
      </c>
    </row>
    <row r="456" customFormat="false" ht="15" hidden="false" customHeight="false" outlineLevel="0" collapsed="false">
      <c r="A456" s="24" t="s">
        <v>536</v>
      </c>
      <c r="B456" s="31" t="n">
        <v>46161</v>
      </c>
      <c r="C456" s="24" t="s">
        <v>25</v>
      </c>
      <c r="D456" s="24" t="s">
        <v>33</v>
      </c>
      <c r="E456" s="24" t="s">
        <v>79</v>
      </c>
      <c r="F456" s="24" t="s">
        <v>43</v>
      </c>
      <c r="G456" s="31" t="n">
        <v>46167</v>
      </c>
      <c r="H456" s="24"/>
      <c r="I456" s="24"/>
      <c r="J456" s="24"/>
      <c r="K456" s="24" t="n">
        <v>5</v>
      </c>
      <c r="L456" s="24" t="str">
        <f aca="false">IF(J456&lt;&gt;"","Enrolled",IF(I456&lt;&gt;"","Admitted",IF(H456&lt;&gt;"","Applied",IF(G456&lt;&gt;"","Contacted","New"))))</f>
        <v>Contacted</v>
      </c>
      <c r="M456" s="32" t="n">
        <f aca="false">IF(G456="","",G456-B456)</f>
        <v>6</v>
      </c>
      <c r="N456" s="24" t="str">
        <f aca="false">IF(COUNTIF($A$2:A456,A456)&gt;1,"Duplicate ID",IF(C456="","Missing source",IF(OR(AND(G456&lt;&gt;"",G456&lt;B456),AND(H456&lt;&gt;"",H456&lt;B456),AND(I456&lt;&gt;"",I456&lt;H456),AND(J456&lt;&gt;"",J456&lt;I456)),"Date error","OK")))</f>
        <v>OK</v>
      </c>
    </row>
    <row r="457" customFormat="false" ht="15" hidden="false" customHeight="false" outlineLevel="0" collapsed="false">
      <c r="A457" s="24" t="s">
        <v>537</v>
      </c>
      <c r="B457" s="31" t="n">
        <v>46161</v>
      </c>
      <c r="C457" s="24" t="s">
        <v>23</v>
      </c>
      <c r="D457" s="24" t="s">
        <v>32</v>
      </c>
      <c r="E457" s="24" t="s">
        <v>81</v>
      </c>
      <c r="F457" s="24" t="s">
        <v>44</v>
      </c>
      <c r="G457" s="31" t="n">
        <v>46162</v>
      </c>
      <c r="H457" s="24"/>
      <c r="I457" s="24"/>
      <c r="J457" s="24"/>
      <c r="K457" s="24" t="n">
        <v>3</v>
      </c>
      <c r="L457" s="24" t="str">
        <f aca="false">IF(J457&lt;&gt;"","Enrolled",IF(I457&lt;&gt;"","Admitted",IF(H457&lt;&gt;"","Applied",IF(G457&lt;&gt;"","Contacted","New"))))</f>
        <v>Contacted</v>
      </c>
      <c r="M457" s="32" t="n">
        <f aca="false">IF(G457="","",G457-B457)</f>
        <v>1</v>
      </c>
      <c r="N457" s="24" t="str">
        <f aca="false">IF(COUNTIF($A$2:A457,A457)&gt;1,"Duplicate ID",IF(C457="","Missing source",IF(OR(AND(G457&lt;&gt;"",G457&lt;B457),AND(H457&lt;&gt;"",H457&lt;B457),AND(I457&lt;&gt;"",I457&lt;H457),AND(J457&lt;&gt;"",J457&lt;I457)),"Date error","OK")))</f>
        <v>OK</v>
      </c>
    </row>
    <row r="458" customFormat="false" ht="15" hidden="false" customHeight="false" outlineLevel="0" collapsed="false">
      <c r="A458" s="24" t="s">
        <v>538</v>
      </c>
      <c r="B458" s="31" t="n">
        <v>46161</v>
      </c>
      <c r="C458" s="24" t="s">
        <v>23</v>
      </c>
      <c r="D458" s="24" t="s">
        <v>33</v>
      </c>
      <c r="E458" s="24" t="s">
        <v>89</v>
      </c>
      <c r="F458" s="24" t="s">
        <v>43</v>
      </c>
      <c r="G458" s="31" t="n">
        <v>46166</v>
      </c>
      <c r="H458" s="24"/>
      <c r="I458" s="24"/>
      <c r="J458" s="24"/>
      <c r="K458" s="24" t="n">
        <v>6</v>
      </c>
      <c r="L458" s="24" t="str">
        <f aca="false">IF(J458&lt;&gt;"","Enrolled",IF(I458&lt;&gt;"","Admitted",IF(H458&lt;&gt;"","Applied",IF(G458&lt;&gt;"","Contacted","New"))))</f>
        <v>Contacted</v>
      </c>
      <c r="M458" s="32" t="n">
        <f aca="false">IF(G458="","",G458-B458)</f>
        <v>5</v>
      </c>
      <c r="N458" s="24" t="str">
        <f aca="false">IF(COUNTIF($A$2:A458,A458)&gt;1,"Duplicate ID",IF(C458="","Missing source",IF(OR(AND(G458&lt;&gt;"",G458&lt;B458),AND(H458&lt;&gt;"",H458&lt;B458),AND(I458&lt;&gt;"",I458&lt;H458),AND(J458&lt;&gt;"",J458&lt;I458)),"Date error","OK")))</f>
        <v>OK</v>
      </c>
    </row>
    <row r="459" customFormat="false" ht="15" hidden="false" customHeight="false" outlineLevel="0" collapsed="false">
      <c r="A459" s="24" t="s">
        <v>539</v>
      </c>
      <c r="B459" s="31" t="n">
        <v>46161</v>
      </c>
      <c r="C459" s="24" t="s">
        <v>23</v>
      </c>
      <c r="D459" s="24" t="s">
        <v>33</v>
      </c>
      <c r="E459" s="24" t="s">
        <v>94</v>
      </c>
      <c r="F459" s="24" t="s">
        <v>43</v>
      </c>
      <c r="G459" s="31" t="n">
        <v>46168</v>
      </c>
      <c r="H459" s="24"/>
      <c r="I459" s="24"/>
      <c r="J459" s="24"/>
      <c r="K459" s="24" t="n">
        <v>5</v>
      </c>
      <c r="L459" s="24" t="str">
        <f aca="false">IF(J459&lt;&gt;"","Enrolled",IF(I459&lt;&gt;"","Admitted",IF(H459&lt;&gt;"","Applied",IF(G459&lt;&gt;"","Contacted","New"))))</f>
        <v>Contacted</v>
      </c>
      <c r="M459" s="32" t="n">
        <f aca="false">IF(G459="","",G459-B459)</f>
        <v>7</v>
      </c>
      <c r="N459" s="24" t="str">
        <f aca="false">IF(COUNTIF($A$2:A459,A459)&gt;1,"Duplicate ID",IF(C459="","Missing source",IF(OR(AND(G459&lt;&gt;"",G459&lt;B459),AND(H459&lt;&gt;"",H459&lt;B459),AND(I459&lt;&gt;"",I459&lt;H459),AND(J459&lt;&gt;"",J459&lt;I459)),"Date error","OK")))</f>
        <v>OK</v>
      </c>
    </row>
    <row r="460" customFormat="false" ht="15" hidden="false" customHeight="false" outlineLevel="0" collapsed="false">
      <c r="A460" s="24" t="s">
        <v>540</v>
      </c>
      <c r="B460" s="31" t="n">
        <v>46161</v>
      </c>
      <c r="C460" s="24" t="s">
        <v>26</v>
      </c>
      <c r="D460" s="24" t="s">
        <v>36</v>
      </c>
      <c r="E460" s="24" t="s">
        <v>89</v>
      </c>
      <c r="F460" s="24" t="s">
        <v>44</v>
      </c>
      <c r="G460" s="31" t="n">
        <v>46163</v>
      </c>
      <c r="H460" s="24"/>
      <c r="I460" s="24"/>
      <c r="J460" s="24"/>
      <c r="K460" s="24" t="n">
        <v>2</v>
      </c>
      <c r="L460" s="24" t="str">
        <f aca="false">IF(J460&lt;&gt;"","Enrolled",IF(I460&lt;&gt;"","Admitted",IF(H460&lt;&gt;"","Applied",IF(G460&lt;&gt;"","Contacted","New"))))</f>
        <v>Contacted</v>
      </c>
      <c r="M460" s="32" t="n">
        <f aca="false">IF(G460="","",G460-B460)</f>
        <v>2</v>
      </c>
      <c r="N460" s="24" t="str">
        <f aca="false">IF(COUNTIF($A$2:A460,A460)&gt;1,"Duplicate ID",IF(C460="","Missing source",IF(OR(AND(G460&lt;&gt;"",G460&lt;B460),AND(H460&lt;&gt;"",H460&lt;B460),AND(I460&lt;&gt;"",I460&lt;H460),AND(J460&lt;&gt;"",J460&lt;I460)),"Date error","OK")))</f>
        <v>OK</v>
      </c>
    </row>
    <row r="461" customFormat="false" ht="15" hidden="false" customHeight="false" outlineLevel="0" collapsed="false">
      <c r="A461" s="24" t="s">
        <v>541</v>
      </c>
      <c r="B461" s="31" t="n">
        <v>46161</v>
      </c>
      <c r="C461" s="24" t="s">
        <v>25</v>
      </c>
      <c r="D461" s="24" t="s">
        <v>35</v>
      </c>
      <c r="E461" s="24" t="s">
        <v>94</v>
      </c>
      <c r="F461" s="24" t="s">
        <v>41</v>
      </c>
      <c r="G461" s="31" t="n">
        <v>46162</v>
      </c>
      <c r="H461" s="31" t="n">
        <v>46171</v>
      </c>
      <c r="I461" s="31" t="n">
        <v>46178</v>
      </c>
      <c r="J461" s="24"/>
      <c r="K461" s="24" t="n">
        <v>1</v>
      </c>
      <c r="L461" s="24" t="str">
        <f aca="false">IF(J461&lt;&gt;"","Enrolled",IF(I461&lt;&gt;"","Admitted",IF(H461&lt;&gt;"","Applied",IF(G461&lt;&gt;"","Contacted","New"))))</f>
        <v>Admitted</v>
      </c>
      <c r="M461" s="32" t="n">
        <f aca="false">IF(G461="","",G461-B461)</f>
        <v>1</v>
      </c>
      <c r="N461" s="24" t="str">
        <f aca="false">IF(COUNTIF($A$2:A461,A461)&gt;1,"Duplicate ID",IF(C461="","Missing source",IF(OR(AND(G461&lt;&gt;"",G461&lt;B461),AND(H461&lt;&gt;"",H461&lt;B461),AND(I461&lt;&gt;"",I461&lt;H461),AND(J461&lt;&gt;"",J461&lt;I461)),"Date error","OK")))</f>
        <v>OK</v>
      </c>
    </row>
    <row r="462" customFormat="false" ht="15" hidden="false" customHeight="false" outlineLevel="0" collapsed="false">
      <c r="A462" s="24" t="s">
        <v>542</v>
      </c>
      <c r="B462" s="31" t="n">
        <v>46161</v>
      </c>
      <c r="C462" s="24" t="s">
        <v>24</v>
      </c>
      <c r="D462" s="24" t="s">
        <v>35</v>
      </c>
      <c r="E462" s="24" t="s">
        <v>89</v>
      </c>
      <c r="F462" s="24" t="s">
        <v>41</v>
      </c>
      <c r="G462" s="31" t="n">
        <v>46162</v>
      </c>
      <c r="H462" s="24"/>
      <c r="I462" s="24"/>
      <c r="J462" s="24"/>
      <c r="K462" s="24" t="n">
        <v>3</v>
      </c>
      <c r="L462" s="24" t="str">
        <f aca="false">IF(J462&lt;&gt;"","Enrolled",IF(I462&lt;&gt;"","Admitted",IF(H462&lt;&gt;"","Applied",IF(G462&lt;&gt;"","Contacted","New"))))</f>
        <v>Contacted</v>
      </c>
      <c r="M462" s="32" t="n">
        <f aca="false">IF(G462="","",G462-B462)</f>
        <v>1</v>
      </c>
      <c r="N462" s="24" t="str">
        <f aca="false">IF(COUNTIF($A$2:A462,A462)&gt;1,"Duplicate ID",IF(C462="","Missing source",IF(OR(AND(G462&lt;&gt;"",G462&lt;B462),AND(H462&lt;&gt;"",H462&lt;B462),AND(I462&lt;&gt;"",I462&lt;H462),AND(J462&lt;&gt;"",J462&lt;I462)),"Date error","OK")))</f>
        <v>OK</v>
      </c>
    </row>
    <row r="463" customFormat="false" ht="15" hidden="false" customHeight="false" outlineLevel="0" collapsed="false">
      <c r="A463" s="24" t="s">
        <v>543</v>
      </c>
      <c r="B463" s="31" t="n">
        <v>46161</v>
      </c>
      <c r="C463" s="24" t="s">
        <v>26</v>
      </c>
      <c r="D463" s="24" t="s">
        <v>34</v>
      </c>
      <c r="E463" s="24" t="s">
        <v>94</v>
      </c>
      <c r="F463" s="24" t="s">
        <v>44</v>
      </c>
      <c r="G463" s="31" t="n">
        <v>46161</v>
      </c>
      <c r="H463" s="24"/>
      <c r="I463" s="24"/>
      <c r="J463" s="24"/>
      <c r="K463" s="24" t="n">
        <v>2</v>
      </c>
      <c r="L463" s="24" t="str">
        <f aca="false">IF(J463&lt;&gt;"","Enrolled",IF(I463&lt;&gt;"","Admitted",IF(H463&lt;&gt;"","Applied",IF(G463&lt;&gt;"","Contacted","New"))))</f>
        <v>Contacted</v>
      </c>
      <c r="M463" s="32" t="n">
        <f aca="false">IF(G463="","",G463-B463)</f>
        <v>0</v>
      </c>
      <c r="N463" s="24" t="str">
        <f aca="false">IF(COUNTIF($A$2:A463,A463)&gt;1,"Duplicate ID",IF(C463="","Missing source",IF(OR(AND(G463&lt;&gt;"",G463&lt;B463),AND(H463&lt;&gt;"",H463&lt;B463),AND(I463&lt;&gt;"",I463&lt;H463),AND(J463&lt;&gt;"",J463&lt;I463)),"Date error","OK")))</f>
        <v>OK</v>
      </c>
    </row>
    <row r="464" customFormat="false" ht="15" hidden="false" customHeight="false" outlineLevel="0" collapsed="false">
      <c r="A464" s="24" t="s">
        <v>544</v>
      </c>
      <c r="B464" s="31" t="n">
        <v>46161</v>
      </c>
      <c r="C464" s="24" t="s">
        <v>27</v>
      </c>
      <c r="D464" s="24" t="s">
        <v>33</v>
      </c>
      <c r="E464" s="24" t="s">
        <v>79</v>
      </c>
      <c r="F464" s="24" t="s">
        <v>42</v>
      </c>
      <c r="G464" s="31" t="n">
        <v>46162</v>
      </c>
      <c r="H464" s="24"/>
      <c r="I464" s="24"/>
      <c r="J464" s="24"/>
      <c r="K464" s="24" t="n">
        <v>1</v>
      </c>
      <c r="L464" s="24" t="str">
        <f aca="false">IF(J464&lt;&gt;"","Enrolled",IF(I464&lt;&gt;"","Admitted",IF(H464&lt;&gt;"","Applied",IF(G464&lt;&gt;"","Contacted","New"))))</f>
        <v>Contacted</v>
      </c>
      <c r="M464" s="32" t="n">
        <f aca="false">IF(G464="","",G464-B464)</f>
        <v>1</v>
      </c>
      <c r="N464" s="24" t="str">
        <f aca="false">IF(COUNTIF($A$2:A464,A464)&gt;1,"Duplicate ID",IF(C464="","Missing source",IF(OR(AND(G464&lt;&gt;"",G464&lt;B464),AND(H464&lt;&gt;"",H464&lt;B464),AND(I464&lt;&gt;"",I464&lt;H464),AND(J464&lt;&gt;"",J464&lt;I464)),"Date error","OK")))</f>
        <v>OK</v>
      </c>
    </row>
    <row r="465" customFormat="false" ht="15" hidden="false" customHeight="false" outlineLevel="0" collapsed="false">
      <c r="A465" s="24" t="s">
        <v>545</v>
      </c>
      <c r="B465" s="31" t="n">
        <v>46161</v>
      </c>
      <c r="C465" s="24" t="s">
        <v>22</v>
      </c>
      <c r="D465" s="24" t="s">
        <v>32</v>
      </c>
      <c r="E465" s="24" t="s">
        <v>79</v>
      </c>
      <c r="F465" s="24" t="s">
        <v>42</v>
      </c>
      <c r="G465" s="24"/>
      <c r="H465" s="24"/>
      <c r="I465" s="24"/>
      <c r="J465" s="24"/>
      <c r="K465" s="24" t="n">
        <v>0</v>
      </c>
      <c r="L465" s="24" t="str">
        <f aca="false">IF(J465&lt;&gt;"","Enrolled",IF(I465&lt;&gt;"","Admitted",IF(H465&lt;&gt;"","Applied",IF(G465&lt;&gt;"","Contacted","New"))))</f>
        <v>New</v>
      </c>
      <c r="M465" s="32" t="str">
        <f aca="false">IF(G465="","",G465-B465)</f>
        <v/>
      </c>
      <c r="N465" s="24" t="str">
        <f aca="false">IF(COUNTIF($A$2:A465,A465)&gt;1,"Duplicate ID",IF(C465="","Missing source",IF(OR(AND(G465&lt;&gt;"",G465&lt;B465),AND(H465&lt;&gt;"",H465&lt;B465),AND(I465&lt;&gt;"",I465&lt;H465),AND(J465&lt;&gt;"",J465&lt;I465)),"Date error","OK")))</f>
        <v>OK</v>
      </c>
    </row>
    <row r="466" customFormat="false" ht="15" hidden="false" customHeight="false" outlineLevel="0" collapsed="false">
      <c r="A466" s="24" t="s">
        <v>546</v>
      </c>
      <c r="B466" s="31" t="n">
        <v>46161</v>
      </c>
      <c r="C466" s="24" t="s">
        <v>26</v>
      </c>
      <c r="D466" s="24" t="s">
        <v>36</v>
      </c>
      <c r="E466" s="24" t="s">
        <v>81</v>
      </c>
      <c r="F466" s="24" t="s">
        <v>40</v>
      </c>
      <c r="G466" s="31" t="n">
        <v>46163</v>
      </c>
      <c r="H466" s="24"/>
      <c r="I466" s="24"/>
      <c r="J466" s="24"/>
      <c r="K466" s="24" t="n">
        <v>0</v>
      </c>
      <c r="L466" s="24" t="str">
        <f aca="false">IF(J466&lt;&gt;"","Enrolled",IF(I466&lt;&gt;"","Admitted",IF(H466&lt;&gt;"","Applied",IF(G466&lt;&gt;"","Contacted","New"))))</f>
        <v>Contacted</v>
      </c>
      <c r="M466" s="32" t="n">
        <f aca="false">IF(G466="","",G466-B466)</f>
        <v>2</v>
      </c>
      <c r="N466" s="24" t="str">
        <f aca="false">IF(COUNTIF($A$2:A466,A466)&gt;1,"Duplicate ID",IF(C466="","Missing source",IF(OR(AND(G466&lt;&gt;"",G466&lt;B466),AND(H466&lt;&gt;"",H466&lt;B466),AND(I466&lt;&gt;"",I466&lt;H466),AND(J466&lt;&gt;"",J466&lt;I466)),"Date error","OK")))</f>
        <v>OK</v>
      </c>
    </row>
    <row r="467" customFormat="false" ht="15" hidden="false" customHeight="false" outlineLevel="0" collapsed="false">
      <c r="A467" s="24" t="s">
        <v>547</v>
      </c>
      <c r="B467" s="31" t="n">
        <v>46161</v>
      </c>
      <c r="C467" s="24" t="s">
        <v>24</v>
      </c>
      <c r="D467" s="24" t="s">
        <v>36</v>
      </c>
      <c r="E467" s="24" t="s">
        <v>81</v>
      </c>
      <c r="F467" s="24" t="s">
        <v>44</v>
      </c>
      <c r="G467" s="31" t="n">
        <v>46170</v>
      </c>
      <c r="H467" s="24"/>
      <c r="I467" s="24"/>
      <c r="J467" s="24"/>
      <c r="K467" s="24" t="n">
        <v>3</v>
      </c>
      <c r="L467" s="24" t="str">
        <f aca="false">IF(J467&lt;&gt;"","Enrolled",IF(I467&lt;&gt;"","Admitted",IF(H467&lt;&gt;"","Applied",IF(G467&lt;&gt;"","Contacted","New"))))</f>
        <v>Contacted</v>
      </c>
      <c r="M467" s="32" t="n">
        <f aca="false">IF(G467="","",G467-B467)</f>
        <v>9</v>
      </c>
      <c r="N467" s="24" t="str">
        <f aca="false">IF(COUNTIF($A$2:A467,A467)&gt;1,"Duplicate ID",IF(C467="","Missing source",IF(OR(AND(G467&lt;&gt;"",G467&lt;B467),AND(H467&lt;&gt;"",H467&lt;B467),AND(I467&lt;&gt;"",I467&lt;H467),AND(J467&lt;&gt;"",J467&lt;I467)),"Date error","OK")))</f>
        <v>OK</v>
      </c>
    </row>
    <row r="468" customFormat="false" ht="15" hidden="false" customHeight="false" outlineLevel="0" collapsed="false">
      <c r="A468" s="24" t="s">
        <v>548</v>
      </c>
      <c r="B468" s="31" t="n">
        <v>46162</v>
      </c>
      <c r="C468" s="24" t="s">
        <v>24</v>
      </c>
      <c r="D468" s="24" t="s">
        <v>33</v>
      </c>
      <c r="E468" s="24" t="s">
        <v>89</v>
      </c>
      <c r="F468" s="24" t="s">
        <v>44</v>
      </c>
      <c r="G468" s="31" t="n">
        <v>46163</v>
      </c>
      <c r="H468" s="24"/>
      <c r="I468" s="24"/>
      <c r="J468" s="24"/>
      <c r="K468" s="24" t="n">
        <v>2</v>
      </c>
      <c r="L468" s="24" t="str">
        <f aca="false">IF(J468&lt;&gt;"","Enrolled",IF(I468&lt;&gt;"","Admitted",IF(H468&lt;&gt;"","Applied",IF(G468&lt;&gt;"","Contacted","New"))))</f>
        <v>Contacted</v>
      </c>
      <c r="M468" s="32" t="n">
        <f aca="false">IF(G468="","",G468-B468)</f>
        <v>1</v>
      </c>
      <c r="N468" s="24" t="str">
        <f aca="false">IF(COUNTIF($A$2:A468,A468)&gt;1,"Duplicate ID",IF(C468="","Missing source",IF(OR(AND(G468&lt;&gt;"",G468&lt;B468),AND(H468&lt;&gt;"",H468&lt;B468),AND(I468&lt;&gt;"",I468&lt;H468),AND(J468&lt;&gt;"",J468&lt;I468)),"Date error","OK")))</f>
        <v>OK</v>
      </c>
    </row>
    <row r="469" customFormat="false" ht="15" hidden="false" customHeight="false" outlineLevel="0" collapsed="false">
      <c r="A469" s="24" t="s">
        <v>549</v>
      </c>
      <c r="B469" s="31" t="n">
        <v>46162</v>
      </c>
      <c r="C469" s="24" t="s">
        <v>26</v>
      </c>
      <c r="D469" s="24" t="s">
        <v>34</v>
      </c>
      <c r="E469" s="24" t="s">
        <v>79</v>
      </c>
      <c r="F469" s="24" t="s">
        <v>40</v>
      </c>
      <c r="G469" s="31" t="n">
        <v>46165</v>
      </c>
      <c r="H469" s="24"/>
      <c r="I469" s="24"/>
      <c r="J469" s="24"/>
      <c r="K469" s="24" t="n">
        <v>5</v>
      </c>
      <c r="L469" s="24" t="str">
        <f aca="false">IF(J469&lt;&gt;"","Enrolled",IF(I469&lt;&gt;"","Admitted",IF(H469&lt;&gt;"","Applied",IF(G469&lt;&gt;"","Contacted","New"))))</f>
        <v>Contacted</v>
      </c>
      <c r="M469" s="32" t="n">
        <f aca="false">IF(G469="","",G469-B469)</f>
        <v>3</v>
      </c>
      <c r="N469" s="24" t="str">
        <f aca="false">IF(COUNTIF($A$2:A469,A469)&gt;1,"Duplicate ID",IF(C469="","Missing source",IF(OR(AND(G469&lt;&gt;"",G469&lt;B469),AND(H469&lt;&gt;"",H469&lt;B469),AND(I469&lt;&gt;"",I469&lt;H469),AND(J469&lt;&gt;"",J469&lt;I469)),"Date error","OK")))</f>
        <v>OK</v>
      </c>
    </row>
    <row r="470" customFormat="false" ht="15" hidden="false" customHeight="false" outlineLevel="0" collapsed="false">
      <c r="A470" s="24" t="s">
        <v>550</v>
      </c>
      <c r="B470" s="31" t="n">
        <v>46162</v>
      </c>
      <c r="C470" s="24" t="s">
        <v>27</v>
      </c>
      <c r="D470" s="24" t="s">
        <v>32</v>
      </c>
      <c r="E470" s="24" t="s">
        <v>81</v>
      </c>
      <c r="F470" s="24" t="s">
        <v>41</v>
      </c>
      <c r="G470" s="31" t="n">
        <v>46162</v>
      </c>
      <c r="H470" s="24"/>
      <c r="I470" s="24"/>
      <c r="J470" s="24"/>
      <c r="K470" s="24" t="n">
        <v>1</v>
      </c>
      <c r="L470" s="24" t="str">
        <f aca="false">IF(J470&lt;&gt;"","Enrolled",IF(I470&lt;&gt;"","Admitted",IF(H470&lt;&gt;"","Applied",IF(G470&lt;&gt;"","Contacted","New"))))</f>
        <v>Contacted</v>
      </c>
      <c r="M470" s="32" t="n">
        <f aca="false">IF(G470="","",G470-B470)</f>
        <v>0</v>
      </c>
      <c r="N470" s="24" t="str">
        <f aca="false">IF(COUNTIF($A$2:A470,A470)&gt;1,"Duplicate ID",IF(C470="","Missing source",IF(OR(AND(G470&lt;&gt;"",G470&lt;B470),AND(H470&lt;&gt;"",H470&lt;B470),AND(I470&lt;&gt;"",I470&lt;H470),AND(J470&lt;&gt;"",J470&lt;I470)),"Date error","OK")))</f>
        <v>OK</v>
      </c>
    </row>
    <row r="471" customFormat="false" ht="15" hidden="false" customHeight="false" outlineLevel="0" collapsed="false">
      <c r="A471" s="24" t="s">
        <v>551</v>
      </c>
      <c r="B471" s="31" t="n">
        <v>46162</v>
      </c>
      <c r="C471" s="24" t="s">
        <v>25</v>
      </c>
      <c r="D471" s="24" t="s">
        <v>36</v>
      </c>
      <c r="E471" s="24" t="s">
        <v>94</v>
      </c>
      <c r="F471" s="24" t="s">
        <v>41</v>
      </c>
      <c r="G471" s="31" t="n">
        <v>46166</v>
      </c>
      <c r="H471" s="24"/>
      <c r="I471" s="24"/>
      <c r="J471" s="24"/>
      <c r="K471" s="24" t="n">
        <v>4</v>
      </c>
      <c r="L471" s="24" t="str">
        <f aca="false">IF(J471&lt;&gt;"","Enrolled",IF(I471&lt;&gt;"","Admitted",IF(H471&lt;&gt;"","Applied",IF(G471&lt;&gt;"","Contacted","New"))))</f>
        <v>Contacted</v>
      </c>
      <c r="M471" s="32" t="n">
        <f aca="false">IF(G471="","",G471-B471)</f>
        <v>4</v>
      </c>
      <c r="N471" s="24" t="str">
        <f aca="false">IF(COUNTIF($A$2:A471,A471)&gt;1,"Duplicate ID",IF(C471="","Missing source",IF(OR(AND(G471&lt;&gt;"",G471&lt;B471),AND(H471&lt;&gt;"",H471&lt;B471),AND(I471&lt;&gt;"",I471&lt;H471),AND(J471&lt;&gt;"",J471&lt;I471)),"Date error","OK")))</f>
        <v>OK</v>
      </c>
    </row>
    <row r="472" customFormat="false" ht="15" hidden="false" customHeight="false" outlineLevel="0" collapsed="false">
      <c r="A472" s="24" t="s">
        <v>552</v>
      </c>
      <c r="B472" s="31" t="n">
        <v>46162</v>
      </c>
      <c r="C472" s="24" t="s">
        <v>26</v>
      </c>
      <c r="D472" s="24" t="s">
        <v>32</v>
      </c>
      <c r="E472" s="24" t="s">
        <v>81</v>
      </c>
      <c r="F472" s="24" t="s">
        <v>40</v>
      </c>
      <c r="G472" s="31" t="n">
        <v>46162</v>
      </c>
      <c r="H472" s="24"/>
      <c r="I472" s="24"/>
      <c r="J472" s="24"/>
      <c r="K472" s="24" t="n">
        <v>1</v>
      </c>
      <c r="L472" s="24" t="str">
        <f aca="false">IF(J472&lt;&gt;"","Enrolled",IF(I472&lt;&gt;"","Admitted",IF(H472&lt;&gt;"","Applied",IF(G472&lt;&gt;"","Contacted","New"))))</f>
        <v>Contacted</v>
      </c>
      <c r="M472" s="32" t="n">
        <f aca="false">IF(G472="","",G472-B472)</f>
        <v>0</v>
      </c>
      <c r="N472" s="24" t="str">
        <f aca="false">IF(COUNTIF($A$2:A472,A472)&gt;1,"Duplicate ID",IF(C472="","Missing source",IF(OR(AND(G472&lt;&gt;"",G472&lt;B472),AND(H472&lt;&gt;"",H472&lt;B472),AND(I472&lt;&gt;"",I472&lt;H472),AND(J472&lt;&gt;"",J472&lt;I472)),"Date error","OK")))</f>
        <v>OK</v>
      </c>
    </row>
    <row r="473" customFormat="false" ht="15" hidden="false" customHeight="false" outlineLevel="0" collapsed="false">
      <c r="A473" s="24" t="s">
        <v>553</v>
      </c>
      <c r="B473" s="31" t="n">
        <v>46162</v>
      </c>
      <c r="C473" s="24" t="s">
        <v>26</v>
      </c>
      <c r="D473" s="24" t="s">
        <v>32</v>
      </c>
      <c r="E473" s="24" t="s">
        <v>79</v>
      </c>
      <c r="F473" s="24" t="s">
        <v>41</v>
      </c>
      <c r="G473" s="31" t="n">
        <v>46163</v>
      </c>
      <c r="H473" s="31" t="n">
        <v>46176</v>
      </c>
      <c r="I473" s="31" t="n">
        <v>46191</v>
      </c>
      <c r="J473" s="31" t="n">
        <v>46220</v>
      </c>
      <c r="K473" s="24" t="n">
        <v>4</v>
      </c>
      <c r="L473" s="24" t="str">
        <f aca="false">IF(J473&lt;&gt;"","Enrolled",IF(I473&lt;&gt;"","Admitted",IF(H473&lt;&gt;"","Applied",IF(G473&lt;&gt;"","Contacted","New"))))</f>
        <v>Enrolled</v>
      </c>
      <c r="M473" s="32" t="n">
        <f aca="false">IF(G473="","",G473-B473)</f>
        <v>1</v>
      </c>
      <c r="N473" s="24" t="str">
        <f aca="false">IF(COUNTIF($A$2:A473,A473)&gt;1,"Duplicate ID",IF(C473="","Missing source",IF(OR(AND(G473&lt;&gt;"",G473&lt;B473),AND(H473&lt;&gt;"",H473&lt;B473),AND(I473&lt;&gt;"",I473&lt;H473),AND(J473&lt;&gt;"",J473&lt;I473)),"Date error","OK")))</f>
        <v>OK</v>
      </c>
    </row>
    <row r="474" customFormat="false" ht="15" hidden="false" customHeight="false" outlineLevel="0" collapsed="false">
      <c r="A474" s="24" t="s">
        <v>554</v>
      </c>
      <c r="B474" s="31" t="n">
        <v>46162</v>
      </c>
      <c r="C474" s="24" t="s">
        <v>24</v>
      </c>
      <c r="D474" s="24" t="s">
        <v>36</v>
      </c>
      <c r="E474" s="24" t="s">
        <v>94</v>
      </c>
      <c r="F474" s="24" t="s">
        <v>43</v>
      </c>
      <c r="G474" s="31" t="n">
        <v>46165</v>
      </c>
      <c r="H474" s="24"/>
      <c r="I474" s="24"/>
      <c r="J474" s="24"/>
      <c r="K474" s="24" t="n">
        <v>3</v>
      </c>
      <c r="L474" s="24" t="str">
        <f aca="false">IF(J474&lt;&gt;"","Enrolled",IF(I474&lt;&gt;"","Admitted",IF(H474&lt;&gt;"","Applied",IF(G474&lt;&gt;"","Contacted","New"))))</f>
        <v>Contacted</v>
      </c>
      <c r="M474" s="32" t="n">
        <f aca="false">IF(G474="","",G474-B474)</f>
        <v>3</v>
      </c>
      <c r="N474" s="24" t="str">
        <f aca="false">IF(COUNTIF($A$2:A474,A474)&gt;1,"Duplicate ID",IF(C474="","Missing source",IF(OR(AND(G474&lt;&gt;"",G474&lt;B474),AND(H474&lt;&gt;"",H474&lt;B474),AND(I474&lt;&gt;"",I474&lt;H474),AND(J474&lt;&gt;"",J474&lt;I474)),"Date error","OK")))</f>
        <v>OK</v>
      </c>
    </row>
    <row r="475" customFormat="false" ht="15" hidden="false" customHeight="false" outlineLevel="0" collapsed="false">
      <c r="A475" s="24" t="s">
        <v>555</v>
      </c>
      <c r="B475" s="31" t="n">
        <v>46162</v>
      </c>
      <c r="C475" s="24" t="s">
        <v>25</v>
      </c>
      <c r="D475" s="24" t="s">
        <v>34</v>
      </c>
      <c r="E475" s="24" t="s">
        <v>81</v>
      </c>
      <c r="F475" s="24" t="s">
        <v>43</v>
      </c>
      <c r="G475" s="31" t="n">
        <v>46163</v>
      </c>
      <c r="H475" s="24"/>
      <c r="I475" s="24"/>
      <c r="J475" s="24"/>
      <c r="K475" s="24" t="n">
        <v>5</v>
      </c>
      <c r="L475" s="24" t="str">
        <f aca="false">IF(J475&lt;&gt;"","Enrolled",IF(I475&lt;&gt;"","Admitted",IF(H475&lt;&gt;"","Applied",IF(G475&lt;&gt;"","Contacted","New"))))</f>
        <v>Contacted</v>
      </c>
      <c r="M475" s="32" t="n">
        <f aca="false">IF(G475="","",G475-B475)</f>
        <v>1</v>
      </c>
      <c r="N475" s="24" t="str">
        <f aca="false">IF(COUNTIF($A$2:A475,A475)&gt;1,"Duplicate ID",IF(C475="","Missing source",IF(OR(AND(G475&lt;&gt;"",G475&lt;B475),AND(H475&lt;&gt;"",H475&lt;B475),AND(I475&lt;&gt;"",I475&lt;H475),AND(J475&lt;&gt;"",J475&lt;I475)),"Date error","OK")))</f>
        <v>OK</v>
      </c>
    </row>
    <row r="476" customFormat="false" ht="15" hidden="false" customHeight="false" outlineLevel="0" collapsed="false">
      <c r="A476" s="24" t="s">
        <v>556</v>
      </c>
      <c r="B476" s="31" t="n">
        <v>46162</v>
      </c>
      <c r="C476" s="24" t="s">
        <v>26</v>
      </c>
      <c r="D476" s="24" t="s">
        <v>33</v>
      </c>
      <c r="E476" s="24" t="s">
        <v>94</v>
      </c>
      <c r="F476" s="24" t="s">
        <v>40</v>
      </c>
      <c r="G476" s="31" t="n">
        <v>46162</v>
      </c>
      <c r="H476" s="31" t="n">
        <v>46177</v>
      </c>
      <c r="I476" s="31" t="n">
        <v>46191</v>
      </c>
      <c r="J476" s="31" t="n">
        <v>46207</v>
      </c>
      <c r="K476" s="24" t="n">
        <v>1</v>
      </c>
      <c r="L476" s="24" t="str">
        <f aca="false">IF(J476&lt;&gt;"","Enrolled",IF(I476&lt;&gt;"","Admitted",IF(H476&lt;&gt;"","Applied",IF(G476&lt;&gt;"","Contacted","New"))))</f>
        <v>Enrolled</v>
      </c>
      <c r="M476" s="32" t="n">
        <f aca="false">IF(G476="","",G476-B476)</f>
        <v>0</v>
      </c>
      <c r="N476" s="24" t="str">
        <f aca="false">IF(COUNTIF($A$2:A476,A476)&gt;1,"Duplicate ID",IF(C476="","Missing source",IF(OR(AND(G476&lt;&gt;"",G476&lt;B476),AND(H476&lt;&gt;"",H476&lt;B476),AND(I476&lt;&gt;"",I476&lt;H476),AND(J476&lt;&gt;"",J476&lt;I476)),"Date error","OK")))</f>
        <v>OK</v>
      </c>
    </row>
    <row r="477" customFormat="false" ht="15" hidden="false" customHeight="false" outlineLevel="0" collapsed="false">
      <c r="A477" s="24" t="s">
        <v>557</v>
      </c>
      <c r="B477" s="31" t="n">
        <v>46162</v>
      </c>
      <c r="C477" s="24" t="s">
        <v>22</v>
      </c>
      <c r="D477" s="24" t="s">
        <v>36</v>
      </c>
      <c r="E477" s="24" t="s">
        <v>94</v>
      </c>
      <c r="F477" s="24" t="s">
        <v>40</v>
      </c>
      <c r="G477" s="31" t="n">
        <v>46162</v>
      </c>
      <c r="H477" s="24"/>
      <c r="I477" s="24"/>
      <c r="J477" s="24"/>
      <c r="K477" s="24" t="n">
        <v>6</v>
      </c>
      <c r="L477" s="24" t="str">
        <f aca="false">IF(J477&lt;&gt;"","Enrolled",IF(I477&lt;&gt;"","Admitted",IF(H477&lt;&gt;"","Applied",IF(G477&lt;&gt;"","Contacted","New"))))</f>
        <v>Contacted</v>
      </c>
      <c r="M477" s="32" t="n">
        <f aca="false">IF(G477="","",G477-B477)</f>
        <v>0</v>
      </c>
      <c r="N477" s="24" t="str">
        <f aca="false">IF(COUNTIF($A$2:A477,A477)&gt;1,"Duplicate ID",IF(C477="","Missing source",IF(OR(AND(G477&lt;&gt;"",G477&lt;B477),AND(H477&lt;&gt;"",H477&lt;B477),AND(I477&lt;&gt;"",I477&lt;H477),AND(J477&lt;&gt;"",J477&lt;I477)),"Date error","OK")))</f>
        <v>OK</v>
      </c>
    </row>
    <row r="478" customFormat="false" ht="15" hidden="false" customHeight="false" outlineLevel="0" collapsed="false">
      <c r="A478" s="24" t="s">
        <v>558</v>
      </c>
      <c r="B478" s="31" t="n">
        <v>46162</v>
      </c>
      <c r="C478" s="24" t="s">
        <v>25</v>
      </c>
      <c r="D478" s="24" t="s">
        <v>33</v>
      </c>
      <c r="E478" s="24" t="s">
        <v>79</v>
      </c>
      <c r="F478" s="24" t="s">
        <v>44</v>
      </c>
      <c r="G478" s="31" t="n">
        <v>46168</v>
      </c>
      <c r="H478" s="31" t="n">
        <v>46179</v>
      </c>
      <c r="I478" s="31" t="n">
        <v>46190</v>
      </c>
      <c r="J478" s="24"/>
      <c r="K478" s="24" t="n">
        <v>0</v>
      </c>
      <c r="L478" s="24" t="str">
        <f aca="false">IF(J478&lt;&gt;"","Enrolled",IF(I478&lt;&gt;"","Admitted",IF(H478&lt;&gt;"","Applied",IF(G478&lt;&gt;"","Contacted","New"))))</f>
        <v>Admitted</v>
      </c>
      <c r="M478" s="32" t="n">
        <f aca="false">IF(G478="","",G478-B478)</f>
        <v>6</v>
      </c>
      <c r="N478" s="24" t="str">
        <f aca="false">IF(COUNTIF($A$2:A478,A478)&gt;1,"Duplicate ID",IF(C478="","Missing source",IF(OR(AND(G478&lt;&gt;"",G478&lt;B478),AND(H478&lt;&gt;"",H478&lt;B478),AND(I478&lt;&gt;"",I478&lt;H478),AND(J478&lt;&gt;"",J478&lt;I478)),"Date error","OK")))</f>
        <v>OK</v>
      </c>
    </row>
    <row r="479" customFormat="false" ht="15" hidden="false" customHeight="false" outlineLevel="0" collapsed="false">
      <c r="A479" s="24" t="s">
        <v>559</v>
      </c>
      <c r="B479" s="31" t="n">
        <v>46163</v>
      </c>
      <c r="C479" s="24" t="s">
        <v>25</v>
      </c>
      <c r="D479" s="24" t="s">
        <v>33</v>
      </c>
      <c r="E479" s="24" t="s">
        <v>89</v>
      </c>
      <c r="F479" s="24" t="s">
        <v>42</v>
      </c>
      <c r="G479" s="31" t="n">
        <v>46164</v>
      </c>
      <c r="H479" s="24"/>
      <c r="I479" s="24"/>
      <c r="J479" s="24"/>
      <c r="K479" s="24" t="n">
        <v>4</v>
      </c>
      <c r="L479" s="24" t="str">
        <f aca="false">IF(J479&lt;&gt;"","Enrolled",IF(I479&lt;&gt;"","Admitted",IF(H479&lt;&gt;"","Applied",IF(G479&lt;&gt;"","Contacted","New"))))</f>
        <v>Contacted</v>
      </c>
      <c r="M479" s="32" t="n">
        <f aca="false">IF(G479="","",G479-B479)</f>
        <v>1</v>
      </c>
      <c r="N479" s="24" t="str">
        <f aca="false">IF(COUNTIF($A$2:A479,A479)&gt;1,"Duplicate ID",IF(C479="","Missing source",IF(OR(AND(G479&lt;&gt;"",G479&lt;B479),AND(H479&lt;&gt;"",H479&lt;B479),AND(I479&lt;&gt;"",I479&lt;H479),AND(J479&lt;&gt;"",J479&lt;I479)),"Date error","OK")))</f>
        <v>OK</v>
      </c>
    </row>
    <row r="480" customFormat="false" ht="15" hidden="false" customHeight="false" outlineLevel="0" collapsed="false">
      <c r="A480" s="24" t="s">
        <v>560</v>
      </c>
      <c r="B480" s="31" t="n">
        <v>46163</v>
      </c>
      <c r="C480" s="24" t="s">
        <v>23</v>
      </c>
      <c r="D480" s="24" t="s">
        <v>33</v>
      </c>
      <c r="E480" s="24" t="s">
        <v>79</v>
      </c>
      <c r="F480" s="24" t="s">
        <v>45</v>
      </c>
      <c r="G480" s="31" t="n">
        <v>46164</v>
      </c>
      <c r="H480" s="24"/>
      <c r="I480" s="24"/>
      <c r="J480" s="24"/>
      <c r="K480" s="24" t="n">
        <v>2</v>
      </c>
      <c r="L480" s="24" t="str">
        <f aca="false">IF(J480&lt;&gt;"","Enrolled",IF(I480&lt;&gt;"","Admitted",IF(H480&lt;&gt;"","Applied",IF(G480&lt;&gt;"","Contacted","New"))))</f>
        <v>Contacted</v>
      </c>
      <c r="M480" s="32" t="n">
        <f aca="false">IF(G480="","",G480-B480)</f>
        <v>1</v>
      </c>
      <c r="N480" s="24" t="str">
        <f aca="false">IF(COUNTIF($A$2:A480,A480)&gt;1,"Duplicate ID",IF(C480="","Missing source",IF(OR(AND(G480&lt;&gt;"",G480&lt;B480),AND(H480&lt;&gt;"",H480&lt;B480),AND(I480&lt;&gt;"",I480&lt;H480),AND(J480&lt;&gt;"",J480&lt;I480)),"Date error","OK")))</f>
        <v>OK</v>
      </c>
    </row>
    <row r="481" customFormat="false" ht="15" hidden="false" customHeight="false" outlineLevel="0" collapsed="false">
      <c r="A481" s="24" t="s">
        <v>561</v>
      </c>
      <c r="B481" s="31" t="n">
        <v>46163</v>
      </c>
      <c r="C481" s="24" t="s">
        <v>22</v>
      </c>
      <c r="D481" s="24" t="s">
        <v>33</v>
      </c>
      <c r="E481" s="24" t="s">
        <v>94</v>
      </c>
      <c r="F481" s="24" t="s">
        <v>42</v>
      </c>
      <c r="G481" s="31" t="n">
        <v>46166</v>
      </c>
      <c r="H481" s="24"/>
      <c r="I481" s="24"/>
      <c r="J481" s="24"/>
      <c r="K481" s="24" t="n">
        <v>2</v>
      </c>
      <c r="L481" s="24" t="str">
        <f aca="false">IF(J481&lt;&gt;"","Enrolled",IF(I481&lt;&gt;"","Admitted",IF(H481&lt;&gt;"","Applied",IF(G481&lt;&gt;"","Contacted","New"))))</f>
        <v>Contacted</v>
      </c>
      <c r="M481" s="32" t="n">
        <f aca="false">IF(G481="","",G481-B481)</f>
        <v>3</v>
      </c>
      <c r="N481" s="24" t="str">
        <f aca="false">IF(COUNTIF($A$2:A481,A481)&gt;1,"Duplicate ID",IF(C481="","Missing source",IF(OR(AND(G481&lt;&gt;"",G481&lt;B481),AND(H481&lt;&gt;"",H481&lt;B481),AND(I481&lt;&gt;"",I481&lt;H481),AND(J481&lt;&gt;"",J481&lt;I481)),"Date error","OK")))</f>
        <v>OK</v>
      </c>
    </row>
    <row r="482" customFormat="false" ht="15" hidden="false" customHeight="false" outlineLevel="0" collapsed="false">
      <c r="A482" s="24" t="s">
        <v>562</v>
      </c>
      <c r="B482" s="31" t="n">
        <v>46163</v>
      </c>
      <c r="C482" s="24" t="s">
        <v>23</v>
      </c>
      <c r="D482" s="24" t="s">
        <v>34</v>
      </c>
      <c r="E482" s="24" t="s">
        <v>89</v>
      </c>
      <c r="F482" s="24" t="s">
        <v>45</v>
      </c>
      <c r="G482" s="31" t="n">
        <v>46163</v>
      </c>
      <c r="H482" s="31" t="n">
        <v>46170</v>
      </c>
      <c r="I482" s="31" t="n">
        <v>46179</v>
      </c>
      <c r="J482" s="31" t="n">
        <v>46204</v>
      </c>
      <c r="K482" s="24" t="n">
        <v>1</v>
      </c>
      <c r="L482" s="24" t="str">
        <f aca="false">IF(J482&lt;&gt;"","Enrolled",IF(I482&lt;&gt;"","Admitted",IF(H482&lt;&gt;"","Applied",IF(G482&lt;&gt;"","Contacted","New"))))</f>
        <v>Enrolled</v>
      </c>
      <c r="M482" s="32" t="n">
        <f aca="false">IF(G482="","",G482-B482)</f>
        <v>0</v>
      </c>
      <c r="N482" s="24" t="str">
        <f aca="false">IF(COUNTIF($A$2:A482,A482)&gt;1,"Duplicate ID",IF(C482="","Missing source",IF(OR(AND(G482&lt;&gt;"",G482&lt;B482),AND(H482&lt;&gt;"",H482&lt;B482),AND(I482&lt;&gt;"",I482&lt;H482),AND(J482&lt;&gt;"",J482&lt;I482)),"Date error","OK")))</f>
        <v>OK</v>
      </c>
    </row>
    <row r="483" customFormat="false" ht="15" hidden="false" customHeight="false" outlineLevel="0" collapsed="false">
      <c r="A483" s="24" t="s">
        <v>563</v>
      </c>
      <c r="B483" s="31" t="n">
        <v>46163</v>
      </c>
      <c r="C483" s="24" t="s">
        <v>23</v>
      </c>
      <c r="D483" s="24" t="s">
        <v>36</v>
      </c>
      <c r="E483" s="24" t="s">
        <v>89</v>
      </c>
      <c r="F483" s="24" t="s">
        <v>44</v>
      </c>
      <c r="G483" s="31" t="n">
        <v>46166</v>
      </c>
      <c r="H483" s="24"/>
      <c r="I483" s="24"/>
      <c r="J483" s="24"/>
      <c r="K483" s="24" t="n">
        <v>1</v>
      </c>
      <c r="L483" s="24" t="str">
        <f aca="false">IF(J483&lt;&gt;"","Enrolled",IF(I483&lt;&gt;"","Admitted",IF(H483&lt;&gt;"","Applied",IF(G483&lt;&gt;"","Contacted","New"))))</f>
        <v>Contacted</v>
      </c>
      <c r="M483" s="32" t="n">
        <f aca="false">IF(G483="","",G483-B483)</f>
        <v>3</v>
      </c>
      <c r="N483" s="24" t="str">
        <f aca="false">IF(COUNTIF($A$2:A483,A483)&gt;1,"Duplicate ID",IF(C483="","Missing source",IF(OR(AND(G483&lt;&gt;"",G483&lt;B483),AND(H483&lt;&gt;"",H483&lt;B483),AND(I483&lt;&gt;"",I483&lt;H483),AND(J483&lt;&gt;"",J483&lt;I483)),"Date error","OK")))</f>
        <v>OK</v>
      </c>
    </row>
    <row r="484" customFormat="false" ht="15" hidden="false" customHeight="false" outlineLevel="0" collapsed="false">
      <c r="A484" s="24" t="s">
        <v>564</v>
      </c>
      <c r="B484" s="31" t="n">
        <v>46163</v>
      </c>
      <c r="C484" s="24" t="s">
        <v>25</v>
      </c>
      <c r="D484" s="24" t="s">
        <v>36</v>
      </c>
      <c r="E484" s="24" t="s">
        <v>94</v>
      </c>
      <c r="F484" s="24" t="s">
        <v>41</v>
      </c>
      <c r="G484" s="31" t="n">
        <v>46164</v>
      </c>
      <c r="H484" s="24"/>
      <c r="I484" s="24"/>
      <c r="J484" s="24"/>
      <c r="K484" s="24" t="n">
        <v>6</v>
      </c>
      <c r="L484" s="24" t="str">
        <f aca="false">IF(J484&lt;&gt;"","Enrolled",IF(I484&lt;&gt;"","Admitted",IF(H484&lt;&gt;"","Applied",IF(G484&lt;&gt;"","Contacted","New"))))</f>
        <v>Contacted</v>
      </c>
      <c r="M484" s="32" t="n">
        <f aca="false">IF(G484="","",G484-B484)</f>
        <v>1</v>
      </c>
      <c r="N484" s="24" t="str">
        <f aca="false">IF(COUNTIF($A$2:A484,A484)&gt;1,"Duplicate ID",IF(C484="","Missing source",IF(OR(AND(G484&lt;&gt;"",G484&lt;B484),AND(H484&lt;&gt;"",H484&lt;B484),AND(I484&lt;&gt;"",I484&lt;H484),AND(J484&lt;&gt;"",J484&lt;I484)),"Date error","OK")))</f>
        <v>OK</v>
      </c>
    </row>
    <row r="485" customFormat="false" ht="15" hidden="false" customHeight="false" outlineLevel="0" collapsed="false">
      <c r="A485" s="24" t="s">
        <v>565</v>
      </c>
      <c r="B485" s="31" t="n">
        <v>46164</v>
      </c>
      <c r="C485" s="24" t="s">
        <v>25</v>
      </c>
      <c r="D485" s="24" t="s">
        <v>32</v>
      </c>
      <c r="E485" s="24" t="s">
        <v>89</v>
      </c>
      <c r="F485" s="24" t="s">
        <v>44</v>
      </c>
      <c r="G485" s="31" t="n">
        <v>46167</v>
      </c>
      <c r="H485" s="24"/>
      <c r="I485" s="24"/>
      <c r="J485" s="24"/>
      <c r="K485" s="24" t="n">
        <v>4</v>
      </c>
      <c r="L485" s="24" t="str">
        <f aca="false">IF(J485&lt;&gt;"","Enrolled",IF(I485&lt;&gt;"","Admitted",IF(H485&lt;&gt;"","Applied",IF(G485&lt;&gt;"","Contacted","New"))))</f>
        <v>Contacted</v>
      </c>
      <c r="M485" s="32" t="n">
        <f aca="false">IF(G485="","",G485-B485)</f>
        <v>3</v>
      </c>
      <c r="N485" s="24" t="str">
        <f aca="false">IF(COUNTIF($A$2:A485,A485)&gt;1,"Duplicate ID",IF(C485="","Missing source",IF(OR(AND(G485&lt;&gt;"",G485&lt;B485),AND(H485&lt;&gt;"",H485&lt;B485),AND(I485&lt;&gt;"",I485&lt;H485),AND(J485&lt;&gt;"",J485&lt;I485)),"Date error","OK")))</f>
        <v>OK</v>
      </c>
    </row>
    <row r="486" customFormat="false" ht="15" hidden="false" customHeight="false" outlineLevel="0" collapsed="false">
      <c r="A486" s="24" t="s">
        <v>566</v>
      </c>
      <c r="B486" s="31" t="n">
        <v>46164</v>
      </c>
      <c r="C486" s="24" t="s">
        <v>23</v>
      </c>
      <c r="D486" s="24" t="s">
        <v>35</v>
      </c>
      <c r="E486" s="24" t="s">
        <v>89</v>
      </c>
      <c r="F486" s="24" t="s">
        <v>40</v>
      </c>
      <c r="G486" s="31" t="n">
        <v>46164</v>
      </c>
      <c r="H486" s="31" t="n">
        <v>46168</v>
      </c>
      <c r="I486" s="24"/>
      <c r="J486" s="24"/>
      <c r="K486" s="24" t="n">
        <v>2</v>
      </c>
      <c r="L486" s="24" t="str">
        <f aca="false">IF(J486&lt;&gt;"","Enrolled",IF(I486&lt;&gt;"","Admitted",IF(H486&lt;&gt;"","Applied",IF(G486&lt;&gt;"","Contacted","New"))))</f>
        <v>Applied</v>
      </c>
      <c r="M486" s="32" t="n">
        <f aca="false">IF(G486="","",G486-B486)</f>
        <v>0</v>
      </c>
      <c r="N486" s="24" t="str">
        <f aca="false">IF(COUNTIF($A$2:A486,A486)&gt;1,"Duplicate ID",IF(C486="","Missing source",IF(OR(AND(G486&lt;&gt;"",G486&lt;B486),AND(H486&lt;&gt;"",H486&lt;B486),AND(I486&lt;&gt;"",I486&lt;H486),AND(J486&lt;&gt;"",J486&lt;I486)),"Date error","OK")))</f>
        <v>OK</v>
      </c>
    </row>
    <row r="487" customFormat="false" ht="15" hidden="false" customHeight="false" outlineLevel="0" collapsed="false">
      <c r="A487" s="24" t="s">
        <v>567</v>
      </c>
      <c r="B487" s="31" t="n">
        <v>46164</v>
      </c>
      <c r="C487" s="24" t="s">
        <v>25</v>
      </c>
      <c r="D487" s="24" t="s">
        <v>32</v>
      </c>
      <c r="E487" s="24" t="s">
        <v>79</v>
      </c>
      <c r="F487" s="24" t="s">
        <v>42</v>
      </c>
      <c r="G487" s="31" t="n">
        <v>46165</v>
      </c>
      <c r="H487" s="24"/>
      <c r="I487" s="24"/>
      <c r="J487" s="24"/>
      <c r="K487" s="24" t="n">
        <v>7</v>
      </c>
      <c r="L487" s="24" t="str">
        <f aca="false">IF(J487&lt;&gt;"","Enrolled",IF(I487&lt;&gt;"","Admitted",IF(H487&lt;&gt;"","Applied",IF(G487&lt;&gt;"","Contacted","New"))))</f>
        <v>Contacted</v>
      </c>
      <c r="M487" s="32" t="n">
        <f aca="false">IF(G487="","",G487-B487)</f>
        <v>1</v>
      </c>
      <c r="N487" s="24" t="str">
        <f aca="false">IF(COUNTIF($A$2:A487,A487)&gt;1,"Duplicate ID",IF(C487="","Missing source",IF(OR(AND(G487&lt;&gt;"",G487&lt;B487),AND(H487&lt;&gt;"",H487&lt;B487),AND(I487&lt;&gt;"",I487&lt;H487),AND(J487&lt;&gt;"",J487&lt;I487)),"Date error","OK")))</f>
        <v>OK</v>
      </c>
    </row>
    <row r="488" customFormat="false" ht="15" hidden="false" customHeight="false" outlineLevel="0" collapsed="false">
      <c r="A488" s="24" t="s">
        <v>568</v>
      </c>
      <c r="B488" s="31" t="n">
        <v>46164</v>
      </c>
      <c r="C488" s="24" t="s">
        <v>23</v>
      </c>
      <c r="D488" s="24" t="s">
        <v>33</v>
      </c>
      <c r="E488" s="24" t="s">
        <v>94</v>
      </c>
      <c r="F488" s="24" t="s">
        <v>40</v>
      </c>
      <c r="G488" s="31" t="n">
        <v>46164</v>
      </c>
      <c r="H488" s="24"/>
      <c r="I488" s="24"/>
      <c r="J488" s="24"/>
      <c r="K488" s="24" t="n">
        <v>1</v>
      </c>
      <c r="L488" s="24" t="str">
        <f aca="false">IF(J488&lt;&gt;"","Enrolled",IF(I488&lt;&gt;"","Admitted",IF(H488&lt;&gt;"","Applied",IF(G488&lt;&gt;"","Contacted","New"))))</f>
        <v>Contacted</v>
      </c>
      <c r="M488" s="32" t="n">
        <f aca="false">IF(G488="","",G488-B488)</f>
        <v>0</v>
      </c>
      <c r="N488" s="24" t="str">
        <f aca="false">IF(COUNTIF($A$2:A488,A488)&gt;1,"Duplicate ID",IF(C488="","Missing source",IF(OR(AND(G488&lt;&gt;"",G488&lt;B488),AND(H488&lt;&gt;"",H488&lt;B488),AND(I488&lt;&gt;"",I488&lt;H488),AND(J488&lt;&gt;"",J488&lt;I488)),"Date error","OK")))</f>
        <v>OK</v>
      </c>
    </row>
    <row r="489" customFormat="false" ht="15" hidden="false" customHeight="false" outlineLevel="0" collapsed="false">
      <c r="A489" s="24" t="s">
        <v>569</v>
      </c>
      <c r="B489" s="31" t="n">
        <v>46164</v>
      </c>
      <c r="C489" s="24" t="s">
        <v>23</v>
      </c>
      <c r="D489" s="24" t="s">
        <v>32</v>
      </c>
      <c r="E489" s="24" t="s">
        <v>89</v>
      </c>
      <c r="F489" s="24" t="s">
        <v>42</v>
      </c>
      <c r="G489" s="31" t="n">
        <v>46166</v>
      </c>
      <c r="H489" s="24"/>
      <c r="I489" s="24"/>
      <c r="J489" s="24"/>
      <c r="K489" s="24" t="n">
        <v>3</v>
      </c>
      <c r="L489" s="24" t="str">
        <f aca="false">IF(J489&lt;&gt;"","Enrolled",IF(I489&lt;&gt;"","Admitted",IF(H489&lt;&gt;"","Applied",IF(G489&lt;&gt;"","Contacted","New"))))</f>
        <v>Contacted</v>
      </c>
      <c r="M489" s="32" t="n">
        <f aca="false">IF(G489="","",G489-B489)</f>
        <v>2</v>
      </c>
      <c r="N489" s="24" t="str">
        <f aca="false">IF(COUNTIF($A$2:A489,A489)&gt;1,"Duplicate ID",IF(C489="","Missing source",IF(OR(AND(G489&lt;&gt;"",G489&lt;B489),AND(H489&lt;&gt;"",H489&lt;B489),AND(I489&lt;&gt;"",I489&lt;H489),AND(J489&lt;&gt;"",J489&lt;I489)),"Date error","OK")))</f>
        <v>OK</v>
      </c>
    </row>
    <row r="490" customFormat="false" ht="15" hidden="false" customHeight="false" outlineLevel="0" collapsed="false">
      <c r="A490" s="24" t="s">
        <v>570</v>
      </c>
      <c r="B490" s="31" t="n">
        <v>46164</v>
      </c>
      <c r="C490" s="24" t="s">
        <v>27</v>
      </c>
      <c r="D490" s="24" t="s">
        <v>35</v>
      </c>
      <c r="E490" s="24" t="s">
        <v>84</v>
      </c>
      <c r="F490" s="24" t="s">
        <v>41</v>
      </c>
      <c r="G490" s="31" t="n">
        <v>46168</v>
      </c>
      <c r="H490" s="24"/>
      <c r="I490" s="24"/>
      <c r="J490" s="24"/>
      <c r="K490" s="24" t="n">
        <v>1</v>
      </c>
      <c r="L490" s="24" t="str">
        <f aca="false">IF(J490&lt;&gt;"","Enrolled",IF(I490&lt;&gt;"","Admitted",IF(H490&lt;&gt;"","Applied",IF(G490&lt;&gt;"","Contacted","New"))))</f>
        <v>Contacted</v>
      </c>
      <c r="M490" s="32" t="n">
        <f aca="false">IF(G490="","",G490-B490)</f>
        <v>4</v>
      </c>
      <c r="N490" s="24" t="str">
        <f aca="false">IF(COUNTIF($A$2:A490,A490)&gt;1,"Duplicate ID",IF(C490="","Missing source",IF(OR(AND(G490&lt;&gt;"",G490&lt;B490),AND(H490&lt;&gt;"",H490&lt;B490),AND(I490&lt;&gt;"",I490&lt;H490),AND(J490&lt;&gt;"",J490&lt;I490)),"Date error","OK")))</f>
        <v>OK</v>
      </c>
    </row>
    <row r="491" customFormat="false" ht="15" hidden="false" customHeight="false" outlineLevel="0" collapsed="false">
      <c r="A491" s="24" t="s">
        <v>571</v>
      </c>
      <c r="B491" s="31" t="n">
        <v>46164</v>
      </c>
      <c r="C491" s="24" t="s">
        <v>26</v>
      </c>
      <c r="D491" s="24" t="s">
        <v>33</v>
      </c>
      <c r="E491" s="24" t="s">
        <v>81</v>
      </c>
      <c r="F491" s="24" t="s">
        <v>41</v>
      </c>
      <c r="G491" s="31" t="n">
        <v>46165</v>
      </c>
      <c r="H491" s="24"/>
      <c r="I491" s="24"/>
      <c r="J491" s="24"/>
      <c r="K491" s="24" t="n">
        <v>2</v>
      </c>
      <c r="L491" s="24" t="str">
        <f aca="false">IF(J491&lt;&gt;"","Enrolled",IF(I491&lt;&gt;"","Admitted",IF(H491&lt;&gt;"","Applied",IF(G491&lt;&gt;"","Contacted","New"))))</f>
        <v>Contacted</v>
      </c>
      <c r="M491" s="32" t="n">
        <f aca="false">IF(G491="","",G491-B491)</f>
        <v>1</v>
      </c>
      <c r="N491" s="24" t="str">
        <f aca="false">IF(COUNTIF($A$2:A491,A491)&gt;1,"Duplicate ID",IF(C491="","Missing source",IF(OR(AND(G491&lt;&gt;"",G491&lt;B491),AND(H491&lt;&gt;"",H491&lt;B491),AND(I491&lt;&gt;"",I491&lt;H491),AND(J491&lt;&gt;"",J491&lt;I491)),"Date error","OK")))</f>
        <v>OK</v>
      </c>
    </row>
    <row r="492" customFormat="false" ht="15" hidden="false" customHeight="false" outlineLevel="0" collapsed="false">
      <c r="A492" s="24" t="s">
        <v>572</v>
      </c>
      <c r="B492" s="31" t="n">
        <v>46165</v>
      </c>
      <c r="C492" s="24" t="s">
        <v>22</v>
      </c>
      <c r="D492" s="24" t="s">
        <v>33</v>
      </c>
      <c r="E492" s="24" t="s">
        <v>84</v>
      </c>
      <c r="F492" s="24" t="s">
        <v>40</v>
      </c>
      <c r="G492" s="31" t="n">
        <v>46165</v>
      </c>
      <c r="H492" s="31" t="n">
        <v>46177</v>
      </c>
      <c r="I492" s="31" t="n">
        <v>46188</v>
      </c>
      <c r="J492" s="24"/>
      <c r="K492" s="24" t="n">
        <v>3</v>
      </c>
      <c r="L492" s="24" t="str">
        <f aca="false">IF(J492&lt;&gt;"","Enrolled",IF(I492&lt;&gt;"","Admitted",IF(H492&lt;&gt;"","Applied",IF(G492&lt;&gt;"","Contacted","New"))))</f>
        <v>Admitted</v>
      </c>
      <c r="M492" s="32" t="n">
        <f aca="false">IF(G492="","",G492-B492)</f>
        <v>0</v>
      </c>
      <c r="N492" s="24" t="str">
        <f aca="false">IF(COUNTIF($A$2:A492,A492)&gt;1,"Duplicate ID",IF(C492="","Missing source",IF(OR(AND(G492&lt;&gt;"",G492&lt;B492),AND(H492&lt;&gt;"",H492&lt;B492),AND(I492&lt;&gt;"",I492&lt;H492),AND(J492&lt;&gt;"",J492&lt;I492)),"Date error","OK")))</f>
        <v>OK</v>
      </c>
    </row>
    <row r="493" customFormat="false" ht="15" hidden="false" customHeight="false" outlineLevel="0" collapsed="false">
      <c r="A493" s="24" t="s">
        <v>573</v>
      </c>
      <c r="B493" s="31" t="n">
        <v>46165</v>
      </c>
      <c r="C493" s="24" t="s">
        <v>25</v>
      </c>
      <c r="D493" s="24" t="s">
        <v>32</v>
      </c>
      <c r="E493" s="24" t="s">
        <v>84</v>
      </c>
      <c r="F493" s="24" t="s">
        <v>44</v>
      </c>
      <c r="G493" s="31" t="n">
        <v>46168</v>
      </c>
      <c r="H493" s="31" t="n">
        <v>46174</v>
      </c>
      <c r="I493" s="31" t="n">
        <v>46179</v>
      </c>
      <c r="J493" s="31" t="n">
        <v>46199</v>
      </c>
      <c r="K493" s="24" t="n">
        <v>3</v>
      </c>
      <c r="L493" s="24" t="str">
        <f aca="false">IF(J493&lt;&gt;"","Enrolled",IF(I493&lt;&gt;"","Admitted",IF(H493&lt;&gt;"","Applied",IF(G493&lt;&gt;"","Contacted","New"))))</f>
        <v>Enrolled</v>
      </c>
      <c r="M493" s="32" t="n">
        <f aca="false">IF(G493="","",G493-B493)</f>
        <v>3</v>
      </c>
      <c r="N493" s="24" t="str">
        <f aca="false">IF(COUNTIF($A$2:A493,A493)&gt;1,"Duplicate ID",IF(C493="","Missing source",IF(OR(AND(G493&lt;&gt;"",G493&lt;B493),AND(H493&lt;&gt;"",H493&lt;B493),AND(I493&lt;&gt;"",I493&lt;H493),AND(J493&lt;&gt;"",J493&lt;I493)),"Date error","OK")))</f>
        <v>OK</v>
      </c>
    </row>
    <row r="494" customFormat="false" ht="15" hidden="false" customHeight="false" outlineLevel="0" collapsed="false">
      <c r="A494" s="24" t="s">
        <v>574</v>
      </c>
      <c r="B494" s="31" t="n">
        <v>46165</v>
      </c>
      <c r="C494" s="24" t="s">
        <v>21</v>
      </c>
      <c r="D494" s="24" t="s">
        <v>33</v>
      </c>
      <c r="E494" s="24" t="s">
        <v>79</v>
      </c>
      <c r="F494" s="24" t="s">
        <v>43</v>
      </c>
      <c r="G494" s="31" t="n">
        <v>46168</v>
      </c>
      <c r="H494" s="24"/>
      <c r="I494" s="24"/>
      <c r="J494" s="24"/>
      <c r="K494" s="24" t="n">
        <v>3</v>
      </c>
      <c r="L494" s="24" t="str">
        <f aca="false">IF(J494&lt;&gt;"","Enrolled",IF(I494&lt;&gt;"","Admitted",IF(H494&lt;&gt;"","Applied",IF(G494&lt;&gt;"","Contacted","New"))))</f>
        <v>Contacted</v>
      </c>
      <c r="M494" s="32" t="n">
        <f aca="false">IF(G494="","",G494-B494)</f>
        <v>3</v>
      </c>
      <c r="N494" s="24" t="str">
        <f aca="false">IF(COUNTIF($A$2:A494,A494)&gt;1,"Duplicate ID",IF(C494="","Missing source",IF(OR(AND(G494&lt;&gt;"",G494&lt;B494),AND(H494&lt;&gt;"",H494&lt;B494),AND(I494&lt;&gt;"",I494&lt;H494),AND(J494&lt;&gt;"",J494&lt;I494)),"Date error","OK")))</f>
        <v>OK</v>
      </c>
    </row>
    <row r="495" customFormat="false" ht="15" hidden="false" customHeight="false" outlineLevel="0" collapsed="false">
      <c r="A495" s="24" t="s">
        <v>575</v>
      </c>
      <c r="B495" s="31" t="n">
        <v>46165</v>
      </c>
      <c r="C495" s="24" t="s">
        <v>26</v>
      </c>
      <c r="D495" s="24" t="s">
        <v>36</v>
      </c>
      <c r="E495" s="24" t="s">
        <v>94</v>
      </c>
      <c r="F495" s="24" t="s">
        <v>40</v>
      </c>
      <c r="G495" s="31" t="n">
        <v>46165</v>
      </c>
      <c r="H495" s="24"/>
      <c r="I495" s="24"/>
      <c r="J495" s="24"/>
      <c r="K495" s="24" t="n">
        <v>2</v>
      </c>
      <c r="L495" s="24" t="str">
        <f aca="false">IF(J495&lt;&gt;"","Enrolled",IF(I495&lt;&gt;"","Admitted",IF(H495&lt;&gt;"","Applied",IF(G495&lt;&gt;"","Contacted","New"))))</f>
        <v>Contacted</v>
      </c>
      <c r="M495" s="32" t="n">
        <f aca="false">IF(G495="","",G495-B495)</f>
        <v>0</v>
      </c>
      <c r="N495" s="24" t="str">
        <f aca="false">IF(COUNTIF($A$2:A495,A495)&gt;1,"Duplicate ID",IF(C495="","Missing source",IF(OR(AND(G495&lt;&gt;"",G495&lt;B495),AND(H495&lt;&gt;"",H495&lt;B495),AND(I495&lt;&gt;"",I495&lt;H495),AND(J495&lt;&gt;"",J495&lt;I495)),"Date error","OK")))</f>
        <v>OK</v>
      </c>
    </row>
    <row r="496" customFormat="false" ht="15" hidden="false" customHeight="false" outlineLevel="0" collapsed="false">
      <c r="A496" s="24" t="s">
        <v>576</v>
      </c>
      <c r="B496" s="31" t="n">
        <v>46165</v>
      </c>
      <c r="C496" s="24" t="s">
        <v>22</v>
      </c>
      <c r="D496" s="24" t="s">
        <v>34</v>
      </c>
      <c r="E496" s="24" t="s">
        <v>79</v>
      </c>
      <c r="F496" s="24" t="s">
        <v>41</v>
      </c>
      <c r="G496" s="31" t="n">
        <v>46165</v>
      </c>
      <c r="H496" s="31" t="n">
        <v>46181</v>
      </c>
      <c r="I496" s="31" t="n">
        <v>46186</v>
      </c>
      <c r="J496" s="31" t="n">
        <v>46195</v>
      </c>
      <c r="K496" s="24" t="n">
        <v>2</v>
      </c>
      <c r="L496" s="24" t="str">
        <f aca="false">IF(J496&lt;&gt;"","Enrolled",IF(I496&lt;&gt;"","Admitted",IF(H496&lt;&gt;"","Applied",IF(G496&lt;&gt;"","Contacted","New"))))</f>
        <v>Enrolled</v>
      </c>
      <c r="M496" s="32" t="n">
        <f aca="false">IF(G496="","",G496-B496)</f>
        <v>0</v>
      </c>
      <c r="N496" s="24" t="str">
        <f aca="false">IF(COUNTIF($A$2:A496,A496)&gt;1,"Duplicate ID",IF(C496="","Missing source",IF(OR(AND(G496&lt;&gt;"",G496&lt;B496),AND(H496&lt;&gt;"",H496&lt;B496),AND(I496&lt;&gt;"",I496&lt;H496),AND(J496&lt;&gt;"",J496&lt;I496)),"Date error","OK")))</f>
        <v>OK</v>
      </c>
    </row>
    <row r="497" customFormat="false" ht="15" hidden="false" customHeight="false" outlineLevel="0" collapsed="false">
      <c r="A497" s="24" t="s">
        <v>577</v>
      </c>
      <c r="B497" s="31" t="n">
        <v>46165</v>
      </c>
      <c r="C497" s="24" t="s">
        <v>21</v>
      </c>
      <c r="D497" s="24" t="s">
        <v>32</v>
      </c>
      <c r="E497" s="24" t="s">
        <v>89</v>
      </c>
      <c r="F497" s="24" t="s">
        <v>44</v>
      </c>
      <c r="G497" s="31" t="n">
        <v>46170</v>
      </c>
      <c r="H497" s="31" t="n">
        <v>46179</v>
      </c>
      <c r="I497" s="31" t="n">
        <v>46193</v>
      </c>
      <c r="J497" s="31" t="n">
        <v>46210</v>
      </c>
      <c r="K497" s="24" t="n">
        <v>5</v>
      </c>
      <c r="L497" s="24" t="str">
        <f aca="false">IF(J497&lt;&gt;"","Enrolled",IF(I497&lt;&gt;"","Admitted",IF(H497&lt;&gt;"","Applied",IF(G497&lt;&gt;"","Contacted","New"))))</f>
        <v>Enrolled</v>
      </c>
      <c r="M497" s="32" t="n">
        <f aca="false">IF(G497="","",G497-B497)</f>
        <v>5</v>
      </c>
      <c r="N497" s="24" t="str">
        <f aca="false">IF(COUNTIF($A$2:A497,A497)&gt;1,"Duplicate ID",IF(C497="","Missing source",IF(OR(AND(G497&lt;&gt;"",G497&lt;B497),AND(H497&lt;&gt;"",H497&lt;B497),AND(I497&lt;&gt;"",I497&lt;H497),AND(J497&lt;&gt;"",J497&lt;I497)),"Date error","OK")))</f>
        <v>OK</v>
      </c>
    </row>
    <row r="498" customFormat="false" ht="15" hidden="false" customHeight="false" outlineLevel="0" collapsed="false">
      <c r="A498" s="24" t="s">
        <v>578</v>
      </c>
      <c r="B498" s="31" t="n">
        <v>46165</v>
      </c>
      <c r="C498" s="24" t="s">
        <v>21</v>
      </c>
      <c r="D498" s="24" t="s">
        <v>36</v>
      </c>
      <c r="E498" s="24" t="s">
        <v>79</v>
      </c>
      <c r="F498" s="24" t="s">
        <v>40</v>
      </c>
      <c r="G498" s="31" t="n">
        <v>46166</v>
      </c>
      <c r="H498" s="24"/>
      <c r="I498" s="24"/>
      <c r="J498" s="24"/>
      <c r="K498" s="24" t="n">
        <v>4</v>
      </c>
      <c r="L498" s="24" t="str">
        <f aca="false">IF(J498&lt;&gt;"","Enrolled",IF(I498&lt;&gt;"","Admitted",IF(H498&lt;&gt;"","Applied",IF(G498&lt;&gt;"","Contacted","New"))))</f>
        <v>Contacted</v>
      </c>
      <c r="M498" s="32" t="n">
        <f aca="false">IF(G498="","",G498-B498)</f>
        <v>1</v>
      </c>
      <c r="N498" s="24" t="str">
        <f aca="false">IF(COUNTIF($A$2:A498,A498)&gt;1,"Duplicate ID",IF(C498="","Missing source",IF(OR(AND(G498&lt;&gt;"",G498&lt;B498),AND(H498&lt;&gt;"",H498&lt;B498),AND(I498&lt;&gt;"",I498&lt;H498),AND(J498&lt;&gt;"",J498&lt;I498)),"Date error","OK")))</f>
        <v>OK</v>
      </c>
    </row>
    <row r="499" customFormat="false" ht="15" hidden="false" customHeight="false" outlineLevel="0" collapsed="false">
      <c r="A499" s="24" t="s">
        <v>579</v>
      </c>
      <c r="B499" s="31" t="n">
        <v>46165</v>
      </c>
      <c r="C499" s="24" t="s">
        <v>26</v>
      </c>
      <c r="D499" s="24" t="s">
        <v>36</v>
      </c>
      <c r="E499" s="24" t="s">
        <v>79</v>
      </c>
      <c r="F499" s="24" t="s">
        <v>42</v>
      </c>
      <c r="G499" s="31" t="n">
        <v>46165</v>
      </c>
      <c r="H499" s="24"/>
      <c r="I499" s="24"/>
      <c r="J499" s="24"/>
      <c r="K499" s="24" t="n">
        <v>1</v>
      </c>
      <c r="L499" s="24" t="str">
        <f aca="false">IF(J499&lt;&gt;"","Enrolled",IF(I499&lt;&gt;"","Admitted",IF(H499&lt;&gt;"","Applied",IF(G499&lt;&gt;"","Contacted","New"))))</f>
        <v>Contacted</v>
      </c>
      <c r="M499" s="32" t="n">
        <f aca="false">IF(G499="","",G499-B499)</f>
        <v>0</v>
      </c>
      <c r="N499" s="24" t="str">
        <f aca="false">IF(COUNTIF($A$2:A499,A499)&gt;1,"Duplicate ID",IF(C499="","Missing source",IF(OR(AND(G499&lt;&gt;"",G499&lt;B499),AND(H499&lt;&gt;"",H499&lt;B499),AND(I499&lt;&gt;"",I499&lt;H499),AND(J499&lt;&gt;"",J499&lt;I499)),"Date error","OK")))</f>
        <v>OK</v>
      </c>
    </row>
    <row r="500" customFormat="false" ht="15" hidden="false" customHeight="false" outlineLevel="0" collapsed="false">
      <c r="A500" s="24" t="s">
        <v>580</v>
      </c>
      <c r="B500" s="31" t="n">
        <v>46165</v>
      </c>
      <c r="C500" s="24" t="s">
        <v>23</v>
      </c>
      <c r="D500" s="24" t="s">
        <v>33</v>
      </c>
      <c r="E500" s="24" t="s">
        <v>81</v>
      </c>
      <c r="F500" s="24" t="s">
        <v>45</v>
      </c>
      <c r="G500" s="24"/>
      <c r="H500" s="24"/>
      <c r="I500" s="24"/>
      <c r="J500" s="24"/>
      <c r="K500" s="24" t="n">
        <v>0</v>
      </c>
      <c r="L500" s="24" t="str">
        <f aca="false">IF(J500&lt;&gt;"","Enrolled",IF(I500&lt;&gt;"","Admitted",IF(H500&lt;&gt;"","Applied",IF(G500&lt;&gt;"","Contacted","New"))))</f>
        <v>New</v>
      </c>
      <c r="M500" s="32" t="str">
        <f aca="false">IF(G500="","",G500-B500)</f>
        <v/>
      </c>
      <c r="N500" s="24" t="str">
        <f aca="false">IF(COUNTIF($A$2:A500,A500)&gt;1,"Duplicate ID",IF(C500="","Missing source",IF(OR(AND(G500&lt;&gt;"",G500&lt;B500),AND(H500&lt;&gt;"",H500&lt;B500),AND(I500&lt;&gt;"",I500&lt;H500),AND(J500&lt;&gt;"",J500&lt;I500)),"Date error","OK")))</f>
        <v>OK</v>
      </c>
    </row>
    <row r="501" customFormat="false" ht="15" hidden="false" customHeight="false" outlineLevel="0" collapsed="false">
      <c r="A501" s="24" t="s">
        <v>581</v>
      </c>
      <c r="B501" s="31" t="n">
        <v>46166</v>
      </c>
      <c r="C501" s="24" t="s">
        <v>23</v>
      </c>
      <c r="D501" s="24" t="s">
        <v>32</v>
      </c>
      <c r="E501" s="24" t="s">
        <v>79</v>
      </c>
      <c r="F501" s="24" t="s">
        <v>43</v>
      </c>
      <c r="G501" s="31" t="n">
        <v>46170</v>
      </c>
      <c r="H501" s="24"/>
      <c r="I501" s="24"/>
      <c r="J501" s="24"/>
      <c r="K501" s="24" t="n">
        <v>4</v>
      </c>
      <c r="L501" s="24" t="str">
        <f aca="false">IF(J501&lt;&gt;"","Enrolled",IF(I501&lt;&gt;"","Admitted",IF(H501&lt;&gt;"","Applied",IF(G501&lt;&gt;"","Contacted","New"))))</f>
        <v>Contacted</v>
      </c>
      <c r="M501" s="32" t="n">
        <f aca="false">IF(G501="","",G501-B501)</f>
        <v>4</v>
      </c>
      <c r="N501" s="24" t="str">
        <f aca="false">IF(COUNTIF($A$2:A501,A501)&gt;1,"Duplicate ID",IF(C501="","Missing source",IF(OR(AND(G501&lt;&gt;"",G501&lt;B501),AND(H501&lt;&gt;"",H501&lt;B501),AND(I501&lt;&gt;"",I501&lt;H501),AND(J501&lt;&gt;"",J501&lt;I501)),"Date error","OK")))</f>
        <v>OK</v>
      </c>
    </row>
    <row r="502" customFormat="false" ht="15" hidden="false" customHeight="false" outlineLevel="0" collapsed="false">
      <c r="A502" s="24" t="s">
        <v>582</v>
      </c>
      <c r="B502" s="31" t="n">
        <v>46166</v>
      </c>
      <c r="C502" s="24" t="s">
        <v>26</v>
      </c>
      <c r="D502" s="24" t="s">
        <v>35</v>
      </c>
      <c r="E502" s="24" t="s">
        <v>81</v>
      </c>
      <c r="F502" s="24" t="s">
        <v>43</v>
      </c>
      <c r="G502" s="24"/>
      <c r="H502" s="24"/>
      <c r="I502" s="24"/>
      <c r="J502" s="24"/>
      <c r="K502" s="24" t="n">
        <v>0</v>
      </c>
      <c r="L502" s="24" t="str">
        <f aca="false">IF(J502&lt;&gt;"","Enrolled",IF(I502&lt;&gt;"","Admitted",IF(H502&lt;&gt;"","Applied",IF(G502&lt;&gt;"","Contacted","New"))))</f>
        <v>New</v>
      </c>
      <c r="M502" s="32" t="str">
        <f aca="false">IF(G502="","",G502-B502)</f>
        <v/>
      </c>
      <c r="N502" s="24" t="str">
        <f aca="false">IF(COUNTIF($A$2:A502,A502)&gt;1,"Duplicate ID",IF(C502="","Missing source",IF(OR(AND(G502&lt;&gt;"",G502&lt;B502),AND(H502&lt;&gt;"",H502&lt;B502),AND(I502&lt;&gt;"",I502&lt;H502),AND(J502&lt;&gt;"",J502&lt;I502)),"Date error","OK")))</f>
        <v>OK</v>
      </c>
    </row>
    <row r="503" customFormat="false" ht="15" hidden="false" customHeight="false" outlineLevel="0" collapsed="false">
      <c r="A503" s="24" t="s">
        <v>583</v>
      </c>
      <c r="B503" s="31" t="n">
        <v>46166</v>
      </c>
      <c r="C503" s="24" t="s">
        <v>25</v>
      </c>
      <c r="D503" s="24" t="s">
        <v>36</v>
      </c>
      <c r="E503" s="24" t="s">
        <v>94</v>
      </c>
      <c r="F503" s="24" t="s">
        <v>43</v>
      </c>
      <c r="G503" s="31" t="n">
        <v>46166</v>
      </c>
      <c r="H503" s="24"/>
      <c r="I503" s="24"/>
      <c r="J503" s="24"/>
      <c r="K503" s="24" t="n">
        <v>1</v>
      </c>
      <c r="L503" s="24" t="str">
        <f aca="false">IF(J503&lt;&gt;"","Enrolled",IF(I503&lt;&gt;"","Admitted",IF(H503&lt;&gt;"","Applied",IF(G503&lt;&gt;"","Contacted","New"))))</f>
        <v>Contacted</v>
      </c>
      <c r="M503" s="32" t="n">
        <f aca="false">IF(G503="","",G503-B503)</f>
        <v>0</v>
      </c>
      <c r="N503" s="24" t="str">
        <f aca="false">IF(COUNTIF($A$2:A503,A503)&gt;1,"Duplicate ID",IF(C503="","Missing source",IF(OR(AND(G503&lt;&gt;"",G503&lt;B503),AND(H503&lt;&gt;"",H503&lt;B503),AND(I503&lt;&gt;"",I503&lt;H503),AND(J503&lt;&gt;"",J503&lt;I503)),"Date error","OK")))</f>
        <v>OK</v>
      </c>
    </row>
    <row r="504" customFormat="false" ht="15" hidden="false" customHeight="false" outlineLevel="0" collapsed="false">
      <c r="A504" s="24" t="s">
        <v>584</v>
      </c>
      <c r="B504" s="31" t="n">
        <v>46166</v>
      </c>
      <c r="C504" s="24" t="s">
        <v>25</v>
      </c>
      <c r="D504" s="24" t="s">
        <v>33</v>
      </c>
      <c r="E504" s="24" t="s">
        <v>84</v>
      </c>
      <c r="F504" s="24" t="s">
        <v>45</v>
      </c>
      <c r="G504" s="31" t="n">
        <v>46166</v>
      </c>
      <c r="H504" s="24"/>
      <c r="I504" s="24"/>
      <c r="J504" s="24"/>
      <c r="K504" s="24" t="n">
        <v>3</v>
      </c>
      <c r="L504" s="24" t="str">
        <f aca="false">IF(J504&lt;&gt;"","Enrolled",IF(I504&lt;&gt;"","Admitted",IF(H504&lt;&gt;"","Applied",IF(G504&lt;&gt;"","Contacted","New"))))</f>
        <v>Contacted</v>
      </c>
      <c r="M504" s="32" t="n">
        <f aca="false">IF(G504="","",G504-B504)</f>
        <v>0</v>
      </c>
      <c r="N504" s="24" t="str">
        <f aca="false">IF(COUNTIF($A$2:A504,A504)&gt;1,"Duplicate ID",IF(C504="","Missing source",IF(OR(AND(G504&lt;&gt;"",G504&lt;B504),AND(H504&lt;&gt;"",H504&lt;B504),AND(I504&lt;&gt;"",I504&lt;H504),AND(J504&lt;&gt;"",J504&lt;I504)),"Date error","OK")))</f>
        <v>OK</v>
      </c>
    </row>
    <row r="505" customFormat="false" ht="15" hidden="false" customHeight="false" outlineLevel="0" collapsed="false">
      <c r="A505" s="24" t="s">
        <v>585</v>
      </c>
      <c r="B505" s="31" t="n">
        <v>46166</v>
      </c>
      <c r="C505" s="24" t="s">
        <v>26</v>
      </c>
      <c r="D505" s="24" t="s">
        <v>34</v>
      </c>
      <c r="E505" s="24" t="s">
        <v>94</v>
      </c>
      <c r="F505" s="24" t="s">
        <v>45</v>
      </c>
      <c r="G505" s="31" t="n">
        <v>46166</v>
      </c>
      <c r="H505" s="31" t="n">
        <v>46181</v>
      </c>
      <c r="I505" s="31" t="n">
        <v>46190</v>
      </c>
      <c r="J505" s="24"/>
      <c r="K505" s="24" t="n">
        <v>3</v>
      </c>
      <c r="L505" s="24" t="str">
        <f aca="false">IF(J505&lt;&gt;"","Enrolled",IF(I505&lt;&gt;"","Admitted",IF(H505&lt;&gt;"","Applied",IF(G505&lt;&gt;"","Contacted","New"))))</f>
        <v>Admitted</v>
      </c>
      <c r="M505" s="32" t="n">
        <f aca="false">IF(G505="","",G505-B505)</f>
        <v>0</v>
      </c>
      <c r="N505" s="24" t="str">
        <f aca="false">IF(COUNTIF($A$2:A505,A505)&gt;1,"Duplicate ID",IF(C505="","Missing source",IF(OR(AND(G505&lt;&gt;"",G505&lt;B505),AND(H505&lt;&gt;"",H505&lt;B505),AND(I505&lt;&gt;"",I505&lt;H505),AND(J505&lt;&gt;"",J505&lt;I505)),"Date error","OK")))</f>
        <v>OK</v>
      </c>
    </row>
    <row r="506" customFormat="false" ht="15" hidden="false" customHeight="false" outlineLevel="0" collapsed="false">
      <c r="A506" s="24" t="s">
        <v>586</v>
      </c>
      <c r="B506" s="31" t="n">
        <v>46166</v>
      </c>
      <c r="C506" s="24" t="s">
        <v>27</v>
      </c>
      <c r="D506" s="24" t="s">
        <v>34</v>
      </c>
      <c r="E506" s="24" t="s">
        <v>81</v>
      </c>
      <c r="F506" s="24" t="s">
        <v>43</v>
      </c>
      <c r="G506" s="31" t="n">
        <v>46171</v>
      </c>
      <c r="H506" s="24"/>
      <c r="I506" s="24"/>
      <c r="J506" s="24"/>
      <c r="K506" s="24" t="n">
        <v>1</v>
      </c>
      <c r="L506" s="24" t="str">
        <f aca="false">IF(J506&lt;&gt;"","Enrolled",IF(I506&lt;&gt;"","Admitted",IF(H506&lt;&gt;"","Applied",IF(G506&lt;&gt;"","Contacted","New"))))</f>
        <v>Contacted</v>
      </c>
      <c r="M506" s="32" t="n">
        <f aca="false">IF(G506="","",G506-B506)</f>
        <v>5</v>
      </c>
      <c r="N506" s="24" t="str">
        <f aca="false">IF(COUNTIF($A$2:A506,A506)&gt;1,"Duplicate ID",IF(C506="","Missing source",IF(OR(AND(G506&lt;&gt;"",G506&lt;B506),AND(H506&lt;&gt;"",H506&lt;B506),AND(I506&lt;&gt;"",I506&lt;H506),AND(J506&lt;&gt;"",J506&lt;I506)),"Date error","OK")))</f>
        <v>OK</v>
      </c>
    </row>
    <row r="507" customFormat="false" ht="15" hidden="false" customHeight="false" outlineLevel="0" collapsed="false">
      <c r="A507" s="24" t="s">
        <v>587</v>
      </c>
      <c r="B507" s="31" t="n">
        <v>46166</v>
      </c>
      <c r="C507" s="24" t="s">
        <v>24</v>
      </c>
      <c r="D507" s="24" t="s">
        <v>33</v>
      </c>
      <c r="E507" s="24" t="s">
        <v>81</v>
      </c>
      <c r="F507" s="24" t="s">
        <v>45</v>
      </c>
      <c r="G507" s="31" t="n">
        <v>46168</v>
      </c>
      <c r="H507" s="31" t="n">
        <v>46186</v>
      </c>
      <c r="I507" s="31" t="n">
        <v>46200</v>
      </c>
      <c r="J507" s="24"/>
      <c r="K507" s="24" t="n">
        <v>3</v>
      </c>
      <c r="L507" s="24" t="str">
        <f aca="false">IF(J507&lt;&gt;"","Enrolled",IF(I507&lt;&gt;"","Admitted",IF(H507&lt;&gt;"","Applied",IF(G507&lt;&gt;"","Contacted","New"))))</f>
        <v>Admitted</v>
      </c>
      <c r="M507" s="32" t="n">
        <f aca="false">IF(G507="","",G507-B507)</f>
        <v>2</v>
      </c>
      <c r="N507" s="24" t="str">
        <f aca="false">IF(COUNTIF($A$2:A507,A507)&gt;1,"Duplicate ID",IF(C507="","Missing source",IF(OR(AND(G507&lt;&gt;"",G507&lt;B507),AND(H507&lt;&gt;"",H507&lt;B507),AND(I507&lt;&gt;"",I507&lt;H507),AND(J507&lt;&gt;"",J507&lt;I507)),"Date error","OK")))</f>
        <v>OK</v>
      </c>
    </row>
    <row r="508" customFormat="false" ht="15" hidden="false" customHeight="false" outlineLevel="0" collapsed="false">
      <c r="A508" s="24" t="s">
        <v>588</v>
      </c>
      <c r="B508" s="31" t="n">
        <v>46166</v>
      </c>
      <c r="C508" s="24" t="s">
        <v>24</v>
      </c>
      <c r="D508" s="24" t="s">
        <v>36</v>
      </c>
      <c r="E508" s="24" t="s">
        <v>94</v>
      </c>
      <c r="F508" s="24" t="s">
        <v>41</v>
      </c>
      <c r="G508" s="31" t="n">
        <v>46168</v>
      </c>
      <c r="H508" s="24"/>
      <c r="I508" s="24"/>
      <c r="J508" s="24"/>
      <c r="K508" s="24" t="n">
        <v>2</v>
      </c>
      <c r="L508" s="24" t="str">
        <f aca="false">IF(J508&lt;&gt;"","Enrolled",IF(I508&lt;&gt;"","Admitted",IF(H508&lt;&gt;"","Applied",IF(G508&lt;&gt;"","Contacted","New"))))</f>
        <v>Contacted</v>
      </c>
      <c r="M508" s="32" t="n">
        <f aca="false">IF(G508="","",G508-B508)</f>
        <v>2</v>
      </c>
      <c r="N508" s="24" t="str">
        <f aca="false">IF(COUNTIF($A$2:A508,A508)&gt;1,"Duplicate ID",IF(C508="","Missing source",IF(OR(AND(G508&lt;&gt;"",G508&lt;B508),AND(H508&lt;&gt;"",H508&lt;B508),AND(I508&lt;&gt;"",I508&lt;H508),AND(J508&lt;&gt;"",J508&lt;I508)),"Date error","OK")))</f>
        <v>OK</v>
      </c>
    </row>
    <row r="509" customFormat="false" ht="15" hidden="false" customHeight="false" outlineLevel="0" collapsed="false">
      <c r="A509" s="24" t="s">
        <v>589</v>
      </c>
      <c r="B509" s="31" t="n">
        <v>46166</v>
      </c>
      <c r="C509" s="24" t="s">
        <v>26</v>
      </c>
      <c r="D509" s="24" t="s">
        <v>36</v>
      </c>
      <c r="E509" s="24" t="s">
        <v>79</v>
      </c>
      <c r="F509" s="24" t="s">
        <v>44</v>
      </c>
      <c r="G509" s="31" t="n">
        <v>46174</v>
      </c>
      <c r="H509" s="31" t="n">
        <v>46194</v>
      </c>
      <c r="I509" s="31" t="n">
        <v>46203</v>
      </c>
      <c r="J509" s="24"/>
      <c r="K509" s="24" t="n">
        <v>2</v>
      </c>
      <c r="L509" s="24" t="str">
        <f aca="false">IF(J509&lt;&gt;"","Enrolled",IF(I509&lt;&gt;"","Admitted",IF(H509&lt;&gt;"","Applied",IF(G509&lt;&gt;"","Contacted","New"))))</f>
        <v>Admitted</v>
      </c>
      <c r="M509" s="32" t="n">
        <f aca="false">IF(G509="","",G509-B509)</f>
        <v>8</v>
      </c>
      <c r="N509" s="24" t="str">
        <f aca="false">IF(COUNTIF($A$2:A509,A509)&gt;1,"Duplicate ID",IF(C509="","Missing source",IF(OR(AND(G509&lt;&gt;"",G509&lt;B509),AND(H509&lt;&gt;"",H509&lt;B509),AND(I509&lt;&gt;"",I509&lt;H509),AND(J509&lt;&gt;"",J509&lt;I509)),"Date error","OK")))</f>
        <v>OK</v>
      </c>
    </row>
    <row r="510" customFormat="false" ht="15" hidden="false" customHeight="false" outlineLevel="0" collapsed="false">
      <c r="A510" s="24" t="s">
        <v>590</v>
      </c>
      <c r="B510" s="31" t="n">
        <v>46167</v>
      </c>
      <c r="C510" s="24" t="s">
        <v>25</v>
      </c>
      <c r="D510" s="24" t="s">
        <v>36</v>
      </c>
      <c r="E510" s="24" t="s">
        <v>94</v>
      </c>
      <c r="F510" s="24" t="s">
        <v>43</v>
      </c>
      <c r="G510" s="31" t="n">
        <v>46169</v>
      </c>
      <c r="H510" s="31" t="n">
        <v>46186</v>
      </c>
      <c r="I510" s="31" t="n">
        <v>46196</v>
      </c>
      <c r="J510" s="31" t="n">
        <v>46231</v>
      </c>
      <c r="K510" s="24" t="n">
        <v>1</v>
      </c>
      <c r="L510" s="24" t="str">
        <f aca="false">IF(J510&lt;&gt;"","Enrolled",IF(I510&lt;&gt;"","Admitted",IF(H510&lt;&gt;"","Applied",IF(G510&lt;&gt;"","Contacted","New"))))</f>
        <v>Enrolled</v>
      </c>
      <c r="M510" s="32" t="n">
        <f aca="false">IF(G510="","",G510-B510)</f>
        <v>2</v>
      </c>
      <c r="N510" s="24" t="str">
        <f aca="false">IF(COUNTIF($A$2:A510,A510)&gt;1,"Duplicate ID",IF(C510="","Missing source",IF(OR(AND(G510&lt;&gt;"",G510&lt;B510),AND(H510&lt;&gt;"",H510&lt;B510),AND(I510&lt;&gt;"",I510&lt;H510),AND(J510&lt;&gt;"",J510&lt;I510)),"Date error","OK")))</f>
        <v>OK</v>
      </c>
    </row>
    <row r="511" customFormat="false" ht="15" hidden="false" customHeight="false" outlineLevel="0" collapsed="false">
      <c r="A511" s="24" t="s">
        <v>591</v>
      </c>
      <c r="B511" s="31" t="n">
        <v>46167</v>
      </c>
      <c r="C511" s="24" t="s">
        <v>26</v>
      </c>
      <c r="D511" s="24" t="s">
        <v>33</v>
      </c>
      <c r="E511" s="24" t="s">
        <v>94</v>
      </c>
      <c r="F511" s="24" t="s">
        <v>42</v>
      </c>
      <c r="G511" s="31" t="n">
        <v>46168</v>
      </c>
      <c r="H511" s="31" t="n">
        <v>46176</v>
      </c>
      <c r="I511" s="31" t="n">
        <v>46182</v>
      </c>
      <c r="J511" s="31" t="n">
        <v>46209</v>
      </c>
      <c r="K511" s="24" t="n">
        <v>2</v>
      </c>
      <c r="L511" s="24" t="str">
        <f aca="false">IF(J511&lt;&gt;"","Enrolled",IF(I511&lt;&gt;"","Admitted",IF(H511&lt;&gt;"","Applied",IF(G511&lt;&gt;"","Contacted","New"))))</f>
        <v>Enrolled</v>
      </c>
      <c r="M511" s="32" t="n">
        <f aca="false">IF(G511="","",G511-B511)</f>
        <v>1</v>
      </c>
      <c r="N511" s="24" t="str">
        <f aca="false">IF(COUNTIF($A$2:A511,A511)&gt;1,"Duplicate ID",IF(C511="","Missing source",IF(OR(AND(G511&lt;&gt;"",G511&lt;B511),AND(H511&lt;&gt;"",H511&lt;B511),AND(I511&lt;&gt;"",I511&lt;H511),AND(J511&lt;&gt;"",J511&lt;I511)),"Date error","OK")))</f>
        <v>OK</v>
      </c>
    </row>
    <row r="512" customFormat="false" ht="15" hidden="false" customHeight="false" outlineLevel="0" collapsed="false">
      <c r="A512" s="24" t="s">
        <v>592</v>
      </c>
      <c r="B512" s="31" t="n">
        <v>46167</v>
      </c>
      <c r="C512" s="24" t="s">
        <v>22</v>
      </c>
      <c r="D512" s="24" t="s">
        <v>36</v>
      </c>
      <c r="E512" s="24" t="s">
        <v>89</v>
      </c>
      <c r="F512" s="24" t="s">
        <v>42</v>
      </c>
      <c r="G512" s="31" t="n">
        <v>46168</v>
      </c>
      <c r="H512" s="24"/>
      <c r="I512" s="24"/>
      <c r="J512" s="24"/>
      <c r="K512" s="24" t="n">
        <v>1</v>
      </c>
      <c r="L512" s="24" t="str">
        <f aca="false">IF(J512&lt;&gt;"","Enrolled",IF(I512&lt;&gt;"","Admitted",IF(H512&lt;&gt;"","Applied",IF(G512&lt;&gt;"","Contacted","New"))))</f>
        <v>Contacted</v>
      </c>
      <c r="M512" s="32" t="n">
        <f aca="false">IF(G512="","",G512-B512)</f>
        <v>1</v>
      </c>
      <c r="N512" s="24" t="str">
        <f aca="false">IF(COUNTIF($A$2:A512,A512)&gt;1,"Duplicate ID",IF(C512="","Missing source",IF(OR(AND(G512&lt;&gt;"",G512&lt;B512),AND(H512&lt;&gt;"",H512&lt;B512),AND(I512&lt;&gt;"",I512&lt;H512),AND(J512&lt;&gt;"",J512&lt;I512)),"Date error","OK")))</f>
        <v>OK</v>
      </c>
    </row>
    <row r="513" customFormat="false" ht="15" hidden="false" customHeight="false" outlineLevel="0" collapsed="false">
      <c r="A513" s="24" t="s">
        <v>593</v>
      </c>
      <c r="B513" s="31" t="n">
        <v>46167</v>
      </c>
      <c r="C513" s="24" t="s">
        <v>27</v>
      </c>
      <c r="D513" s="24" t="s">
        <v>35</v>
      </c>
      <c r="E513" s="24" t="s">
        <v>89</v>
      </c>
      <c r="F513" s="24" t="s">
        <v>40</v>
      </c>
      <c r="G513" s="31" t="n">
        <v>46167</v>
      </c>
      <c r="H513" s="31" t="n">
        <v>46174</v>
      </c>
      <c r="I513" s="24"/>
      <c r="J513" s="24"/>
      <c r="K513" s="24" t="n">
        <v>3</v>
      </c>
      <c r="L513" s="24" t="str">
        <f aca="false">IF(J513&lt;&gt;"","Enrolled",IF(I513&lt;&gt;"","Admitted",IF(H513&lt;&gt;"","Applied",IF(G513&lt;&gt;"","Contacted","New"))))</f>
        <v>Applied</v>
      </c>
      <c r="M513" s="32" t="n">
        <f aca="false">IF(G513="","",G513-B513)</f>
        <v>0</v>
      </c>
      <c r="N513" s="24" t="str">
        <f aca="false">IF(COUNTIF($A$2:A513,A513)&gt;1,"Duplicate ID",IF(C513="","Missing source",IF(OR(AND(G513&lt;&gt;"",G513&lt;B513),AND(H513&lt;&gt;"",H513&lt;B513),AND(I513&lt;&gt;"",I513&lt;H513),AND(J513&lt;&gt;"",J513&lt;I513)),"Date error","OK")))</f>
        <v>OK</v>
      </c>
    </row>
    <row r="514" customFormat="false" ht="15" hidden="false" customHeight="false" outlineLevel="0" collapsed="false">
      <c r="A514" s="24" t="s">
        <v>594</v>
      </c>
      <c r="B514" s="31" t="n">
        <v>46167</v>
      </c>
      <c r="C514" s="24" t="s">
        <v>25</v>
      </c>
      <c r="D514" s="24" t="s">
        <v>36</v>
      </c>
      <c r="E514" s="24" t="s">
        <v>81</v>
      </c>
      <c r="F514" s="24" t="s">
        <v>42</v>
      </c>
      <c r="G514" s="31" t="n">
        <v>46169</v>
      </c>
      <c r="H514" s="24"/>
      <c r="I514" s="24"/>
      <c r="J514" s="24"/>
      <c r="K514" s="24" t="n">
        <v>3</v>
      </c>
      <c r="L514" s="24" t="str">
        <f aca="false">IF(J514&lt;&gt;"","Enrolled",IF(I514&lt;&gt;"","Admitted",IF(H514&lt;&gt;"","Applied",IF(G514&lt;&gt;"","Contacted","New"))))</f>
        <v>Contacted</v>
      </c>
      <c r="M514" s="32" t="n">
        <f aca="false">IF(G514="","",G514-B514)</f>
        <v>2</v>
      </c>
      <c r="N514" s="24" t="str">
        <f aca="false">IF(COUNTIF($A$2:A514,A514)&gt;1,"Duplicate ID",IF(C514="","Missing source",IF(OR(AND(G514&lt;&gt;"",G514&lt;B514),AND(H514&lt;&gt;"",H514&lt;B514),AND(I514&lt;&gt;"",I514&lt;H514),AND(J514&lt;&gt;"",J514&lt;I514)),"Date error","OK")))</f>
        <v>OK</v>
      </c>
    </row>
    <row r="515" customFormat="false" ht="15" hidden="false" customHeight="false" outlineLevel="0" collapsed="false">
      <c r="A515" s="24" t="s">
        <v>595</v>
      </c>
      <c r="B515" s="31" t="n">
        <v>46167</v>
      </c>
      <c r="C515" s="24" t="s">
        <v>24</v>
      </c>
      <c r="D515" s="24" t="s">
        <v>33</v>
      </c>
      <c r="E515" s="24" t="s">
        <v>94</v>
      </c>
      <c r="F515" s="24" t="s">
        <v>41</v>
      </c>
      <c r="G515" s="31" t="n">
        <v>46167</v>
      </c>
      <c r="H515" s="31" t="n">
        <v>46191</v>
      </c>
      <c r="I515" s="31" t="n">
        <v>46196</v>
      </c>
      <c r="J515" s="31" t="n">
        <v>46220</v>
      </c>
      <c r="K515" s="24" t="n">
        <v>2</v>
      </c>
      <c r="L515" s="24" t="str">
        <f aca="false">IF(J515&lt;&gt;"","Enrolled",IF(I515&lt;&gt;"","Admitted",IF(H515&lt;&gt;"","Applied",IF(G515&lt;&gt;"","Contacted","New"))))</f>
        <v>Enrolled</v>
      </c>
      <c r="M515" s="32" t="n">
        <f aca="false">IF(G515="","",G515-B515)</f>
        <v>0</v>
      </c>
      <c r="N515" s="24" t="str">
        <f aca="false">IF(COUNTIF($A$2:A515,A515)&gt;1,"Duplicate ID",IF(C515="","Missing source",IF(OR(AND(G515&lt;&gt;"",G515&lt;B515),AND(H515&lt;&gt;"",H515&lt;B515),AND(I515&lt;&gt;"",I515&lt;H515),AND(J515&lt;&gt;"",J515&lt;I515)),"Date error","OK")))</f>
        <v>OK</v>
      </c>
    </row>
    <row r="516" customFormat="false" ht="15" hidden="false" customHeight="false" outlineLevel="0" collapsed="false">
      <c r="A516" s="24" t="s">
        <v>596</v>
      </c>
      <c r="B516" s="31" t="n">
        <v>46167</v>
      </c>
      <c r="C516" s="24" t="s">
        <v>23</v>
      </c>
      <c r="D516" s="24" t="s">
        <v>36</v>
      </c>
      <c r="E516" s="24" t="s">
        <v>84</v>
      </c>
      <c r="F516" s="24" t="s">
        <v>44</v>
      </c>
      <c r="G516" s="31" t="n">
        <v>46170</v>
      </c>
      <c r="H516" s="24"/>
      <c r="I516" s="24"/>
      <c r="J516" s="24"/>
      <c r="K516" s="24" t="n">
        <v>1</v>
      </c>
      <c r="L516" s="24" t="str">
        <f aca="false">IF(J516&lt;&gt;"","Enrolled",IF(I516&lt;&gt;"","Admitted",IF(H516&lt;&gt;"","Applied",IF(G516&lt;&gt;"","Contacted","New"))))</f>
        <v>Contacted</v>
      </c>
      <c r="M516" s="32" t="n">
        <f aca="false">IF(G516="","",G516-B516)</f>
        <v>3</v>
      </c>
      <c r="N516" s="24" t="str">
        <f aca="false">IF(COUNTIF($A$2:A516,A516)&gt;1,"Duplicate ID",IF(C516="","Missing source",IF(OR(AND(G516&lt;&gt;"",G516&lt;B516),AND(H516&lt;&gt;"",H516&lt;B516),AND(I516&lt;&gt;"",I516&lt;H516),AND(J516&lt;&gt;"",J516&lt;I516)),"Date error","OK")))</f>
        <v>OK</v>
      </c>
    </row>
    <row r="517" customFormat="false" ht="15" hidden="false" customHeight="false" outlineLevel="0" collapsed="false">
      <c r="A517" s="24" t="s">
        <v>597</v>
      </c>
      <c r="B517" s="31" t="n">
        <v>46168</v>
      </c>
      <c r="C517" s="24" t="s">
        <v>25</v>
      </c>
      <c r="D517" s="24" t="s">
        <v>36</v>
      </c>
      <c r="E517" s="24" t="s">
        <v>89</v>
      </c>
      <c r="F517" s="24" t="s">
        <v>43</v>
      </c>
      <c r="G517" s="31" t="n">
        <v>46170</v>
      </c>
      <c r="H517" s="24"/>
      <c r="I517" s="24"/>
      <c r="J517" s="24"/>
      <c r="K517" s="24" t="n">
        <v>0</v>
      </c>
      <c r="L517" s="24" t="str">
        <f aca="false">IF(J517&lt;&gt;"","Enrolled",IF(I517&lt;&gt;"","Admitted",IF(H517&lt;&gt;"","Applied",IF(G517&lt;&gt;"","Contacted","New"))))</f>
        <v>Contacted</v>
      </c>
      <c r="M517" s="32" t="n">
        <f aca="false">IF(G517="","",G517-B517)</f>
        <v>2</v>
      </c>
      <c r="N517" s="24" t="str">
        <f aca="false">IF(COUNTIF($A$2:A517,A517)&gt;1,"Duplicate ID",IF(C517="","Missing source",IF(OR(AND(G517&lt;&gt;"",G517&lt;B517),AND(H517&lt;&gt;"",H517&lt;B517),AND(I517&lt;&gt;"",I517&lt;H517),AND(J517&lt;&gt;"",J517&lt;I517)),"Date error","OK")))</f>
        <v>OK</v>
      </c>
    </row>
    <row r="518" customFormat="false" ht="15" hidden="false" customHeight="false" outlineLevel="0" collapsed="false">
      <c r="A518" s="24" t="s">
        <v>598</v>
      </c>
      <c r="B518" s="31" t="n">
        <v>46168</v>
      </c>
      <c r="C518" s="24" t="s">
        <v>23</v>
      </c>
      <c r="D518" s="24" t="s">
        <v>35</v>
      </c>
      <c r="E518" s="24" t="s">
        <v>79</v>
      </c>
      <c r="F518" s="24" t="s">
        <v>41</v>
      </c>
      <c r="G518" s="31" t="n">
        <v>46172</v>
      </c>
      <c r="H518" s="24"/>
      <c r="I518" s="24"/>
      <c r="J518" s="24"/>
      <c r="K518" s="24" t="n">
        <v>4</v>
      </c>
      <c r="L518" s="24" t="str">
        <f aca="false">IF(J518&lt;&gt;"","Enrolled",IF(I518&lt;&gt;"","Admitted",IF(H518&lt;&gt;"","Applied",IF(G518&lt;&gt;"","Contacted","New"))))</f>
        <v>Contacted</v>
      </c>
      <c r="M518" s="32" t="n">
        <f aca="false">IF(G518="","",G518-B518)</f>
        <v>4</v>
      </c>
      <c r="N518" s="24" t="str">
        <f aca="false">IF(COUNTIF($A$2:A518,A518)&gt;1,"Duplicate ID",IF(C518="","Missing source",IF(OR(AND(G518&lt;&gt;"",G518&lt;B518),AND(H518&lt;&gt;"",H518&lt;B518),AND(I518&lt;&gt;"",I518&lt;H518),AND(J518&lt;&gt;"",J518&lt;I518)),"Date error","OK")))</f>
        <v>OK</v>
      </c>
    </row>
    <row r="519" customFormat="false" ht="15" hidden="false" customHeight="false" outlineLevel="0" collapsed="false">
      <c r="A519" s="24" t="s">
        <v>599</v>
      </c>
      <c r="B519" s="31" t="n">
        <v>46168</v>
      </c>
      <c r="C519" s="24" t="s">
        <v>27</v>
      </c>
      <c r="D519" s="24" t="s">
        <v>35</v>
      </c>
      <c r="E519" s="24" t="s">
        <v>89</v>
      </c>
      <c r="F519" s="24" t="s">
        <v>43</v>
      </c>
      <c r="G519" s="31" t="n">
        <v>46168</v>
      </c>
      <c r="H519" s="24"/>
      <c r="I519" s="24"/>
      <c r="J519" s="24"/>
      <c r="K519" s="24" t="n">
        <v>3</v>
      </c>
      <c r="L519" s="24" t="str">
        <f aca="false">IF(J519&lt;&gt;"","Enrolled",IF(I519&lt;&gt;"","Admitted",IF(H519&lt;&gt;"","Applied",IF(G519&lt;&gt;"","Contacted","New"))))</f>
        <v>Contacted</v>
      </c>
      <c r="M519" s="32" t="n">
        <f aca="false">IF(G519="","",G519-B519)</f>
        <v>0</v>
      </c>
      <c r="N519" s="24" t="str">
        <f aca="false">IF(COUNTIF($A$2:A519,A519)&gt;1,"Duplicate ID",IF(C519="","Missing source",IF(OR(AND(G519&lt;&gt;"",G519&lt;B519),AND(H519&lt;&gt;"",H519&lt;B519),AND(I519&lt;&gt;"",I519&lt;H519),AND(J519&lt;&gt;"",J519&lt;I519)),"Date error","OK")))</f>
        <v>OK</v>
      </c>
    </row>
    <row r="520" customFormat="false" ht="15" hidden="false" customHeight="false" outlineLevel="0" collapsed="false">
      <c r="A520" s="24" t="s">
        <v>600</v>
      </c>
      <c r="B520" s="31" t="n">
        <v>46168</v>
      </c>
      <c r="C520" s="24" t="s">
        <v>27</v>
      </c>
      <c r="D520" s="24" t="s">
        <v>36</v>
      </c>
      <c r="E520" s="24" t="s">
        <v>94</v>
      </c>
      <c r="F520" s="24" t="s">
        <v>43</v>
      </c>
      <c r="G520" s="31" t="n">
        <v>46169</v>
      </c>
      <c r="H520" s="24"/>
      <c r="I520" s="24"/>
      <c r="J520" s="24"/>
      <c r="K520" s="24" t="n">
        <v>2</v>
      </c>
      <c r="L520" s="24" t="str">
        <f aca="false">IF(J520&lt;&gt;"","Enrolled",IF(I520&lt;&gt;"","Admitted",IF(H520&lt;&gt;"","Applied",IF(G520&lt;&gt;"","Contacted","New"))))</f>
        <v>Contacted</v>
      </c>
      <c r="M520" s="32" t="n">
        <f aca="false">IF(G520="","",G520-B520)</f>
        <v>1</v>
      </c>
      <c r="N520" s="24" t="str">
        <f aca="false">IF(COUNTIF($A$2:A520,A520)&gt;1,"Duplicate ID",IF(C520="","Missing source",IF(OR(AND(G520&lt;&gt;"",G520&lt;B520),AND(H520&lt;&gt;"",H520&lt;B520),AND(I520&lt;&gt;"",I520&lt;H520),AND(J520&lt;&gt;"",J520&lt;I520)),"Date error","OK")))</f>
        <v>OK</v>
      </c>
    </row>
    <row r="521" customFormat="false" ht="15" hidden="false" customHeight="false" outlineLevel="0" collapsed="false">
      <c r="A521" s="24" t="s">
        <v>600</v>
      </c>
      <c r="B521" s="31" t="n">
        <v>46168</v>
      </c>
      <c r="C521" s="24" t="s">
        <v>27</v>
      </c>
      <c r="D521" s="24" t="s">
        <v>36</v>
      </c>
      <c r="E521" s="24" t="s">
        <v>94</v>
      </c>
      <c r="F521" s="24" t="s">
        <v>43</v>
      </c>
      <c r="G521" s="31" t="n">
        <v>46169</v>
      </c>
      <c r="H521" s="24"/>
      <c r="I521" s="24"/>
      <c r="J521" s="24"/>
      <c r="K521" s="24" t="n">
        <v>2</v>
      </c>
      <c r="L521" s="24" t="str">
        <f aca="false">IF(J521&lt;&gt;"","Enrolled",IF(I521&lt;&gt;"","Admitted",IF(H521&lt;&gt;"","Applied",IF(G521&lt;&gt;"","Contacted","New"))))</f>
        <v>Contacted</v>
      </c>
      <c r="M521" s="32" t="n">
        <f aca="false">IF(G521="","",G521-B521)</f>
        <v>1</v>
      </c>
      <c r="N521" s="24" t="str">
        <f aca="false">IF(COUNTIF($A$2:A521,A521)&gt;1,"Duplicate ID",IF(C521="","Missing source",IF(OR(AND(G521&lt;&gt;"",G521&lt;B521),AND(H521&lt;&gt;"",H521&lt;B521),AND(I521&lt;&gt;"",I521&lt;H521),AND(J521&lt;&gt;"",J521&lt;I521)),"Date error","OK")))</f>
        <v>Duplicate ID</v>
      </c>
    </row>
    <row r="522" customFormat="false" ht="15" hidden="false" customHeight="false" outlineLevel="0" collapsed="false">
      <c r="A522" s="24" t="s">
        <v>601</v>
      </c>
      <c r="B522" s="31" t="n">
        <v>46168</v>
      </c>
      <c r="C522" s="24" t="s">
        <v>27</v>
      </c>
      <c r="D522" s="24" t="s">
        <v>35</v>
      </c>
      <c r="E522" s="24" t="s">
        <v>89</v>
      </c>
      <c r="F522" s="24" t="s">
        <v>41</v>
      </c>
      <c r="G522" s="31" t="n">
        <v>46169</v>
      </c>
      <c r="H522" s="31" t="n">
        <v>46173</v>
      </c>
      <c r="I522" s="31" t="n">
        <v>46187</v>
      </c>
      <c r="J522" s="31" t="n">
        <v>46195</v>
      </c>
      <c r="K522" s="24" t="n">
        <v>2</v>
      </c>
      <c r="L522" s="24" t="str">
        <f aca="false">IF(J522&lt;&gt;"","Enrolled",IF(I522&lt;&gt;"","Admitted",IF(H522&lt;&gt;"","Applied",IF(G522&lt;&gt;"","Contacted","New"))))</f>
        <v>Enrolled</v>
      </c>
      <c r="M522" s="32" t="n">
        <f aca="false">IF(G522="","",G522-B522)</f>
        <v>1</v>
      </c>
      <c r="N522" s="24" t="str">
        <f aca="false">IF(COUNTIF($A$2:A522,A522)&gt;1,"Duplicate ID",IF(C522="","Missing source",IF(OR(AND(G522&lt;&gt;"",G522&lt;B522),AND(H522&lt;&gt;"",H522&lt;B522),AND(I522&lt;&gt;"",I522&lt;H522),AND(J522&lt;&gt;"",J522&lt;I522)),"Date error","OK")))</f>
        <v>OK</v>
      </c>
    </row>
    <row r="523" customFormat="false" ht="15" hidden="false" customHeight="false" outlineLevel="0" collapsed="false">
      <c r="A523" s="24" t="s">
        <v>602</v>
      </c>
      <c r="B523" s="31" t="n">
        <v>46168</v>
      </c>
      <c r="C523" s="24" t="s">
        <v>21</v>
      </c>
      <c r="D523" s="24" t="s">
        <v>35</v>
      </c>
      <c r="E523" s="24" t="s">
        <v>89</v>
      </c>
      <c r="F523" s="24" t="s">
        <v>42</v>
      </c>
      <c r="G523" s="31" t="n">
        <v>46170</v>
      </c>
      <c r="H523" s="24"/>
      <c r="I523" s="24"/>
      <c r="J523" s="24"/>
      <c r="K523" s="24" t="n">
        <v>3</v>
      </c>
      <c r="L523" s="24" t="str">
        <f aca="false">IF(J523&lt;&gt;"","Enrolled",IF(I523&lt;&gt;"","Admitted",IF(H523&lt;&gt;"","Applied",IF(G523&lt;&gt;"","Contacted","New"))))</f>
        <v>Contacted</v>
      </c>
      <c r="M523" s="32" t="n">
        <f aca="false">IF(G523="","",G523-B523)</f>
        <v>2</v>
      </c>
      <c r="N523" s="24" t="str">
        <f aca="false">IF(COUNTIF($A$2:A523,A523)&gt;1,"Duplicate ID",IF(C523="","Missing source",IF(OR(AND(G523&lt;&gt;"",G523&lt;B523),AND(H523&lt;&gt;"",H523&lt;B523),AND(I523&lt;&gt;"",I523&lt;H523),AND(J523&lt;&gt;"",J523&lt;I523)),"Date error","OK")))</f>
        <v>OK</v>
      </c>
    </row>
    <row r="524" customFormat="false" ht="15" hidden="false" customHeight="false" outlineLevel="0" collapsed="false">
      <c r="A524" s="24" t="s">
        <v>603</v>
      </c>
      <c r="B524" s="31" t="n">
        <v>46168</v>
      </c>
      <c r="C524" s="24" t="s">
        <v>22</v>
      </c>
      <c r="D524" s="24" t="s">
        <v>36</v>
      </c>
      <c r="E524" s="24" t="s">
        <v>89</v>
      </c>
      <c r="F524" s="24" t="s">
        <v>43</v>
      </c>
      <c r="G524" s="31" t="n">
        <v>46169</v>
      </c>
      <c r="H524" s="24"/>
      <c r="I524" s="24"/>
      <c r="J524" s="24"/>
      <c r="K524" s="24" t="n">
        <v>2</v>
      </c>
      <c r="L524" s="24" t="str">
        <f aca="false">IF(J524&lt;&gt;"","Enrolled",IF(I524&lt;&gt;"","Admitted",IF(H524&lt;&gt;"","Applied",IF(G524&lt;&gt;"","Contacted","New"))))</f>
        <v>Contacted</v>
      </c>
      <c r="M524" s="32" t="n">
        <f aca="false">IF(G524="","",G524-B524)</f>
        <v>1</v>
      </c>
      <c r="N524" s="24" t="str">
        <f aca="false">IF(COUNTIF($A$2:A524,A524)&gt;1,"Duplicate ID",IF(C524="","Missing source",IF(OR(AND(G524&lt;&gt;"",G524&lt;B524),AND(H524&lt;&gt;"",H524&lt;B524),AND(I524&lt;&gt;"",I524&lt;H524),AND(J524&lt;&gt;"",J524&lt;I524)),"Date error","OK")))</f>
        <v>OK</v>
      </c>
    </row>
    <row r="525" customFormat="false" ht="15" hidden="false" customHeight="false" outlineLevel="0" collapsed="false">
      <c r="A525" s="24" t="s">
        <v>604</v>
      </c>
      <c r="B525" s="31" t="n">
        <v>46169</v>
      </c>
      <c r="C525" s="24" t="s">
        <v>24</v>
      </c>
      <c r="D525" s="24" t="s">
        <v>34</v>
      </c>
      <c r="E525" s="24" t="s">
        <v>89</v>
      </c>
      <c r="F525" s="24" t="s">
        <v>40</v>
      </c>
      <c r="G525" s="31" t="n">
        <v>46169</v>
      </c>
      <c r="H525" s="24"/>
      <c r="I525" s="24"/>
      <c r="J525" s="24"/>
      <c r="K525" s="24" t="n">
        <v>2</v>
      </c>
      <c r="L525" s="24" t="str">
        <f aca="false">IF(J525&lt;&gt;"","Enrolled",IF(I525&lt;&gt;"","Admitted",IF(H525&lt;&gt;"","Applied",IF(G525&lt;&gt;"","Contacted","New"))))</f>
        <v>Contacted</v>
      </c>
      <c r="M525" s="32" t="n">
        <f aca="false">IF(G525="","",G525-B525)</f>
        <v>0</v>
      </c>
      <c r="N525" s="24" t="str">
        <f aca="false">IF(COUNTIF($A$2:A525,A525)&gt;1,"Duplicate ID",IF(C525="","Missing source",IF(OR(AND(G525&lt;&gt;"",G525&lt;B525),AND(H525&lt;&gt;"",H525&lt;B525),AND(I525&lt;&gt;"",I525&lt;H525),AND(J525&lt;&gt;"",J525&lt;I525)),"Date error","OK")))</f>
        <v>OK</v>
      </c>
    </row>
    <row r="526" customFormat="false" ht="15" hidden="false" customHeight="false" outlineLevel="0" collapsed="false">
      <c r="A526" s="24" t="s">
        <v>605</v>
      </c>
      <c r="B526" s="31" t="n">
        <v>46169</v>
      </c>
      <c r="C526" s="24" t="s">
        <v>24</v>
      </c>
      <c r="D526" s="24" t="s">
        <v>33</v>
      </c>
      <c r="E526" s="24" t="s">
        <v>79</v>
      </c>
      <c r="F526" s="24" t="s">
        <v>45</v>
      </c>
      <c r="G526" s="24"/>
      <c r="H526" s="24"/>
      <c r="I526" s="24"/>
      <c r="J526" s="24"/>
      <c r="K526" s="24" t="n">
        <v>0</v>
      </c>
      <c r="L526" s="24" t="str">
        <f aca="false">IF(J526&lt;&gt;"","Enrolled",IF(I526&lt;&gt;"","Admitted",IF(H526&lt;&gt;"","Applied",IF(G526&lt;&gt;"","Contacted","New"))))</f>
        <v>New</v>
      </c>
      <c r="M526" s="32" t="str">
        <f aca="false">IF(G526="","",G526-B526)</f>
        <v/>
      </c>
      <c r="N526" s="24" t="str">
        <f aca="false">IF(COUNTIF($A$2:A526,A526)&gt;1,"Duplicate ID",IF(C526="","Missing source",IF(OR(AND(G526&lt;&gt;"",G526&lt;B526),AND(H526&lt;&gt;"",H526&lt;B526),AND(I526&lt;&gt;"",I526&lt;H526),AND(J526&lt;&gt;"",J526&lt;I526)),"Date error","OK")))</f>
        <v>OK</v>
      </c>
    </row>
    <row r="527" customFormat="false" ht="15" hidden="false" customHeight="false" outlineLevel="0" collapsed="false">
      <c r="A527" s="24" t="s">
        <v>606</v>
      </c>
      <c r="B527" s="31" t="n">
        <v>46169</v>
      </c>
      <c r="C527" s="24" t="s">
        <v>21</v>
      </c>
      <c r="D527" s="24" t="s">
        <v>35</v>
      </c>
      <c r="E527" s="24" t="s">
        <v>79</v>
      </c>
      <c r="F527" s="24" t="s">
        <v>43</v>
      </c>
      <c r="G527" s="31" t="n">
        <v>46169</v>
      </c>
      <c r="H527" s="24"/>
      <c r="I527" s="24"/>
      <c r="J527" s="24"/>
      <c r="K527" s="24" t="n">
        <v>3</v>
      </c>
      <c r="L527" s="24" t="str">
        <f aca="false">IF(J527&lt;&gt;"","Enrolled",IF(I527&lt;&gt;"","Admitted",IF(H527&lt;&gt;"","Applied",IF(G527&lt;&gt;"","Contacted","New"))))</f>
        <v>Contacted</v>
      </c>
      <c r="M527" s="32" t="n">
        <f aca="false">IF(G527="","",G527-B527)</f>
        <v>0</v>
      </c>
      <c r="N527" s="24" t="str">
        <f aca="false">IF(COUNTIF($A$2:A527,A527)&gt;1,"Duplicate ID",IF(C527="","Missing source",IF(OR(AND(G527&lt;&gt;"",G527&lt;B527),AND(H527&lt;&gt;"",H527&lt;B527),AND(I527&lt;&gt;"",I527&lt;H527),AND(J527&lt;&gt;"",J527&lt;I527)),"Date error","OK")))</f>
        <v>OK</v>
      </c>
    </row>
    <row r="528" customFormat="false" ht="15" hidden="false" customHeight="false" outlineLevel="0" collapsed="false">
      <c r="A528" s="24" t="s">
        <v>607</v>
      </c>
      <c r="B528" s="31" t="n">
        <v>46169</v>
      </c>
      <c r="C528" s="24" t="s">
        <v>27</v>
      </c>
      <c r="D528" s="24" t="s">
        <v>36</v>
      </c>
      <c r="E528" s="24" t="s">
        <v>79</v>
      </c>
      <c r="F528" s="24" t="s">
        <v>41</v>
      </c>
      <c r="G528" s="31" t="n">
        <v>46170</v>
      </c>
      <c r="H528" s="24"/>
      <c r="I528" s="24"/>
      <c r="J528" s="24"/>
      <c r="K528" s="24" t="n">
        <v>2</v>
      </c>
      <c r="L528" s="24" t="str">
        <f aca="false">IF(J528&lt;&gt;"","Enrolled",IF(I528&lt;&gt;"","Admitted",IF(H528&lt;&gt;"","Applied",IF(G528&lt;&gt;"","Contacted","New"))))</f>
        <v>Contacted</v>
      </c>
      <c r="M528" s="32" t="n">
        <f aca="false">IF(G528="","",G528-B528)</f>
        <v>1</v>
      </c>
      <c r="N528" s="24" t="str">
        <f aca="false">IF(COUNTIF($A$2:A528,A528)&gt;1,"Duplicate ID",IF(C528="","Missing source",IF(OR(AND(G528&lt;&gt;"",G528&lt;B528),AND(H528&lt;&gt;"",H528&lt;B528),AND(I528&lt;&gt;"",I528&lt;H528),AND(J528&lt;&gt;"",J528&lt;I528)),"Date error","OK")))</f>
        <v>OK</v>
      </c>
    </row>
    <row r="529" customFormat="false" ht="15" hidden="false" customHeight="false" outlineLevel="0" collapsed="false">
      <c r="A529" s="24" t="s">
        <v>608</v>
      </c>
      <c r="B529" s="31" t="n">
        <v>46169</v>
      </c>
      <c r="C529" s="24" t="s">
        <v>24</v>
      </c>
      <c r="D529" s="24" t="s">
        <v>36</v>
      </c>
      <c r="E529" s="24" t="s">
        <v>81</v>
      </c>
      <c r="F529" s="24" t="s">
        <v>42</v>
      </c>
      <c r="G529" s="31" t="n">
        <v>46170</v>
      </c>
      <c r="H529" s="24"/>
      <c r="I529" s="24"/>
      <c r="J529" s="24"/>
      <c r="K529" s="24" t="n">
        <v>3</v>
      </c>
      <c r="L529" s="24" t="str">
        <f aca="false">IF(J529&lt;&gt;"","Enrolled",IF(I529&lt;&gt;"","Admitted",IF(H529&lt;&gt;"","Applied",IF(G529&lt;&gt;"","Contacted","New"))))</f>
        <v>Contacted</v>
      </c>
      <c r="M529" s="32" t="n">
        <f aca="false">IF(G529="","",G529-B529)</f>
        <v>1</v>
      </c>
      <c r="N529" s="24" t="str">
        <f aca="false">IF(COUNTIF($A$2:A529,A529)&gt;1,"Duplicate ID",IF(C529="","Missing source",IF(OR(AND(G529&lt;&gt;"",G529&lt;B529),AND(H529&lt;&gt;"",H529&lt;B529),AND(I529&lt;&gt;"",I529&lt;H529),AND(J529&lt;&gt;"",J529&lt;I529)),"Date error","OK")))</f>
        <v>OK</v>
      </c>
    </row>
    <row r="530" customFormat="false" ht="15" hidden="false" customHeight="false" outlineLevel="0" collapsed="false">
      <c r="A530" s="24" t="s">
        <v>609</v>
      </c>
      <c r="B530" s="31" t="n">
        <v>46169</v>
      </c>
      <c r="C530" s="24" t="s">
        <v>27</v>
      </c>
      <c r="D530" s="24" t="s">
        <v>32</v>
      </c>
      <c r="E530" s="24" t="s">
        <v>94</v>
      </c>
      <c r="F530" s="24" t="s">
        <v>41</v>
      </c>
      <c r="G530" s="31" t="n">
        <v>46171</v>
      </c>
      <c r="H530" s="24"/>
      <c r="I530" s="24"/>
      <c r="J530" s="24"/>
      <c r="K530" s="24" t="n">
        <v>2</v>
      </c>
      <c r="L530" s="24" t="str">
        <f aca="false">IF(J530&lt;&gt;"","Enrolled",IF(I530&lt;&gt;"","Admitted",IF(H530&lt;&gt;"","Applied",IF(G530&lt;&gt;"","Contacted","New"))))</f>
        <v>Contacted</v>
      </c>
      <c r="M530" s="32" t="n">
        <f aca="false">IF(G530="","",G530-B530)</f>
        <v>2</v>
      </c>
      <c r="N530" s="24" t="str">
        <f aca="false">IF(COUNTIF($A$2:A530,A530)&gt;1,"Duplicate ID",IF(C530="","Missing source",IF(OR(AND(G530&lt;&gt;"",G530&lt;B530),AND(H530&lt;&gt;"",H530&lt;B530),AND(I530&lt;&gt;"",I530&lt;H530),AND(J530&lt;&gt;"",J530&lt;I530)),"Date error","OK")))</f>
        <v>OK</v>
      </c>
    </row>
    <row r="531" customFormat="false" ht="15" hidden="false" customHeight="false" outlineLevel="0" collapsed="false">
      <c r="A531" s="24" t="s">
        <v>610</v>
      </c>
      <c r="B531" s="31" t="n">
        <v>46169</v>
      </c>
      <c r="C531" s="24" t="s">
        <v>27</v>
      </c>
      <c r="D531" s="24" t="s">
        <v>33</v>
      </c>
      <c r="E531" s="24" t="s">
        <v>89</v>
      </c>
      <c r="F531" s="24" t="s">
        <v>41</v>
      </c>
      <c r="G531" s="31" t="n">
        <v>46170</v>
      </c>
      <c r="H531" s="24"/>
      <c r="I531" s="24"/>
      <c r="J531" s="24"/>
      <c r="K531" s="24" t="n">
        <v>3</v>
      </c>
      <c r="L531" s="24" t="str">
        <f aca="false">IF(J531&lt;&gt;"","Enrolled",IF(I531&lt;&gt;"","Admitted",IF(H531&lt;&gt;"","Applied",IF(G531&lt;&gt;"","Contacted","New"))))</f>
        <v>Contacted</v>
      </c>
      <c r="M531" s="32" t="n">
        <f aca="false">IF(G531="","",G531-B531)</f>
        <v>1</v>
      </c>
      <c r="N531" s="24" t="str">
        <f aca="false">IF(COUNTIF($A$2:A531,A531)&gt;1,"Duplicate ID",IF(C531="","Missing source",IF(OR(AND(G531&lt;&gt;"",G531&lt;B531),AND(H531&lt;&gt;"",H531&lt;B531),AND(I531&lt;&gt;"",I531&lt;H531),AND(J531&lt;&gt;"",J531&lt;I531)),"Date error","OK")))</f>
        <v>OK</v>
      </c>
    </row>
    <row r="532" customFormat="false" ht="15" hidden="false" customHeight="false" outlineLevel="0" collapsed="false">
      <c r="A532" s="24" t="s">
        <v>611</v>
      </c>
      <c r="B532" s="31" t="n">
        <v>46169</v>
      </c>
      <c r="C532" s="24" t="s">
        <v>23</v>
      </c>
      <c r="D532" s="24" t="s">
        <v>32</v>
      </c>
      <c r="E532" s="24" t="s">
        <v>79</v>
      </c>
      <c r="F532" s="24" t="s">
        <v>40</v>
      </c>
      <c r="G532" s="31" t="n">
        <v>46169</v>
      </c>
      <c r="H532" s="31" t="n">
        <v>46188</v>
      </c>
      <c r="I532" s="24"/>
      <c r="J532" s="24"/>
      <c r="K532" s="24" t="n">
        <v>6</v>
      </c>
      <c r="L532" s="24" t="str">
        <f aca="false">IF(J532&lt;&gt;"","Enrolled",IF(I532&lt;&gt;"","Admitted",IF(H532&lt;&gt;"","Applied",IF(G532&lt;&gt;"","Contacted","New"))))</f>
        <v>Applied</v>
      </c>
      <c r="M532" s="32" t="n">
        <f aca="false">IF(G532="","",G532-B532)</f>
        <v>0</v>
      </c>
      <c r="N532" s="24" t="str">
        <f aca="false">IF(COUNTIF($A$2:A532,A532)&gt;1,"Duplicate ID",IF(C532="","Missing source",IF(OR(AND(G532&lt;&gt;"",G532&lt;B532),AND(H532&lt;&gt;"",H532&lt;B532),AND(I532&lt;&gt;"",I532&lt;H532),AND(J532&lt;&gt;"",J532&lt;I532)),"Date error","OK")))</f>
        <v>OK</v>
      </c>
    </row>
    <row r="533" customFormat="false" ht="15" hidden="false" customHeight="false" outlineLevel="0" collapsed="false">
      <c r="A533" s="24" t="s">
        <v>612</v>
      </c>
      <c r="B533" s="31" t="n">
        <v>46169</v>
      </c>
      <c r="C533" s="24" t="s">
        <v>27</v>
      </c>
      <c r="D533" s="24" t="s">
        <v>32</v>
      </c>
      <c r="E533" s="24" t="s">
        <v>89</v>
      </c>
      <c r="F533" s="24" t="s">
        <v>45</v>
      </c>
      <c r="G533" s="31" t="n">
        <v>46170</v>
      </c>
      <c r="H533" s="24"/>
      <c r="I533" s="24"/>
      <c r="J533" s="24"/>
      <c r="K533" s="24" t="n">
        <v>4</v>
      </c>
      <c r="L533" s="24" t="str">
        <f aca="false">IF(J533&lt;&gt;"","Enrolled",IF(I533&lt;&gt;"","Admitted",IF(H533&lt;&gt;"","Applied",IF(G533&lt;&gt;"","Contacted","New"))))</f>
        <v>Contacted</v>
      </c>
      <c r="M533" s="32" t="n">
        <f aca="false">IF(G533="","",G533-B533)</f>
        <v>1</v>
      </c>
      <c r="N533" s="24" t="str">
        <f aca="false">IF(COUNTIF($A$2:A533,A533)&gt;1,"Duplicate ID",IF(C533="","Missing source",IF(OR(AND(G533&lt;&gt;"",G533&lt;B533),AND(H533&lt;&gt;"",H533&lt;B533),AND(I533&lt;&gt;"",I533&lt;H533),AND(J533&lt;&gt;"",J533&lt;I533)),"Date error","OK")))</f>
        <v>OK</v>
      </c>
    </row>
    <row r="534" customFormat="false" ht="15" hidden="false" customHeight="false" outlineLevel="0" collapsed="false">
      <c r="A534" s="24" t="s">
        <v>613</v>
      </c>
      <c r="B534" s="31" t="n">
        <v>46169</v>
      </c>
      <c r="C534" s="24" t="s">
        <v>24</v>
      </c>
      <c r="D534" s="24" t="s">
        <v>35</v>
      </c>
      <c r="E534" s="24" t="s">
        <v>84</v>
      </c>
      <c r="F534" s="24" t="s">
        <v>44</v>
      </c>
      <c r="G534" s="31" t="n">
        <v>46173</v>
      </c>
      <c r="H534" s="24"/>
      <c r="I534" s="24"/>
      <c r="J534" s="24"/>
      <c r="K534" s="24" t="n">
        <v>4</v>
      </c>
      <c r="L534" s="24" t="str">
        <f aca="false">IF(J534&lt;&gt;"","Enrolled",IF(I534&lt;&gt;"","Admitted",IF(H534&lt;&gt;"","Applied",IF(G534&lt;&gt;"","Contacted","New"))))</f>
        <v>Contacted</v>
      </c>
      <c r="M534" s="32" t="n">
        <f aca="false">IF(G534="","",G534-B534)</f>
        <v>4</v>
      </c>
      <c r="N534" s="24" t="str">
        <f aca="false">IF(COUNTIF($A$2:A534,A534)&gt;1,"Duplicate ID",IF(C534="","Missing source",IF(OR(AND(G534&lt;&gt;"",G534&lt;B534),AND(H534&lt;&gt;"",H534&lt;B534),AND(I534&lt;&gt;"",I534&lt;H534),AND(J534&lt;&gt;"",J534&lt;I534)),"Date error","OK")))</f>
        <v>OK</v>
      </c>
    </row>
    <row r="535" customFormat="false" ht="15" hidden="false" customHeight="false" outlineLevel="0" collapsed="false">
      <c r="A535" s="24" t="s">
        <v>614</v>
      </c>
      <c r="B535" s="31" t="n">
        <v>46169</v>
      </c>
      <c r="C535" s="24" t="s">
        <v>26</v>
      </c>
      <c r="D535" s="24" t="s">
        <v>35</v>
      </c>
      <c r="E535" s="24" t="s">
        <v>79</v>
      </c>
      <c r="F535" s="24" t="s">
        <v>40</v>
      </c>
      <c r="G535" s="31" t="n">
        <v>46170</v>
      </c>
      <c r="H535" s="24"/>
      <c r="I535" s="24"/>
      <c r="J535" s="24"/>
      <c r="K535" s="24" t="n">
        <v>5</v>
      </c>
      <c r="L535" s="24" t="str">
        <f aca="false">IF(J535&lt;&gt;"","Enrolled",IF(I535&lt;&gt;"","Admitted",IF(H535&lt;&gt;"","Applied",IF(G535&lt;&gt;"","Contacted","New"))))</f>
        <v>Contacted</v>
      </c>
      <c r="M535" s="32" t="n">
        <f aca="false">IF(G535="","",G535-B535)</f>
        <v>1</v>
      </c>
      <c r="N535" s="24" t="str">
        <f aca="false">IF(COUNTIF($A$2:A535,A535)&gt;1,"Duplicate ID",IF(C535="","Missing source",IF(OR(AND(G535&lt;&gt;"",G535&lt;B535),AND(H535&lt;&gt;"",H535&lt;B535),AND(I535&lt;&gt;"",I535&lt;H535),AND(J535&lt;&gt;"",J535&lt;I535)),"Date error","OK")))</f>
        <v>OK</v>
      </c>
    </row>
    <row r="536" customFormat="false" ht="15" hidden="false" customHeight="false" outlineLevel="0" collapsed="false">
      <c r="A536" s="24" t="s">
        <v>615</v>
      </c>
      <c r="B536" s="31" t="n">
        <v>46170</v>
      </c>
      <c r="C536" s="24" t="s">
        <v>23</v>
      </c>
      <c r="D536" s="24" t="s">
        <v>32</v>
      </c>
      <c r="E536" s="24" t="s">
        <v>89</v>
      </c>
      <c r="F536" s="24" t="s">
        <v>40</v>
      </c>
      <c r="G536" s="31" t="n">
        <v>46172</v>
      </c>
      <c r="H536" s="24"/>
      <c r="I536" s="24"/>
      <c r="J536" s="24"/>
      <c r="K536" s="24" t="n">
        <v>3</v>
      </c>
      <c r="L536" s="24" t="str">
        <f aca="false">IF(J536&lt;&gt;"","Enrolled",IF(I536&lt;&gt;"","Admitted",IF(H536&lt;&gt;"","Applied",IF(G536&lt;&gt;"","Contacted","New"))))</f>
        <v>Contacted</v>
      </c>
      <c r="M536" s="32" t="n">
        <f aca="false">IF(G536="","",G536-B536)</f>
        <v>2</v>
      </c>
      <c r="N536" s="24" t="str">
        <f aca="false">IF(COUNTIF($A$2:A536,A536)&gt;1,"Duplicate ID",IF(C536="","Missing source",IF(OR(AND(G536&lt;&gt;"",G536&lt;B536),AND(H536&lt;&gt;"",H536&lt;B536),AND(I536&lt;&gt;"",I536&lt;H536),AND(J536&lt;&gt;"",J536&lt;I536)),"Date error","OK")))</f>
        <v>OK</v>
      </c>
    </row>
    <row r="537" customFormat="false" ht="15" hidden="false" customHeight="false" outlineLevel="0" collapsed="false">
      <c r="A537" s="24" t="s">
        <v>616</v>
      </c>
      <c r="B537" s="31" t="n">
        <v>46170</v>
      </c>
      <c r="C537" s="24" t="s">
        <v>26</v>
      </c>
      <c r="D537" s="24" t="s">
        <v>34</v>
      </c>
      <c r="E537" s="24" t="s">
        <v>94</v>
      </c>
      <c r="F537" s="24" t="s">
        <v>43</v>
      </c>
      <c r="G537" s="31" t="n">
        <v>46170</v>
      </c>
      <c r="H537" s="24"/>
      <c r="I537" s="24"/>
      <c r="J537" s="24"/>
      <c r="K537" s="24" t="n">
        <v>3</v>
      </c>
      <c r="L537" s="24" t="str">
        <f aca="false">IF(J537&lt;&gt;"","Enrolled",IF(I537&lt;&gt;"","Admitted",IF(H537&lt;&gt;"","Applied",IF(G537&lt;&gt;"","Contacted","New"))))</f>
        <v>Contacted</v>
      </c>
      <c r="M537" s="32" t="n">
        <f aca="false">IF(G537="","",G537-B537)</f>
        <v>0</v>
      </c>
      <c r="N537" s="24" t="str">
        <f aca="false">IF(COUNTIF($A$2:A537,A537)&gt;1,"Duplicate ID",IF(C537="","Missing source",IF(OR(AND(G537&lt;&gt;"",G537&lt;B537),AND(H537&lt;&gt;"",H537&lt;B537),AND(I537&lt;&gt;"",I537&lt;H537),AND(J537&lt;&gt;"",J537&lt;I537)),"Date error","OK")))</f>
        <v>OK</v>
      </c>
    </row>
    <row r="538" customFormat="false" ht="15" hidden="false" customHeight="false" outlineLevel="0" collapsed="false">
      <c r="A538" s="24" t="s">
        <v>617</v>
      </c>
      <c r="B538" s="31" t="n">
        <v>46170</v>
      </c>
      <c r="C538" s="24" t="s">
        <v>25</v>
      </c>
      <c r="D538" s="24" t="s">
        <v>32</v>
      </c>
      <c r="E538" s="24" t="s">
        <v>89</v>
      </c>
      <c r="F538" s="24" t="s">
        <v>41</v>
      </c>
      <c r="G538" s="31" t="n">
        <v>46170</v>
      </c>
      <c r="H538" s="31" t="n">
        <v>46189</v>
      </c>
      <c r="I538" s="31" t="n">
        <v>46195</v>
      </c>
      <c r="J538" s="31" t="n">
        <v>46223</v>
      </c>
      <c r="K538" s="24" t="n">
        <v>3</v>
      </c>
      <c r="L538" s="24" t="str">
        <f aca="false">IF(J538&lt;&gt;"","Enrolled",IF(I538&lt;&gt;"","Admitted",IF(H538&lt;&gt;"","Applied",IF(G538&lt;&gt;"","Contacted","New"))))</f>
        <v>Enrolled</v>
      </c>
      <c r="M538" s="32" t="n">
        <f aca="false">IF(G538="","",G538-B538)</f>
        <v>0</v>
      </c>
      <c r="N538" s="24" t="str">
        <f aca="false">IF(COUNTIF($A$2:A538,A538)&gt;1,"Duplicate ID",IF(C538="","Missing source",IF(OR(AND(G538&lt;&gt;"",G538&lt;B538),AND(H538&lt;&gt;"",H538&lt;B538),AND(I538&lt;&gt;"",I538&lt;H538),AND(J538&lt;&gt;"",J538&lt;I538)),"Date error","OK")))</f>
        <v>OK</v>
      </c>
    </row>
    <row r="539" customFormat="false" ht="15" hidden="false" customHeight="false" outlineLevel="0" collapsed="false">
      <c r="A539" s="24" t="s">
        <v>618</v>
      </c>
      <c r="B539" s="31" t="n">
        <v>46170</v>
      </c>
      <c r="C539" s="24" t="s">
        <v>24</v>
      </c>
      <c r="D539" s="24" t="s">
        <v>36</v>
      </c>
      <c r="E539" s="24" t="s">
        <v>84</v>
      </c>
      <c r="F539" s="24" t="s">
        <v>40</v>
      </c>
      <c r="G539" s="31" t="n">
        <v>46170</v>
      </c>
      <c r="H539" s="24"/>
      <c r="I539" s="24"/>
      <c r="J539" s="24"/>
      <c r="K539" s="24" t="n">
        <v>2</v>
      </c>
      <c r="L539" s="24" t="str">
        <f aca="false">IF(J539&lt;&gt;"","Enrolled",IF(I539&lt;&gt;"","Admitted",IF(H539&lt;&gt;"","Applied",IF(G539&lt;&gt;"","Contacted","New"))))</f>
        <v>Contacted</v>
      </c>
      <c r="M539" s="32" t="n">
        <f aca="false">IF(G539="","",G539-B539)</f>
        <v>0</v>
      </c>
      <c r="N539" s="24" t="str">
        <f aca="false">IF(COUNTIF($A$2:A539,A539)&gt;1,"Duplicate ID",IF(C539="","Missing source",IF(OR(AND(G539&lt;&gt;"",G539&lt;B539),AND(H539&lt;&gt;"",H539&lt;B539),AND(I539&lt;&gt;"",I539&lt;H539),AND(J539&lt;&gt;"",J539&lt;I539)),"Date error","OK")))</f>
        <v>OK</v>
      </c>
    </row>
    <row r="540" customFormat="false" ht="15" hidden="false" customHeight="false" outlineLevel="0" collapsed="false">
      <c r="A540" s="24" t="s">
        <v>619</v>
      </c>
      <c r="B540" s="31" t="n">
        <v>46170</v>
      </c>
      <c r="C540" s="24" t="s">
        <v>27</v>
      </c>
      <c r="D540" s="24" t="s">
        <v>34</v>
      </c>
      <c r="E540" s="24" t="s">
        <v>89</v>
      </c>
      <c r="F540" s="24" t="s">
        <v>45</v>
      </c>
      <c r="G540" s="31" t="n">
        <v>46177</v>
      </c>
      <c r="H540" s="24"/>
      <c r="I540" s="24"/>
      <c r="J540" s="24"/>
      <c r="K540" s="24" t="n">
        <v>0</v>
      </c>
      <c r="L540" s="24" t="str">
        <f aca="false">IF(J540&lt;&gt;"","Enrolled",IF(I540&lt;&gt;"","Admitted",IF(H540&lt;&gt;"","Applied",IF(G540&lt;&gt;"","Contacted","New"))))</f>
        <v>Contacted</v>
      </c>
      <c r="M540" s="32" t="n">
        <f aca="false">IF(G540="","",G540-B540)</f>
        <v>7</v>
      </c>
      <c r="N540" s="24" t="str">
        <f aca="false">IF(COUNTIF($A$2:A540,A540)&gt;1,"Duplicate ID",IF(C540="","Missing source",IF(OR(AND(G540&lt;&gt;"",G540&lt;B540),AND(H540&lt;&gt;"",H540&lt;B540),AND(I540&lt;&gt;"",I540&lt;H540),AND(J540&lt;&gt;"",J540&lt;I540)),"Date error","OK")))</f>
        <v>OK</v>
      </c>
    </row>
    <row r="541" customFormat="false" ht="15" hidden="false" customHeight="false" outlineLevel="0" collapsed="false">
      <c r="A541" s="24" t="s">
        <v>620</v>
      </c>
      <c r="B541" s="31" t="n">
        <v>46171</v>
      </c>
      <c r="C541" s="24" t="s">
        <v>26</v>
      </c>
      <c r="D541" s="24" t="s">
        <v>32</v>
      </c>
      <c r="E541" s="24" t="s">
        <v>94</v>
      </c>
      <c r="F541" s="24" t="s">
        <v>45</v>
      </c>
      <c r="G541" s="31" t="n">
        <v>46171</v>
      </c>
      <c r="H541" s="24"/>
      <c r="I541" s="24"/>
      <c r="J541" s="24"/>
      <c r="K541" s="24" t="n">
        <v>5</v>
      </c>
      <c r="L541" s="24" t="str">
        <f aca="false">IF(J541&lt;&gt;"","Enrolled",IF(I541&lt;&gt;"","Admitted",IF(H541&lt;&gt;"","Applied",IF(G541&lt;&gt;"","Contacted","New"))))</f>
        <v>Contacted</v>
      </c>
      <c r="M541" s="32" t="n">
        <f aca="false">IF(G541="","",G541-B541)</f>
        <v>0</v>
      </c>
      <c r="N541" s="24" t="str">
        <f aca="false">IF(COUNTIF($A$2:A541,A541)&gt;1,"Duplicate ID",IF(C541="","Missing source",IF(OR(AND(G541&lt;&gt;"",G541&lt;B541),AND(H541&lt;&gt;"",H541&lt;B541),AND(I541&lt;&gt;"",I541&lt;H541),AND(J541&lt;&gt;"",J541&lt;I541)),"Date error","OK")))</f>
        <v>OK</v>
      </c>
    </row>
    <row r="542" customFormat="false" ht="15" hidden="false" customHeight="false" outlineLevel="0" collapsed="false">
      <c r="A542" s="24" t="s">
        <v>621</v>
      </c>
      <c r="B542" s="31" t="n">
        <v>46171</v>
      </c>
      <c r="C542" s="24" t="s">
        <v>22</v>
      </c>
      <c r="D542" s="24" t="s">
        <v>32</v>
      </c>
      <c r="E542" s="24" t="s">
        <v>84</v>
      </c>
      <c r="F542" s="24" t="s">
        <v>42</v>
      </c>
      <c r="G542" s="31" t="n">
        <v>46172</v>
      </c>
      <c r="H542" s="24"/>
      <c r="I542" s="24"/>
      <c r="J542" s="24"/>
      <c r="K542" s="24" t="n">
        <v>3</v>
      </c>
      <c r="L542" s="24" t="str">
        <f aca="false">IF(J542&lt;&gt;"","Enrolled",IF(I542&lt;&gt;"","Admitted",IF(H542&lt;&gt;"","Applied",IF(G542&lt;&gt;"","Contacted","New"))))</f>
        <v>Contacted</v>
      </c>
      <c r="M542" s="32" t="n">
        <f aca="false">IF(G542="","",G542-B542)</f>
        <v>1</v>
      </c>
      <c r="N542" s="24" t="str">
        <f aca="false">IF(COUNTIF($A$2:A542,A542)&gt;1,"Duplicate ID",IF(C542="","Missing source",IF(OR(AND(G542&lt;&gt;"",G542&lt;B542),AND(H542&lt;&gt;"",H542&lt;B542),AND(I542&lt;&gt;"",I542&lt;H542),AND(J542&lt;&gt;"",J542&lt;I542)),"Date error","OK")))</f>
        <v>OK</v>
      </c>
    </row>
    <row r="543" customFormat="false" ht="15" hidden="false" customHeight="false" outlineLevel="0" collapsed="false">
      <c r="A543" s="24" t="s">
        <v>622</v>
      </c>
      <c r="B543" s="31" t="n">
        <v>46171</v>
      </c>
      <c r="C543" s="24" t="s">
        <v>25</v>
      </c>
      <c r="D543" s="24" t="s">
        <v>34</v>
      </c>
      <c r="E543" s="24" t="s">
        <v>89</v>
      </c>
      <c r="F543" s="24" t="s">
        <v>40</v>
      </c>
      <c r="G543" s="31" t="n">
        <v>46171</v>
      </c>
      <c r="H543" s="31" t="n">
        <v>46189</v>
      </c>
      <c r="I543" s="31" t="n">
        <v>46196</v>
      </c>
      <c r="J543" s="31" t="n">
        <v>46214</v>
      </c>
      <c r="K543" s="24" t="n">
        <v>3</v>
      </c>
      <c r="L543" s="24" t="str">
        <f aca="false">IF(J543&lt;&gt;"","Enrolled",IF(I543&lt;&gt;"","Admitted",IF(H543&lt;&gt;"","Applied",IF(G543&lt;&gt;"","Contacted","New"))))</f>
        <v>Enrolled</v>
      </c>
      <c r="M543" s="32" t="n">
        <f aca="false">IF(G543="","",G543-B543)</f>
        <v>0</v>
      </c>
      <c r="N543" s="24" t="str">
        <f aca="false">IF(COUNTIF($A$2:A543,A543)&gt;1,"Duplicate ID",IF(C543="","Missing source",IF(OR(AND(G543&lt;&gt;"",G543&lt;B543),AND(H543&lt;&gt;"",H543&lt;B543),AND(I543&lt;&gt;"",I543&lt;H543),AND(J543&lt;&gt;"",J543&lt;I543)),"Date error","OK")))</f>
        <v>OK</v>
      </c>
    </row>
    <row r="544" customFormat="false" ht="15" hidden="false" customHeight="false" outlineLevel="0" collapsed="false">
      <c r="A544" s="24" t="s">
        <v>623</v>
      </c>
      <c r="B544" s="31" t="n">
        <v>46171</v>
      </c>
      <c r="C544" s="24" t="s">
        <v>23</v>
      </c>
      <c r="D544" s="24" t="s">
        <v>34</v>
      </c>
      <c r="E544" s="24" t="s">
        <v>94</v>
      </c>
      <c r="F544" s="24" t="s">
        <v>41</v>
      </c>
      <c r="G544" s="31" t="n">
        <v>46172</v>
      </c>
      <c r="H544" s="24"/>
      <c r="I544" s="24"/>
      <c r="J544" s="24"/>
      <c r="K544" s="24" t="n">
        <v>5</v>
      </c>
      <c r="L544" s="24" t="str">
        <f aca="false">IF(J544&lt;&gt;"","Enrolled",IF(I544&lt;&gt;"","Admitted",IF(H544&lt;&gt;"","Applied",IF(G544&lt;&gt;"","Contacted","New"))))</f>
        <v>Contacted</v>
      </c>
      <c r="M544" s="32" t="n">
        <f aca="false">IF(G544="","",G544-B544)</f>
        <v>1</v>
      </c>
      <c r="N544" s="24" t="str">
        <f aca="false">IF(COUNTIF($A$2:A544,A544)&gt;1,"Duplicate ID",IF(C544="","Missing source",IF(OR(AND(G544&lt;&gt;"",G544&lt;B544),AND(H544&lt;&gt;"",H544&lt;B544),AND(I544&lt;&gt;"",I544&lt;H544),AND(J544&lt;&gt;"",J544&lt;I544)),"Date error","OK")))</f>
        <v>OK</v>
      </c>
    </row>
    <row r="545" customFormat="false" ht="15" hidden="false" customHeight="false" outlineLevel="0" collapsed="false">
      <c r="A545" s="24" t="s">
        <v>624</v>
      </c>
      <c r="B545" s="31" t="n">
        <v>46171</v>
      </c>
      <c r="C545" s="24" t="s">
        <v>25</v>
      </c>
      <c r="D545" s="24" t="s">
        <v>35</v>
      </c>
      <c r="E545" s="24" t="s">
        <v>94</v>
      </c>
      <c r="F545" s="24" t="s">
        <v>41</v>
      </c>
      <c r="G545" s="24"/>
      <c r="H545" s="24"/>
      <c r="I545" s="24"/>
      <c r="J545" s="24"/>
      <c r="K545" s="24" t="n">
        <v>0</v>
      </c>
      <c r="L545" s="24" t="str">
        <f aca="false">IF(J545&lt;&gt;"","Enrolled",IF(I545&lt;&gt;"","Admitted",IF(H545&lt;&gt;"","Applied",IF(G545&lt;&gt;"","Contacted","New"))))</f>
        <v>New</v>
      </c>
      <c r="M545" s="32" t="str">
        <f aca="false">IF(G545="","",G545-B545)</f>
        <v/>
      </c>
      <c r="N545" s="24" t="str">
        <f aca="false">IF(COUNTIF($A$2:A545,A545)&gt;1,"Duplicate ID",IF(C545="","Missing source",IF(OR(AND(G545&lt;&gt;"",G545&lt;B545),AND(H545&lt;&gt;"",H545&lt;B545),AND(I545&lt;&gt;"",I545&lt;H545),AND(J545&lt;&gt;"",J545&lt;I545)),"Date error","OK")))</f>
        <v>OK</v>
      </c>
    </row>
    <row r="546" customFormat="false" ht="15" hidden="false" customHeight="false" outlineLevel="0" collapsed="false">
      <c r="A546" s="24" t="s">
        <v>625</v>
      </c>
      <c r="B546" s="31" t="n">
        <v>46171</v>
      </c>
      <c r="C546" s="24" t="s">
        <v>26</v>
      </c>
      <c r="D546" s="24" t="s">
        <v>35</v>
      </c>
      <c r="E546" s="24" t="s">
        <v>79</v>
      </c>
      <c r="F546" s="24" t="s">
        <v>43</v>
      </c>
      <c r="G546" s="31" t="n">
        <v>46172</v>
      </c>
      <c r="H546" s="24"/>
      <c r="I546" s="24"/>
      <c r="J546" s="24"/>
      <c r="K546" s="24" t="n">
        <v>1</v>
      </c>
      <c r="L546" s="24" t="str">
        <f aca="false">IF(J546&lt;&gt;"","Enrolled",IF(I546&lt;&gt;"","Admitted",IF(H546&lt;&gt;"","Applied",IF(G546&lt;&gt;"","Contacted","New"))))</f>
        <v>Contacted</v>
      </c>
      <c r="M546" s="32" t="n">
        <f aca="false">IF(G546="","",G546-B546)</f>
        <v>1</v>
      </c>
      <c r="N546" s="24" t="str">
        <f aca="false">IF(COUNTIF($A$2:A546,A546)&gt;1,"Duplicate ID",IF(C546="","Missing source",IF(OR(AND(G546&lt;&gt;"",G546&lt;B546),AND(H546&lt;&gt;"",H546&lt;B546),AND(I546&lt;&gt;"",I546&lt;H546),AND(J546&lt;&gt;"",J546&lt;I546)),"Date error","OK")))</f>
        <v>OK</v>
      </c>
    </row>
    <row r="547" customFormat="false" ht="15" hidden="false" customHeight="false" outlineLevel="0" collapsed="false">
      <c r="A547" s="24" t="s">
        <v>626</v>
      </c>
      <c r="B547" s="31" t="n">
        <v>46171</v>
      </c>
      <c r="C547" s="24" t="s">
        <v>23</v>
      </c>
      <c r="D547" s="24" t="s">
        <v>33</v>
      </c>
      <c r="E547" s="24" t="s">
        <v>89</v>
      </c>
      <c r="F547" s="24" t="s">
        <v>42</v>
      </c>
      <c r="G547" s="31" t="n">
        <v>46174</v>
      </c>
      <c r="H547" s="24"/>
      <c r="I547" s="24"/>
      <c r="J547" s="24"/>
      <c r="K547" s="24" t="n">
        <v>1</v>
      </c>
      <c r="L547" s="24" t="str">
        <f aca="false">IF(J547&lt;&gt;"","Enrolled",IF(I547&lt;&gt;"","Admitted",IF(H547&lt;&gt;"","Applied",IF(G547&lt;&gt;"","Contacted","New"))))</f>
        <v>Contacted</v>
      </c>
      <c r="M547" s="32" t="n">
        <f aca="false">IF(G547="","",G547-B547)</f>
        <v>3</v>
      </c>
      <c r="N547" s="24" t="str">
        <f aca="false">IF(COUNTIF($A$2:A547,A547)&gt;1,"Duplicate ID",IF(C547="","Missing source",IF(OR(AND(G547&lt;&gt;"",G547&lt;B547),AND(H547&lt;&gt;"",H547&lt;B547),AND(I547&lt;&gt;"",I547&lt;H547),AND(J547&lt;&gt;"",J547&lt;I547)),"Date error","OK")))</f>
        <v>OK</v>
      </c>
    </row>
    <row r="548" customFormat="false" ht="15" hidden="false" customHeight="false" outlineLevel="0" collapsed="false">
      <c r="A548" s="24" t="s">
        <v>627</v>
      </c>
      <c r="B548" s="31" t="n">
        <v>46171</v>
      </c>
      <c r="C548" s="24" t="s">
        <v>21</v>
      </c>
      <c r="D548" s="24" t="s">
        <v>36</v>
      </c>
      <c r="E548" s="24" t="s">
        <v>79</v>
      </c>
      <c r="F548" s="24" t="s">
        <v>43</v>
      </c>
      <c r="G548" s="31" t="n">
        <v>46172</v>
      </c>
      <c r="H548" s="31" t="n">
        <v>46192</v>
      </c>
      <c r="I548" s="31" t="n">
        <v>46203</v>
      </c>
      <c r="J548" s="31" t="n">
        <v>46232</v>
      </c>
      <c r="K548" s="24" t="n">
        <v>1</v>
      </c>
      <c r="L548" s="24" t="str">
        <f aca="false">IF(J548&lt;&gt;"","Enrolled",IF(I548&lt;&gt;"","Admitted",IF(H548&lt;&gt;"","Applied",IF(G548&lt;&gt;"","Contacted","New"))))</f>
        <v>Enrolled</v>
      </c>
      <c r="M548" s="32" t="n">
        <f aca="false">IF(G548="","",G548-B548)</f>
        <v>1</v>
      </c>
      <c r="N548" s="24" t="str">
        <f aca="false">IF(COUNTIF($A$2:A548,A548)&gt;1,"Duplicate ID",IF(C548="","Missing source",IF(OR(AND(G548&lt;&gt;"",G548&lt;B548),AND(H548&lt;&gt;"",H548&lt;B548),AND(I548&lt;&gt;"",I548&lt;H548),AND(J548&lt;&gt;"",J548&lt;I548)),"Date error","OK")))</f>
        <v>OK</v>
      </c>
    </row>
    <row r="549" customFormat="false" ht="15" hidden="false" customHeight="false" outlineLevel="0" collapsed="false">
      <c r="A549" s="24" t="s">
        <v>628</v>
      </c>
      <c r="B549" s="31" t="n">
        <v>46171</v>
      </c>
      <c r="C549" s="24" t="s">
        <v>27</v>
      </c>
      <c r="D549" s="24" t="s">
        <v>35</v>
      </c>
      <c r="E549" s="24" t="s">
        <v>89</v>
      </c>
      <c r="F549" s="24" t="s">
        <v>42</v>
      </c>
      <c r="G549" s="31" t="n">
        <v>46172</v>
      </c>
      <c r="H549" s="24"/>
      <c r="I549" s="24"/>
      <c r="J549" s="24"/>
      <c r="K549" s="24" t="n">
        <v>4</v>
      </c>
      <c r="L549" s="24" t="str">
        <f aca="false">IF(J549&lt;&gt;"","Enrolled",IF(I549&lt;&gt;"","Admitted",IF(H549&lt;&gt;"","Applied",IF(G549&lt;&gt;"","Contacted","New"))))</f>
        <v>Contacted</v>
      </c>
      <c r="M549" s="32" t="n">
        <f aca="false">IF(G549="","",G549-B549)</f>
        <v>1</v>
      </c>
      <c r="N549" s="24" t="str">
        <f aca="false">IF(COUNTIF($A$2:A549,A549)&gt;1,"Duplicate ID",IF(C549="","Missing source",IF(OR(AND(G549&lt;&gt;"",G549&lt;B549),AND(H549&lt;&gt;"",H549&lt;B549),AND(I549&lt;&gt;"",I549&lt;H549),AND(J549&lt;&gt;"",J549&lt;I549)),"Date error","OK")))</f>
        <v>OK</v>
      </c>
    </row>
    <row r="550" customFormat="false" ht="15" hidden="false" customHeight="false" outlineLevel="0" collapsed="false">
      <c r="A550" s="24" t="s">
        <v>629</v>
      </c>
      <c r="B550" s="31" t="n">
        <v>46171</v>
      </c>
      <c r="C550" s="24" t="s">
        <v>23</v>
      </c>
      <c r="D550" s="24" t="s">
        <v>36</v>
      </c>
      <c r="E550" s="24" t="s">
        <v>81</v>
      </c>
      <c r="F550" s="24" t="s">
        <v>45</v>
      </c>
      <c r="G550" s="24"/>
      <c r="H550" s="24"/>
      <c r="I550" s="24"/>
      <c r="J550" s="24"/>
      <c r="K550" s="24" t="n">
        <v>0</v>
      </c>
      <c r="L550" s="24" t="str">
        <f aca="false">IF(J550&lt;&gt;"","Enrolled",IF(I550&lt;&gt;"","Admitted",IF(H550&lt;&gt;"","Applied",IF(G550&lt;&gt;"","Contacted","New"))))</f>
        <v>New</v>
      </c>
      <c r="M550" s="32" t="str">
        <f aca="false">IF(G550="","",G550-B550)</f>
        <v/>
      </c>
      <c r="N550" s="24" t="str">
        <f aca="false">IF(COUNTIF($A$2:A550,A550)&gt;1,"Duplicate ID",IF(C550="","Missing source",IF(OR(AND(G550&lt;&gt;"",G550&lt;B550),AND(H550&lt;&gt;"",H550&lt;B550),AND(I550&lt;&gt;"",I550&lt;H550),AND(J550&lt;&gt;"",J550&lt;I550)),"Date error","OK")))</f>
        <v>OK</v>
      </c>
    </row>
    <row r="551" customFormat="false" ht="15" hidden="false" customHeight="false" outlineLevel="0" collapsed="false">
      <c r="A551" s="24" t="s">
        <v>630</v>
      </c>
      <c r="B551" s="31" t="n">
        <v>46172</v>
      </c>
      <c r="C551" s="24" t="s">
        <v>26</v>
      </c>
      <c r="D551" s="24" t="s">
        <v>33</v>
      </c>
      <c r="E551" s="24" t="s">
        <v>81</v>
      </c>
      <c r="F551" s="24" t="s">
        <v>41</v>
      </c>
      <c r="G551" s="31" t="n">
        <v>46173</v>
      </c>
      <c r="H551" s="24"/>
      <c r="I551" s="24"/>
      <c r="J551" s="24"/>
      <c r="K551" s="24" t="n">
        <v>2</v>
      </c>
      <c r="L551" s="24" t="str">
        <f aca="false">IF(J551&lt;&gt;"","Enrolled",IF(I551&lt;&gt;"","Admitted",IF(H551&lt;&gt;"","Applied",IF(G551&lt;&gt;"","Contacted","New"))))</f>
        <v>Contacted</v>
      </c>
      <c r="M551" s="32" t="n">
        <f aca="false">IF(G551="","",G551-B551)</f>
        <v>1</v>
      </c>
      <c r="N551" s="24" t="str">
        <f aca="false">IF(COUNTIF($A$2:A551,A551)&gt;1,"Duplicate ID",IF(C551="","Missing source",IF(OR(AND(G551&lt;&gt;"",G551&lt;B551),AND(H551&lt;&gt;"",H551&lt;B551),AND(I551&lt;&gt;"",I551&lt;H551),AND(J551&lt;&gt;"",J551&lt;I551)),"Date error","OK")))</f>
        <v>OK</v>
      </c>
    </row>
    <row r="552" customFormat="false" ht="15" hidden="false" customHeight="false" outlineLevel="0" collapsed="false">
      <c r="A552" s="24" t="s">
        <v>631</v>
      </c>
      <c r="B552" s="31" t="n">
        <v>46172</v>
      </c>
      <c r="C552" s="24" t="s">
        <v>27</v>
      </c>
      <c r="D552" s="24" t="s">
        <v>32</v>
      </c>
      <c r="E552" s="24" t="s">
        <v>89</v>
      </c>
      <c r="F552" s="24" t="s">
        <v>45</v>
      </c>
      <c r="G552" s="31" t="n">
        <v>46173</v>
      </c>
      <c r="H552" s="31" t="n">
        <v>46177</v>
      </c>
      <c r="I552" s="31" t="n">
        <v>46186</v>
      </c>
      <c r="J552" s="24"/>
      <c r="K552" s="24" t="n">
        <v>1</v>
      </c>
      <c r="L552" s="24" t="str">
        <f aca="false">IF(J552&lt;&gt;"","Enrolled",IF(I552&lt;&gt;"","Admitted",IF(H552&lt;&gt;"","Applied",IF(G552&lt;&gt;"","Contacted","New"))))</f>
        <v>Admitted</v>
      </c>
      <c r="M552" s="32" t="n">
        <f aca="false">IF(G552="","",G552-B552)</f>
        <v>1</v>
      </c>
      <c r="N552" s="24" t="str">
        <f aca="false">IF(COUNTIF($A$2:A552,A552)&gt;1,"Duplicate ID",IF(C552="","Missing source",IF(OR(AND(G552&lt;&gt;"",G552&lt;B552),AND(H552&lt;&gt;"",H552&lt;B552),AND(I552&lt;&gt;"",I552&lt;H552),AND(J552&lt;&gt;"",J552&lt;I552)),"Date error","OK")))</f>
        <v>OK</v>
      </c>
    </row>
    <row r="553" customFormat="false" ht="15" hidden="false" customHeight="false" outlineLevel="0" collapsed="false">
      <c r="A553" s="24" t="s">
        <v>632</v>
      </c>
      <c r="B553" s="31" t="n">
        <v>46172</v>
      </c>
      <c r="C553" s="24" t="s">
        <v>23</v>
      </c>
      <c r="D553" s="24" t="s">
        <v>34</v>
      </c>
      <c r="E553" s="24" t="s">
        <v>94</v>
      </c>
      <c r="F553" s="24" t="s">
        <v>45</v>
      </c>
      <c r="G553" s="31" t="n">
        <v>46174</v>
      </c>
      <c r="H553" s="24"/>
      <c r="I553" s="24"/>
      <c r="J553" s="24"/>
      <c r="K553" s="24" t="n">
        <v>2</v>
      </c>
      <c r="L553" s="24" t="str">
        <f aca="false">IF(J553&lt;&gt;"","Enrolled",IF(I553&lt;&gt;"","Admitted",IF(H553&lt;&gt;"","Applied",IF(G553&lt;&gt;"","Contacted","New"))))</f>
        <v>Contacted</v>
      </c>
      <c r="M553" s="32" t="n">
        <f aca="false">IF(G553="","",G553-B553)</f>
        <v>2</v>
      </c>
      <c r="N553" s="24" t="str">
        <f aca="false">IF(COUNTIF($A$2:A553,A553)&gt;1,"Duplicate ID",IF(C553="","Missing source",IF(OR(AND(G553&lt;&gt;"",G553&lt;B553),AND(H553&lt;&gt;"",H553&lt;B553),AND(I553&lt;&gt;"",I553&lt;H553),AND(J553&lt;&gt;"",J553&lt;I553)),"Date error","OK")))</f>
        <v>OK</v>
      </c>
    </row>
    <row r="554" customFormat="false" ht="15" hidden="false" customHeight="false" outlineLevel="0" collapsed="false">
      <c r="A554" s="24" t="s">
        <v>633</v>
      </c>
      <c r="B554" s="31" t="n">
        <v>46172</v>
      </c>
      <c r="C554" s="24" t="s">
        <v>25</v>
      </c>
      <c r="D554" s="24" t="s">
        <v>34</v>
      </c>
      <c r="E554" s="24" t="s">
        <v>81</v>
      </c>
      <c r="F554" s="24" t="s">
        <v>41</v>
      </c>
      <c r="G554" s="31" t="n">
        <v>46174</v>
      </c>
      <c r="H554" s="24"/>
      <c r="I554" s="24"/>
      <c r="J554" s="24"/>
      <c r="K554" s="24" t="n">
        <v>1</v>
      </c>
      <c r="L554" s="24" t="str">
        <f aca="false">IF(J554&lt;&gt;"","Enrolled",IF(I554&lt;&gt;"","Admitted",IF(H554&lt;&gt;"","Applied",IF(G554&lt;&gt;"","Contacted","New"))))</f>
        <v>Contacted</v>
      </c>
      <c r="M554" s="32" t="n">
        <f aca="false">IF(G554="","",G554-B554)</f>
        <v>2</v>
      </c>
      <c r="N554" s="24" t="str">
        <f aca="false">IF(COUNTIF($A$2:A554,A554)&gt;1,"Duplicate ID",IF(C554="","Missing source",IF(OR(AND(G554&lt;&gt;"",G554&lt;B554),AND(H554&lt;&gt;"",H554&lt;B554),AND(I554&lt;&gt;"",I554&lt;H554),AND(J554&lt;&gt;"",J554&lt;I554)),"Date error","OK")))</f>
        <v>OK</v>
      </c>
    </row>
    <row r="555" customFormat="false" ht="15" hidden="false" customHeight="false" outlineLevel="0" collapsed="false">
      <c r="A555" s="24" t="s">
        <v>634</v>
      </c>
      <c r="B555" s="31" t="n">
        <v>46172</v>
      </c>
      <c r="C555" s="24" t="s">
        <v>25</v>
      </c>
      <c r="D555" s="24" t="s">
        <v>36</v>
      </c>
      <c r="E555" s="24" t="s">
        <v>84</v>
      </c>
      <c r="F555" s="24" t="s">
        <v>44</v>
      </c>
      <c r="G555" s="31" t="n">
        <v>46176</v>
      </c>
      <c r="H555" s="24"/>
      <c r="I555" s="24"/>
      <c r="J555" s="24"/>
      <c r="K555" s="24" t="n">
        <v>3</v>
      </c>
      <c r="L555" s="24" t="str">
        <f aca="false">IF(J555&lt;&gt;"","Enrolled",IF(I555&lt;&gt;"","Admitted",IF(H555&lt;&gt;"","Applied",IF(G555&lt;&gt;"","Contacted","New"))))</f>
        <v>Contacted</v>
      </c>
      <c r="M555" s="32" t="n">
        <f aca="false">IF(G555="","",G555-B555)</f>
        <v>4</v>
      </c>
      <c r="N555" s="24" t="str">
        <f aca="false">IF(COUNTIF($A$2:A555,A555)&gt;1,"Duplicate ID",IF(C555="","Missing source",IF(OR(AND(G555&lt;&gt;"",G555&lt;B555),AND(H555&lt;&gt;"",H555&lt;B555),AND(I555&lt;&gt;"",I555&lt;H555),AND(J555&lt;&gt;"",J555&lt;I555)),"Date error","OK")))</f>
        <v>OK</v>
      </c>
    </row>
    <row r="556" customFormat="false" ht="15" hidden="false" customHeight="false" outlineLevel="0" collapsed="false">
      <c r="A556" s="24" t="s">
        <v>635</v>
      </c>
      <c r="B556" s="31" t="n">
        <v>46172</v>
      </c>
      <c r="C556" s="24" t="s">
        <v>25</v>
      </c>
      <c r="D556" s="24" t="s">
        <v>35</v>
      </c>
      <c r="E556" s="24" t="s">
        <v>79</v>
      </c>
      <c r="F556" s="24" t="s">
        <v>45</v>
      </c>
      <c r="G556" s="31" t="n">
        <v>46174</v>
      </c>
      <c r="H556" s="24"/>
      <c r="I556" s="24"/>
      <c r="J556" s="24"/>
      <c r="K556" s="24" t="n">
        <v>2</v>
      </c>
      <c r="L556" s="24" t="str">
        <f aca="false">IF(J556&lt;&gt;"","Enrolled",IF(I556&lt;&gt;"","Admitted",IF(H556&lt;&gt;"","Applied",IF(G556&lt;&gt;"","Contacted","New"))))</f>
        <v>Contacted</v>
      </c>
      <c r="M556" s="32" t="n">
        <f aca="false">IF(G556="","",G556-B556)</f>
        <v>2</v>
      </c>
      <c r="N556" s="24" t="str">
        <f aca="false">IF(COUNTIF($A$2:A556,A556)&gt;1,"Duplicate ID",IF(C556="","Missing source",IF(OR(AND(G556&lt;&gt;"",G556&lt;B556),AND(H556&lt;&gt;"",H556&lt;B556),AND(I556&lt;&gt;"",I556&lt;H556),AND(J556&lt;&gt;"",J556&lt;I556)),"Date error","OK")))</f>
        <v>OK</v>
      </c>
    </row>
    <row r="557" customFormat="false" ht="15" hidden="false" customHeight="false" outlineLevel="0" collapsed="false">
      <c r="A557" s="24" t="s">
        <v>636</v>
      </c>
      <c r="B557" s="31" t="n">
        <v>46172</v>
      </c>
      <c r="C557" s="24" t="s">
        <v>27</v>
      </c>
      <c r="D557" s="24" t="s">
        <v>36</v>
      </c>
      <c r="E557" s="24" t="s">
        <v>89</v>
      </c>
      <c r="F557" s="24" t="s">
        <v>40</v>
      </c>
      <c r="G557" s="31" t="n">
        <v>46172</v>
      </c>
      <c r="H557" s="24"/>
      <c r="I557" s="24"/>
      <c r="J557" s="24"/>
      <c r="K557" s="24" t="n">
        <v>2</v>
      </c>
      <c r="L557" s="24" t="str">
        <f aca="false">IF(J557&lt;&gt;"","Enrolled",IF(I557&lt;&gt;"","Admitted",IF(H557&lt;&gt;"","Applied",IF(G557&lt;&gt;"","Contacted","New"))))</f>
        <v>Contacted</v>
      </c>
      <c r="M557" s="32" t="n">
        <f aca="false">IF(G557="","",G557-B557)</f>
        <v>0</v>
      </c>
      <c r="N557" s="24" t="str">
        <f aca="false">IF(COUNTIF($A$2:A557,A557)&gt;1,"Duplicate ID",IF(C557="","Missing source",IF(OR(AND(G557&lt;&gt;"",G557&lt;B557),AND(H557&lt;&gt;"",H557&lt;B557),AND(I557&lt;&gt;"",I557&lt;H557),AND(J557&lt;&gt;"",J557&lt;I557)),"Date error","OK")))</f>
        <v>OK</v>
      </c>
    </row>
    <row r="558" customFormat="false" ht="15" hidden="false" customHeight="false" outlineLevel="0" collapsed="false">
      <c r="A558" s="24" t="s">
        <v>637</v>
      </c>
      <c r="B558" s="31" t="n">
        <v>46172</v>
      </c>
      <c r="C558" s="24" t="s">
        <v>26</v>
      </c>
      <c r="D558" s="24" t="s">
        <v>35</v>
      </c>
      <c r="E558" s="24" t="s">
        <v>89</v>
      </c>
      <c r="F558" s="24" t="s">
        <v>44</v>
      </c>
      <c r="G558" s="31" t="n">
        <v>46177</v>
      </c>
      <c r="H558" s="24"/>
      <c r="I558" s="24"/>
      <c r="J558" s="24"/>
      <c r="K558" s="24" t="n">
        <v>2</v>
      </c>
      <c r="L558" s="24" t="str">
        <f aca="false">IF(J558&lt;&gt;"","Enrolled",IF(I558&lt;&gt;"","Admitted",IF(H558&lt;&gt;"","Applied",IF(G558&lt;&gt;"","Contacted","New"))))</f>
        <v>Contacted</v>
      </c>
      <c r="M558" s="32" t="n">
        <f aca="false">IF(G558="","",G558-B558)</f>
        <v>5</v>
      </c>
      <c r="N558" s="24" t="str">
        <f aca="false">IF(COUNTIF($A$2:A558,A558)&gt;1,"Duplicate ID",IF(C558="","Missing source",IF(OR(AND(G558&lt;&gt;"",G558&lt;B558),AND(H558&lt;&gt;"",H558&lt;B558),AND(I558&lt;&gt;"",I558&lt;H558),AND(J558&lt;&gt;"",J558&lt;I558)),"Date error","OK")))</f>
        <v>OK</v>
      </c>
    </row>
    <row r="559" customFormat="false" ht="15" hidden="false" customHeight="false" outlineLevel="0" collapsed="false">
      <c r="A559" s="24" t="s">
        <v>638</v>
      </c>
      <c r="B559" s="31" t="n">
        <v>46172</v>
      </c>
      <c r="C559" s="24" t="s">
        <v>22</v>
      </c>
      <c r="D559" s="24" t="s">
        <v>36</v>
      </c>
      <c r="E559" s="24" t="s">
        <v>79</v>
      </c>
      <c r="F559" s="24" t="s">
        <v>45</v>
      </c>
      <c r="G559" s="31" t="n">
        <v>46175</v>
      </c>
      <c r="H559" s="24"/>
      <c r="I559" s="24"/>
      <c r="J559" s="24"/>
      <c r="K559" s="24" t="n">
        <v>1</v>
      </c>
      <c r="L559" s="24" t="str">
        <f aca="false">IF(J559&lt;&gt;"","Enrolled",IF(I559&lt;&gt;"","Admitted",IF(H559&lt;&gt;"","Applied",IF(G559&lt;&gt;"","Contacted","New"))))</f>
        <v>Contacted</v>
      </c>
      <c r="M559" s="32" t="n">
        <f aca="false">IF(G559="","",G559-B559)</f>
        <v>3</v>
      </c>
      <c r="N559" s="24" t="str">
        <f aca="false">IF(COUNTIF($A$2:A559,A559)&gt;1,"Duplicate ID",IF(C559="","Missing source",IF(OR(AND(G559&lt;&gt;"",G559&lt;B559),AND(H559&lt;&gt;"",H559&lt;B559),AND(I559&lt;&gt;"",I559&lt;H559),AND(J559&lt;&gt;"",J559&lt;I559)),"Date error","OK")))</f>
        <v>OK</v>
      </c>
    </row>
    <row r="560" customFormat="false" ht="15" hidden="false" customHeight="false" outlineLevel="0" collapsed="false">
      <c r="A560" s="24" t="s">
        <v>639</v>
      </c>
      <c r="B560" s="31" t="n">
        <v>46172</v>
      </c>
      <c r="C560" s="24" t="s">
        <v>26</v>
      </c>
      <c r="D560" s="24" t="s">
        <v>35</v>
      </c>
      <c r="E560" s="24" t="s">
        <v>94</v>
      </c>
      <c r="F560" s="24" t="s">
        <v>42</v>
      </c>
      <c r="G560" s="24"/>
      <c r="H560" s="24"/>
      <c r="I560" s="24"/>
      <c r="J560" s="24"/>
      <c r="K560" s="24" t="n">
        <v>0</v>
      </c>
      <c r="L560" s="24" t="str">
        <f aca="false">IF(J560&lt;&gt;"","Enrolled",IF(I560&lt;&gt;"","Admitted",IF(H560&lt;&gt;"","Applied",IF(G560&lt;&gt;"","Contacted","New"))))</f>
        <v>New</v>
      </c>
      <c r="M560" s="32" t="str">
        <f aca="false">IF(G560="","",G560-B560)</f>
        <v/>
      </c>
      <c r="N560" s="24" t="str">
        <f aca="false">IF(COUNTIF($A$2:A560,A560)&gt;1,"Duplicate ID",IF(C560="","Missing source",IF(OR(AND(G560&lt;&gt;"",G560&lt;B560),AND(H560&lt;&gt;"",H560&lt;B560),AND(I560&lt;&gt;"",I560&lt;H560),AND(J560&lt;&gt;"",J560&lt;I560)),"Date error","OK")))</f>
        <v>OK</v>
      </c>
    </row>
    <row r="561" customFormat="false" ht="15" hidden="false" customHeight="false" outlineLevel="0" collapsed="false">
      <c r="A561" s="24" t="s">
        <v>640</v>
      </c>
      <c r="B561" s="31" t="n">
        <v>46173</v>
      </c>
      <c r="C561" s="24" t="s">
        <v>24</v>
      </c>
      <c r="D561" s="24" t="s">
        <v>33</v>
      </c>
      <c r="E561" s="24" t="s">
        <v>89</v>
      </c>
      <c r="F561" s="24" t="s">
        <v>44</v>
      </c>
      <c r="G561" s="31" t="n">
        <v>46174</v>
      </c>
      <c r="H561" s="31" t="n">
        <v>46187</v>
      </c>
      <c r="I561" s="31" t="n">
        <v>46199</v>
      </c>
      <c r="J561" s="31" t="n">
        <v>46233</v>
      </c>
      <c r="K561" s="24" t="n">
        <v>2</v>
      </c>
      <c r="L561" s="24" t="str">
        <f aca="false">IF(J561&lt;&gt;"","Enrolled",IF(I561&lt;&gt;"","Admitted",IF(H561&lt;&gt;"","Applied",IF(G561&lt;&gt;"","Contacted","New"))))</f>
        <v>Enrolled</v>
      </c>
      <c r="M561" s="32" t="n">
        <f aca="false">IF(G561="","",G561-B561)</f>
        <v>1</v>
      </c>
      <c r="N561" s="24" t="str">
        <f aca="false">IF(COUNTIF($A$2:A561,A561)&gt;1,"Duplicate ID",IF(C561="","Missing source",IF(OR(AND(G561&lt;&gt;"",G561&lt;B561),AND(H561&lt;&gt;"",H561&lt;B561),AND(I561&lt;&gt;"",I561&lt;H561),AND(J561&lt;&gt;"",J561&lt;I561)),"Date error","OK")))</f>
        <v>OK</v>
      </c>
    </row>
    <row r="562" customFormat="false" ht="15" hidden="false" customHeight="false" outlineLevel="0" collapsed="false">
      <c r="A562" s="24" t="s">
        <v>641</v>
      </c>
      <c r="B562" s="31" t="n">
        <v>46173</v>
      </c>
      <c r="C562" s="24" t="s">
        <v>23</v>
      </c>
      <c r="D562" s="24" t="s">
        <v>36</v>
      </c>
      <c r="E562" s="24" t="s">
        <v>89</v>
      </c>
      <c r="F562" s="24" t="s">
        <v>44</v>
      </c>
      <c r="G562" s="31" t="n">
        <v>46176</v>
      </c>
      <c r="H562" s="31" t="n">
        <v>46195</v>
      </c>
      <c r="I562" s="31" t="n">
        <v>46204</v>
      </c>
      <c r="J562" s="24"/>
      <c r="K562" s="24" t="n">
        <v>4</v>
      </c>
      <c r="L562" s="24" t="str">
        <f aca="false">IF(J562&lt;&gt;"","Enrolled",IF(I562&lt;&gt;"","Admitted",IF(H562&lt;&gt;"","Applied",IF(G562&lt;&gt;"","Contacted","New"))))</f>
        <v>Admitted</v>
      </c>
      <c r="M562" s="32" t="n">
        <f aca="false">IF(G562="","",G562-B562)</f>
        <v>3</v>
      </c>
      <c r="N562" s="24" t="str">
        <f aca="false">IF(COUNTIF($A$2:A562,A562)&gt;1,"Duplicate ID",IF(C562="","Missing source",IF(OR(AND(G562&lt;&gt;"",G562&lt;B562),AND(H562&lt;&gt;"",H562&lt;B562),AND(I562&lt;&gt;"",I562&lt;H562),AND(J562&lt;&gt;"",J562&lt;I562)),"Date error","OK")))</f>
        <v>OK</v>
      </c>
    </row>
    <row r="563" customFormat="false" ht="15" hidden="false" customHeight="false" outlineLevel="0" collapsed="false">
      <c r="A563" s="24" t="s">
        <v>642</v>
      </c>
      <c r="B563" s="31" t="n">
        <v>46173</v>
      </c>
      <c r="C563" s="24" t="s">
        <v>22</v>
      </c>
      <c r="D563" s="24" t="s">
        <v>33</v>
      </c>
      <c r="E563" s="24" t="s">
        <v>79</v>
      </c>
      <c r="F563" s="24" t="s">
        <v>41</v>
      </c>
      <c r="G563" s="31" t="n">
        <v>46173</v>
      </c>
      <c r="H563" s="31" t="n">
        <v>46177</v>
      </c>
      <c r="I563" s="31" t="n">
        <v>46185</v>
      </c>
      <c r="J563" s="31" t="n">
        <v>46202</v>
      </c>
      <c r="K563" s="24" t="n">
        <v>6</v>
      </c>
      <c r="L563" s="24" t="str">
        <f aca="false">IF(J563&lt;&gt;"","Enrolled",IF(I563&lt;&gt;"","Admitted",IF(H563&lt;&gt;"","Applied",IF(G563&lt;&gt;"","Contacted","New"))))</f>
        <v>Enrolled</v>
      </c>
      <c r="M563" s="32" t="n">
        <f aca="false">IF(G563="","",G563-B563)</f>
        <v>0</v>
      </c>
      <c r="N563" s="24" t="str">
        <f aca="false">IF(COUNTIF($A$2:A563,A563)&gt;1,"Duplicate ID",IF(C563="","Missing source",IF(OR(AND(G563&lt;&gt;"",G563&lt;B563),AND(H563&lt;&gt;"",H563&lt;B563),AND(I563&lt;&gt;"",I563&lt;H563),AND(J563&lt;&gt;"",J563&lt;I563)),"Date error","OK")))</f>
        <v>OK</v>
      </c>
    </row>
    <row r="564" customFormat="false" ht="15" hidden="false" customHeight="false" outlineLevel="0" collapsed="false">
      <c r="A564" s="24" t="s">
        <v>643</v>
      </c>
      <c r="B564" s="31" t="n">
        <v>46173</v>
      </c>
      <c r="C564" s="24" t="s">
        <v>21</v>
      </c>
      <c r="D564" s="24" t="s">
        <v>33</v>
      </c>
      <c r="E564" s="24" t="s">
        <v>84</v>
      </c>
      <c r="F564" s="24" t="s">
        <v>45</v>
      </c>
      <c r="G564" s="31" t="n">
        <v>46178</v>
      </c>
      <c r="H564" s="31" t="n">
        <v>46188</v>
      </c>
      <c r="I564" s="31" t="n">
        <v>46203</v>
      </c>
      <c r="J564" s="31" t="n">
        <v>46214</v>
      </c>
      <c r="K564" s="24" t="n">
        <v>4</v>
      </c>
      <c r="L564" s="24" t="str">
        <f aca="false">IF(J564&lt;&gt;"","Enrolled",IF(I564&lt;&gt;"","Admitted",IF(H564&lt;&gt;"","Applied",IF(G564&lt;&gt;"","Contacted","New"))))</f>
        <v>Enrolled</v>
      </c>
      <c r="M564" s="32" t="n">
        <f aca="false">IF(G564="","",G564-B564)</f>
        <v>5</v>
      </c>
      <c r="N564" s="24" t="str">
        <f aca="false">IF(COUNTIF($A$2:A564,A564)&gt;1,"Duplicate ID",IF(C564="","Missing source",IF(OR(AND(G564&lt;&gt;"",G564&lt;B564),AND(H564&lt;&gt;"",H564&lt;B564),AND(I564&lt;&gt;"",I564&lt;H564),AND(J564&lt;&gt;"",J564&lt;I564)),"Date error","OK")))</f>
        <v>OK</v>
      </c>
    </row>
    <row r="565" customFormat="false" ht="15" hidden="false" customHeight="false" outlineLevel="0" collapsed="false">
      <c r="A565" s="24" t="s">
        <v>644</v>
      </c>
      <c r="B565" s="31" t="n">
        <v>46173</v>
      </c>
      <c r="C565" s="24" t="s">
        <v>25</v>
      </c>
      <c r="D565" s="24" t="s">
        <v>33</v>
      </c>
      <c r="E565" s="24" t="s">
        <v>94</v>
      </c>
      <c r="F565" s="24" t="s">
        <v>44</v>
      </c>
      <c r="G565" s="31" t="n">
        <v>46177</v>
      </c>
      <c r="H565" s="24"/>
      <c r="I565" s="24"/>
      <c r="J565" s="24"/>
      <c r="K565" s="24" t="n">
        <v>2</v>
      </c>
      <c r="L565" s="24" t="str">
        <f aca="false">IF(J565&lt;&gt;"","Enrolled",IF(I565&lt;&gt;"","Admitted",IF(H565&lt;&gt;"","Applied",IF(G565&lt;&gt;"","Contacted","New"))))</f>
        <v>Contacted</v>
      </c>
      <c r="M565" s="32" t="n">
        <f aca="false">IF(G565="","",G565-B565)</f>
        <v>4</v>
      </c>
      <c r="N565" s="24" t="str">
        <f aca="false">IF(COUNTIF($A$2:A565,A565)&gt;1,"Duplicate ID",IF(C565="","Missing source",IF(OR(AND(G565&lt;&gt;"",G565&lt;B565),AND(H565&lt;&gt;"",H565&lt;B565),AND(I565&lt;&gt;"",I565&lt;H565),AND(J565&lt;&gt;"",J565&lt;I565)),"Date error","OK")))</f>
        <v>OK</v>
      </c>
    </row>
    <row r="566" customFormat="false" ht="15" hidden="false" customHeight="false" outlineLevel="0" collapsed="false">
      <c r="A566" s="24" t="s">
        <v>645</v>
      </c>
      <c r="B566" s="31" t="n">
        <v>46174</v>
      </c>
      <c r="C566" s="24" t="s">
        <v>22</v>
      </c>
      <c r="D566" s="24" t="s">
        <v>33</v>
      </c>
      <c r="E566" s="24" t="s">
        <v>81</v>
      </c>
      <c r="F566" s="24" t="s">
        <v>45</v>
      </c>
      <c r="G566" s="31" t="n">
        <v>46175</v>
      </c>
      <c r="H566" s="24"/>
      <c r="I566" s="24"/>
      <c r="J566" s="24"/>
      <c r="K566" s="24" t="n">
        <v>5</v>
      </c>
      <c r="L566" s="24" t="str">
        <f aca="false">IF(J566&lt;&gt;"","Enrolled",IF(I566&lt;&gt;"","Admitted",IF(H566&lt;&gt;"","Applied",IF(G566&lt;&gt;"","Contacted","New"))))</f>
        <v>Contacted</v>
      </c>
      <c r="M566" s="32" t="n">
        <f aca="false">IF(G566="","",G566-B566)</f>
        <v>1</v>
      </c>
      <c r="N566" s="24" t="str">
        <f aca="false">IF(COUNTIF($A$2:A566,A566)&gt;1,"Duplicate ID",IF(C566="","Missing source",IF(OR(AND(G566&lt;&gt;"",G566&lt;B566),AND(H566&lt;&gt;"",H566&lt;B566),AND(I566&lt;&gt;"",I566&lt;H566),AND(J566&lt;&gt;"",J566&lt;I566)),"Date error","OK")))</f>
        <v>OK</v>
      </c>
    </row>
    <row r="567" customFormat="false" ht="15" hidden="false" customHeight="false" outlineLevel="0" collapsed="false">
      <c r="A567" s="24" t="s">
        <v>646</v>
      </c>
      <c r="B567" s="31" t="n">
        <v>46174</v>
      </c>
      <c r="C567" s="24" t="s">
        <v>24</v>
      </c>
      <c r="D567" s="24" t="s">
        <v>33</v>
      </c>
      <c r="E567" s="24" t="s">
        <v>89</v>
      </c>
      <c r="F567" s="24" t="s">
        <v>43</v>
      </c>
      <c r="G567" s="31" t="n">
        <v>46176</v>
      </c>
      <c r="H567" s="24"/>
      <c r="I567" s="24"/>
      <c r="J567" s="24"/>
      <c r="K567" s="24" t="n">
        <v>4</v>
      </c>
      <c r="L567" s="24" t="str">
        <f aca="false">IF(J567&lt;&gt;"","Enrolled",IF(I567&lt;&gt;"","Admitted",IF(H567&lt;&gt;"","Applied",IF(G567&lt;&gt;"","Contacted","New"))))</f>
        <v>Contacted</v>
      </c>
      <c r="M567" s="32" t="n">
        <f aca="false">IF(G567="","",G567-B567)</f>
        <v>2</v>
      </c>
      <c r="N567" s="24" t="str">
        <f aca="false">IF(COUNTIF($A$2:A567,A567)&gt;1,"Duplicate ID",IF(C567="","Missing source",IF(OR(AND(G567&lt;&gt;"",G567&lt;B567),AND(H567&lt;&gt;"",H567&lt;B567),AND(I567&lt;&gt;"",I567&lt;H567),AND(J567&lt;&gt;"",J567&lt;I567)),"Date error","OK")))</f>
        <v>OK</v>
      </c>
    </row>
    <row r="568" customFormat="false" ht="15" hidden="false" customHeight="false" outlineLevel="0" collapsed="false">
      <c r="A568" s="24" t="s">
        <v>647</v>
      </c>
      <c r="B568" s="31" t="n">
        <v>46174</v>
      </c>
      <c r="C568" s="24" t="s">
        <v>26</v>
      </c>
      <c r="D568" s="24" t="s">
        <v>33</v>
      </c>
      <c r="E568" s="24" t="s">
        <v>79</v>
      </c>
      <c r="F568" s="24" t="s">
        <v>45</v>
      </c>
      <c r="G568" s="31" t="n">
        <v>46174</v>
      </c>
      <c r="H568" s="24"/>
      <c r="I568" s="24"/>
      <c r="J568" s="24"/>
      <c r="K568" s="24" t="n">
        <v>2</v>
      </c>
      <c r="L568" s="24" t="str">
        <f aca="false">IF(J568&lt;&gt;"","Enrolled",IF(I568&lt;&gt;"","Admitted",IF(H568&lt;&gt;"","Applied",IF(G568&lt;&gt;"","Contacted","New"))))</f>
        <v>Contacted</v>
      </c>
      <c r="M568" s="32" t="n">
        <f aca="false">IF(G568="","",G568-B568)</f>
        <v>0</v>
      </c>
      <c r="N568" s="24" t="str">
        <f aca="false">IF(COUNTIF($A$2:A568,A568)&gt;1,"Duplicate ID",IF(C568="","Missing source",IF(OR(AND(G568&lt;&gt;"",G568&lt;B568),AND(H568&lt;&gt;"",H568&lt;B568),AND(I568&lt;&gt;"",I568&lt;H568),AND(J568&lt;&gt;"",J568&lt;I568)),"Date error","OK")))</f>
        <v>OK</v>
      </c>
    </row>
    <row r="569" customFormat="false" ht="15" hidden="false" customHeight="false" outlineLevel="0" collapsed="false">
      <c r="A569" s="24" t="s">
        <v>648</v>
      </c>
      <c r="B569" s="31" t="n">
        <v>46174</v>
      </c>
      <c r="C569" s="24" t="s">
        <v>21</v>
      </c>
      <c r="D569" s="24" t="s">
        <v>36</v>
      </c>
      <c r="E569" s="24" t="s">
        <v>89</v>
      </c>
      <c r="F569" s="24" t="s">
        <v>44</v>
      </c>
      <c r="G569" s="31" t="n">
        <v>46175</v>
      </c>
      <c r="H569" s="24"/>
      <c r="I569" s="24"/>
      <c r="J569" s="24"/>
      <c r="K569" s="24" t="n">
        <v>6</v>
      </c>
      <c r="L569" s="24" t="str">
        <f aca="false">IF(J569&lt;&gt;"","Enrolled",IF(I569&lt;&gt;"","Admitted",IF(H569&lt;&gt;"","Applied",IF(G569&lt;&gt;"","Contacted","New"))))</f>
        <v>Contacted</v>
      </c>
      <c r="M569" s="32" t="n">
        <f aca="false">IF(G569="","",G569-B569)</f>
        <v>1</v>
      </c>
      <c r="N569" s="24" t="str">
        <f aca="false">IF(COUNTIF($A$2:A569,A569)&gt;1,"Duplicate ID",IF(C569="","Missing source",IF(OR(AND(G569&lt;&gt;"",G569&lt;B569),AND(H569&lt;&gt;"",H569&lt;B569),AND(I569&lt;&gt;"",I569&lt;H569),AND(J569&lt;&gt;"",J569&lt;I569)),"Date error","OK")))</f>
        <v>OK</v>
      </c>
    </row>
    <row r="570" customFormat="false" ht="15" hidden="false" customHeight="false" outlineLevel="0" collapsed="false">
      <c r="A570" s="24" t="s">
        <v>649</v>
      </c>
      <c r="B570" s="31" t="n">
        <v>46174</v>
      </c>
      <c r="C570" s="24" t="s">
        <v>25</v>
      </c>
      <c r="D570" s="24" t="s">
        <v>36</v>
      </c>
      <c r="E570" s="24" t="s">
        <v>94</v>
      </c>
      <c r="F570" s="24" t="s">
        <v>44</v>
      </c>
      <c r="G570" s="31" t="n">
        <v>46177</v>
      </c>
      <c r="H570" s="31" t="n">
        <v>46182</v>
      </c>
      <c r="I570" s="31" t="n">
        <v>46195</v>
      </c>
      <c r="J570" s="31" t="n">
        <v>46216</v>
      </c>
      <c r="K570" s="24" t="n">
        <v>4</v>
      </c>
      <c r="L570" s="24" t="str">
        <f aca="false">IF(J570&lt;&gt;"","Enrolled",IF(I570&lt;&gt;"","Admitted",IF(H570&lt;&gt;"","Applied",IF(G570&lt;&gt;"","Contacted","New"))))</f>
        <v>Enrolled</v>
      </c>
      <c r="M570" s="32" t="n">
        <f aca="false">IF(G570="","",G570-B570)</f>
        <v>3</v>
      </c>
      <c r="N570" s="24" t="str">
        <f aca="false">IF(COUNTIF($A$2:A570,A570)&gt;1,"Duplicate ID",IF(C570="","Missing source",IF(OR(AND(G570&lt;&gt;"",G570&lt;B570),AND(H570&lt;&gt;"",H570&lt;B570),AND(I570&lt;&gt;"",I570&lt;H570),AND(J570&lt;&gt;"",J570&lt;I570)),"Date error","OK")))</f>
        <v>OK</v>
      </c>
    </row>
    <row r="571" customFormat="false" ht="15" hidden="false" customHeight="false" outlineLevel="0" collapsed="false">
      <c r="A571" s="24" t="s">
        <v>650</v>
      </c>
      <c r="B571" s="31" t="n">
        <v>46174</v>
      </c>
      <c r="C571" s="24" t="s">
        <v>21</v>
      </c>
      <c r="D571" s="24" t="s">
        <v>33</v>
      </c>
      <c r="E571" s="24" t="s">
        <v>89</v>
      </c>
      <c r="F571" s="24" t="s">
        <v>41</v>
      </c>
      <c r="G571" s="31" t="n">
        <v>46175</v>
      </c>
      <c r="H571" s="24"/>
      <c r="I571" s="24"/>
      <c r="J571" s="24"/>
      <c r="K571" s="24" t="n">
        <v>3</v>
      </c>
      <c r="L571" s="24" t="str">
        <f aca="false">IF(J571&lt;&gt;"","Enrolled",IF(I571&lt;&gt;"","Admitted",IF(H571&lt;&gt;"","Applied",IF(G571&lt;&gt;"","Contacted","New"))))</f>
        <v>Contacted</v>
      </c>
      <c r="M571" s="32" t="n">
        <f aca="false">IF(G571="","",G571-B571)</f>
        <v>1</v>
      </c>
      <c r="N571" s="24" t="str">
        <f aca="false">IF(COUNTIF($A$2:A571,A571)&gt;1,"Duplicate ID",IF(C571="","Missing source",IF(OR(AND(G571&lt;&gt;"",G571&lt;B571),AND(H571&lt;&gt;"",H571&lt;B571),AND(I571&lt;&gt;"",I571&lt;H571),AND(J571&lt;&gt;"",J571&lt;I571)),"Date error","OK")))</f>
        <v>OK</v>
      </c>
    </row>
    <row r="572" customFormat="false" ht="15" hidden="false" customHeight="false" outlineLevel="0" collapsed="false">
      <c r="A572" s="24" t="s">
        <v>651</v>
      </c>
      <c r="B572" s="31" t="n">
        <v>46175</v>
      </c>
      <c r="C572" s="24" t="s">
        <v>25</v>
      </c>
      <c r="D572" s="24" t="s">
        <v>33</v>
      </c>
      <c r="E572" s="24" t="s">
        <v>94</v>
      </c>
      <c r="F572" s="24" t="s">
        <v>43</v>
      </c>
      <c r="G572" s="31" t="n">
        <v>46177</v>
      </c>
      <c r="H572" s="24"/>
      <c r="I572" s="24"/>
      <c r="J572" s="24"/>
      <c r="K572" s="24" t="n">
        <v>2</v>
      </c>
      <c r="L572" s="24" t="str">
        <f aca="false">IF(J572&lt;&gt;"","Enrolled",IF(I572&lt;&gt;"","Admitted",IF(H572&lt;&gt;"","Applied",IF(G572&lt;&gt;"","Contacted","New"))))</f>
        <v>Contacted</v>
      </c>
      <c r="M572" s="32" t="n">
        <f aca="false">IF(G572="","",G572-B572)</f>
        <v>2</v>
      </c>
      <c r="N572" s="24" t="str">
        <f aca="false">IF(COUNTIF($A$2:A572,A572)&gt;1,"Duplicate ID",IF(C572="","Missing source",IF(OR(AND(G572&lt;&gt;"",G572&lt;B572),AND(H572&lt;&gt;"",H572&lt;B572),AND(I572&lt;&gt;"",I572&lt;H572),AND(J572&lt;&gt;"",J572&lt;I572)),"Date error","OK")))</f>
        <v>OK</v>
      </c>
    </row>
    <row r="573" customFormat="false" ht="15" hidden="false" customHeight="false" outlineLevel="0" collapsed="false">
      <c r="A573" s="24" t="s">
        <v>652</v>
      </c>
      <c r="B573" s="31" t="n">
        <v>46175</v>
      </c>
      <c r="C573" s="24" t="s">
        <v>25</v>
      </c>
      <c r="D573" s="24" t="s">
        <v>33</v>
      </c>
      <c r="E573" s="24" t="s">
        <v>94</v>
      </c>
      <c r="F573" s="24" t="s">
        <v>42</v>
      </c>
      <c r="G573" s="31" t="n">
        <v>46175</v>
      </c>
      <c r="H573" s="24"/>
      <c r="I573" s="24"/>
      <c r="J573" s="24"/>
      <c r="K573" s="24" t="n">
        <v>2</v>
      </c>
      <c r="L573" s="24" t="str">
        <f aca="false">IF(J573&lt;&gt;"","Enrolled",IF(I573&lt;&gt;"","Admitted",IF(H573&lt;&gt;"","Applied",IF(G573&lt;&gt;"","Contacted","New"))))</f>
        <v>Contacted</v>
      </c>
      <c r="M573" s="32" t="n">
        <f aca="false">IF(G573="","",G573-B573)</f>
        <v>0</v>
      </c>
      <c r="N573" s="24" t="str">
        <f aca="false">IF(COUNTIF($A$2:A573,A573)&gt;1,"Duplicate ID",IF(C573="","Missing source",IF(OR(AND(G573&lt;&gt;"",G573&lt;B573),AND(H573&lt;&gt;"",H573&lt;B573),AND(I573&lt;&gt;"",I573&lt;H573),AND(J573&lt;&gt;"",J573&lt;I573)),"Date error","OK")))</f>
        <v>OK</v>
      </c>
    </row>
    <row r="574" customFormat="false" ht="15" hidden="false" customHeight="false" outlineLevel="0" collapsed="false">
      <c r="A574" s="24" t="s">
        <v>653</v>
      </c>
      <c r="B574" s="31" t="n">
        <v>46175</v>
      </c>
      <c r="C574" s="24" t="s">
        <v>27</v>
      </c>
      <c r="D574" s="24" t="s">
        <v>32</v>
      </c>
      <c r="E574" s="24" t="s">
        <v>94</v>
      </c>
      <c r="F574" s="24" t="s">
        <v>41</v>
      </c>
      <c r="G574" s="31" t="n">
        <v>46176</v>
      </c>
      <c r="H574" s="31" t="n">
        <v>46180</v>
      </c>
      <c r="I574" s="31" t="n">
        <v>46191</v>
      </c>
      <c r="J574" s="31" t="n">
        <v>46213</v>
      </c>
      <c r="K574" s="24" t="n">
        <v>4</v>
      </c>
      <c r="L574" s="24" t="str">
        <f aca="false">IF(J574&lt;&gt;"","Enrolled",IF(I574&lt;&gt;"","Admitted",IF(H574&lt;&gt;"","Applied",IF(G574&lt;&gt;"","Contacted","New"))))</f>
        <v>Enrolled</v>
      </c>
      <c r="M574" s="32" t="n">
        <f aca="false">IF(G574="","",G574-B574)</f>
        <v>1</v>
      </c>
      <c r="N574" s="24" t="str">
        <f aca="false">IF(COUNTIF($A$2:A574,A574)&gt;1,"Duplicate ID",IF(C574="","Missing source",IF(OR(AND(G574&lt;&gt;"",G574&lt;B574),AND(H574&lt;&gt;"",H574&lt;B574),AND(I574&lt;&gt;"",I574&lt;H574),AND(J574&lt;&gt;"",J574&lt;I574)),"Date error","OK")))</f>
        <v>OK</v>
      </c>
    </row>
    <row r="575" customFormat="false" ht="15" hidden="false" customHeight="false" outlineLevel="0" collapsed="false">
      <c r="A575" s="24" t="s">
        <v>654</v>
      </c>
      <c r="B575" s="31" t="n">
        <v>46175</v>
      </c>
      <c r="C575" s="24" t="s">
        <v>26</v>
      </c>
      <c r="D575" s="24" t="s">
        <v>33</v>
      </c>
      <c r="E575" s="24" t="s">
        <v>94</v>
      </c>
      <c r="F575" s="24" t="s">
        <v>45</v>
      </c>
      <c r="G575" s="31" t="n">
        <v>46178</v>
      </c>
      <c r="H575" s="24"/>
      <c r="I575" s="24"/>
      <c r="J575" s="24"/>
      <c r="K575" s="24" t="n">
        <v>1</v>
      </c>
      <c r="L575" s="24" t="str">
        <f aca="false">IF(J575&lt;&gt;"","Enrolled",IF(I575&lt;&gt;"","Admitted",IF(H575&lt;&gt;"","Applied",IF(G575&lt;&gt;"","Contacted","New"))))</f>
        <v>Contacted</v>
      </c>
      <c r="M575" s="32" t="n">
        <f aca="false">IF(G575="","",G575-B575)</f>
        <v>3</v>
      </c>
      <c r="N575" s="24" t="str">
        <f aca="false">IF(COUNTIF($A$2:A575,A575)&gt;1,"Duplicate ID",IF(C575="","Missing source",IF(OR(AND(G575&lt;&gt;"",G575&lt;B575),AND(H575&lt;&gt;"",H575&lt;B575),AND(I575&lt;&gt;"",I575&lt;H575),AND(J575&lt;&gt;"",J575&lt;I575)),"Date error","OK")))</f>
        <v>OK</v>
      </c>
    </row>
    <row r="576" customFormat="false" ht="15" hidden="false" customHeight="false" outlineLevel="0" collapsed="false">
      <c r="A576" s="24" t="s">
        <v>655</v>
      </c>
      <c r="B576" s="31" t="n">
        <v>46175</v>
      </c>
      <c r="C576" s="24" t="s">
        <v>21</v>
      </c>
      <c r="D576" s="24" t="s">
        <v>32</v>
      </c>
      <c r="E576" s="24" t="s">
        <v>89</v>
      </c>
      <c r="F576" s="24" t="s">
        <v>45</v>
      </c>
      <c r="G576" s="31" t="n">
        <v>46176</v>
      </c>
      <c r="H576" s="31" t="n">
        <v>46193</v>
      </c>
      <c r="I576" s="24"/>
      <c r="J576" s="24"/>
      <c r="K576" s="24" t="n">
        <v>4</v>
      </c>
      <c r="L576" s="24" t="str">
        <f aca="false">IF(J576&lt;&gt;"","Enrolled",IF(I576&lt;&gt;"","Admitted",IF(H576&lt;&gt;"","Applied",IF(G576&lt;&gt;"","Contacted","New"))))</f>
        <v>Applied</v>
      </c>
      <c r="M576" s="32" t="n">
        <f aca="false">IF(G576="","",G576-B576)</f>
        <v>1</v>
      </c>
      <c r="N576" s="24" t="str">
        <f aca="false">IF(COUNTIF($A$2:A576,A576)&gt;1,"Duplicate ID",IF(C576="","Missing source",IF(OR(AND(G576&lt;&gt;"",G576&lt;B576),AND(H576&lt;&gt;"",H576&lt;B576),AND(I576&lt;&gt;"",I576&lt;H576),AND(J576&lt;&gt;"",J576&lt;I576)),"Date error","OK")))</f>
        <v>OK</v>
      </c>
    </row>
    <row r="577" customFormat="false" ht="15" hidden="false" customHeight="false" outlineLevel="0" collapsed="false">
      <c r="A577" s="24" t="s">
        <v>656</v>
      </c>
      <c r="B577" s="31" t="n">
        <v>46175</v>
      </c>
      <c r="C577" s="24" t="s">
        <v>25</v>
      </c>
      <c r="D577" s="24" t="s">
        <v>33</v>
      </c>
      <c r="E577" s="24" t="s">
        <v>94</v>
      </c>
      <c r="F577" s="24" t="s">
        <v>45</v>
      </c>
      <c r="G577" s="31" t="n">
        <v>46175</v>
      </c>
      <c r="H577" s="24"/>
      <c r="I577" s="24"/>
      <c r="J577" s="24"/>
      <c r="K577" s="24" t="n">
        <v>5</v>
      </c>
      <c r="L577" s="24" t="str">
        <f aca="false">IF(J577&lt;&gt;"","Enrolled",IF(I577&lt;&gt;"","Admitted",IF(H577&lt;&gt;"","Applied",IF(G577&lt;&gt;"","Contacted","New"))))</f>
        <v>Contacted</v>
      </c>
      <c r="M577" s="32" t="n">
        <f aca="false">IF(G577="","",G577-B577)</f>
        <v>0</v>
      </c>
      <c r="N577" s="24" t="str">
        <f aca="false">IF(COUNTIF($A$2:A577,A577)&gt;1,"Duplicate ID",IF(C577="","Missing source",IF(OR(AND(G577&lt;&gt;"",G577&lt;B577),AND(H577&lt;&gt;"",H577&lt;B577),AND(I577&lt;&gt;"",I577&lt;H577),AND(J577&lt;&gt;"",J577&lt;I577)),"Date error","OK")))</f>
        <v>OK</v>
      </c>
    </row>
    <row r="578" customFormat="false" ht="15" hidden="false" customHeight="false" outlineLevel="0" collapsed="false">
      <c r="A578" s="24" t="s">
        <v>657</v>
      </c>
      <c r="B578" s="31" t="n">
        <v>46175</v>
      </c>
      <c r="C578" s="24" t="s">
        <v>22</v>
      </c>
      <c r="D578" s="24" t="s">
        <v>33</v>
      </c>
      <c r="E578" s="24" t="s">
        <v>79</v>
      </c>
      <c r="F578" s="24" t="s">
        <v>40</v>
      </c>
      <c r="G578" s="24"/>
      <c r="H578" s="24"/>
      <c r="I578" s="24"/>
      <c r="J578" s="24"/>
      <c r="K578" s="24" t="n">
        <v>0</v>
      </c>
      <c r="L578" s="24" t="str">
        <f aca="false">IF(J578&lt;&gt;"","Enrolled",IF(I578&lt;&gt;"","Admitted",IF(H578&lt;&gt;"","Applied",IF(G578&lt;&gt;"","Contacted","New"))))</f>
        <v>New</v>
      </c>
      <c r="M578" s="32" t="str">
        <f aca="false">IF(G578="","",G578-B578)</f>
        <v/>
      </c>
      <c r="N578" s="24" t="str">
        <f aca="false">IF(COUNTIF($A$2:A578,A578)&gt;1,"Duplicate ID",IF(C578="","Missing source",IF(OR(AND(G578&lt;&gt;"",G578&lt;B578),AND(H578&lt;&gt;"",H578&lt;B578),AND(I578&lt;&gt;"",I578&lt;H578),AND(J578&lt;&gt;"",J578&lt;I578)),"Date error","OK")))</f>
        <v>OK</v>
      </c>
    </row>
    <row r="579" customFormat="false" ht="15" hidden="false" customHeight="false" outlineLevel="0" collapsed="false">
      <c r="A579" s="24" t="s">
        <v>658</v>
      </c>
      <c r="B579" s="31" t="n">
        <v>46175</v>
      </c>
      <c r="C579" s="24" t="s">
        <v>23</v>
      </c>
      <c r="D579" s="24" t="s">
        <v>34</v>
      </c>
      <c r="E579" s="24" t="s">
        <v>89</v>
      </c>
      <c r="F579" s="24" t="s">
        <v>41</v>
      </c>
      <c r="G579" s="31" t="n">
        <v>46176</v>
      </c>
      <c r="H579" s="31" t="n">
        <v>46199</v>
      </c>
      <c r="I579" s="31" t="n">
        <v>46209</v>
      </c>
      <c r="J579" s="31" t="n">
        <v>46240</v>
      </c>
      <c r="K579" s="24" t="n">
        <v>6</v>
      </c>
      <c r="L579" s="24" t="str">
        <f aca="false">IF(J579&lt;&gt;"","Enrolled",IF(I579&lt;&gt;"","Admitted",IF(H579&lt;&gt;"","Applied",IF(G579&lt;&gt;"","Contacted","New"))))</f>
        <v>Enrolled</v>
      </c>
      <c r="M579" s="32" t="n">
        <f aca="false">IF(G579="","",G579-B579)</f>
        <v>1</v>
      </c>
      <c r="N579" s="24" t="str">
        <f aca="false">IF(COUNTIF($A$2:A579,A579)&gt;1,"Duplicate ID",IF(C579="","Missing source",IF(OR(AND(G579&lt;&gt;"",G579&lt;B579),AND(H579&lt;&gt;"",H579&lt;B579),AND(I579&lt;&gt;"",I579&lt;H579),AND(J579&lt;&gt;"",J579&lt;I579)),"Date error","OK")))</f>
        <v>OK</v>
      </c>
    </row>
    <row r="580" customFormat="false" ht="15" hidden="false" customHeight="false" outlineLevel="0" collapsed="false">
      <c r="A580" s="24" t="s">
        <v>659</v>
      </c>
      <c r="B580" s="31" t="n">
        <v>46175</v>
      </c>
      <c r="C580" s="24" t="s">
        <v>26</v>
      </c>
      <c r="D580" s="24" t="s">
        <v>33</v>
      </c>
      <c r="E580" s="24" t="s">
        <v>79</v>
      </c>
      <c r="F580" s="24" t="s">
        <v>44</v>
      </c>
      <c r="G580" s="24"/>
      <c r="H580" s="24"/>
      <c r="I580" s="24"/>
      <c r="J580" s="24"/>
      <c r="K580" s="24" t="n">
        <v>0</v>
      </c>
      <c r="L580" s="24" t="str">
        <f aca="false">IF(J580&lt;&gt;"","Enrolled",IF(I580&lt;&gt;"","Admitted",IF(H580&lt;&gt;"","Applied",IF(G580&lt;&gt;"","Contacted","New"))))</f>
        <v>New</v>
      </c>
      <c r="M580" s="32" t="str">
        <f aca="false">IF(G580="","",G580-B580)</f>
        <v/>
      </c>
      <c r="N580" s="24" t="str">
        <f aca="false">IF(COUNTIF($A$2:A580,A580)&gt;1,"Duplicate ID",IF(C580="","Missing source",IF(OR(AND(G580&lt;&gt;"",G580&lt;B580),AND(H580&lt;&gt;"",H580&lt;B580),AND(I580&lt;&gt;"",I580&lt;H580),AND(J580&lt;&gt;"",J580&lt;I580)),"Date error","OK")))</f>
        <v>OK</v>
      </c>
    </row>
    <row r="581" customFormat="false" ht="15" hidden="false" customHeight="false" outlineLevel="0" collapsed="false">
      <c r="A581" s="24" t="s">
        <v>660</v>
      </c>
      <c r="B581" s="31" t="n">
        <v>46175</v>
      </c>
      <c r="C581" s="24" t="s">
        <v>23</v>
      </c>
      <c r="D581" s="24" t="s">
        <v>33</v>
      </c>
      <c r="E581" s="24" t="s">
        <v>81</v>
      </c>
      <c r="F581" s="24" t="s">
        <v>45</v>
      </c>
      <c r="G581" s="31" t="n">
        <v>46176</v>
      </c>
      <c r="H581" s="24"/>
      <c r="I581" s="24"/>
      <c r="J581" s="24"/>
      <c r="K581" s="24" t="n">
        <v>0</v>
      </c>
      <c r="L581" s="24" t="str">
        <f aca="false">IF(J581&lt;&gt;"","Enrolled",IF(I581&lt;&gt;"","Admitted",IF(H581&lt;&gt;"","Applied",IF(G581&lt;&gt;"","Contacted","New"))))</f>
        <v>Contacted</v>
      </c>
      <c r="M581" s="32" t="n">
        <f aca="false">IF(G581="","",G581-B581)</f>
        <v>1</v>
      </c>
      <c r="N581" s="24" t="str">
        <f aca="false">IF(COUNTIF($A$2:A581,A581)&gt;1,"Duplicate ID",IF(C581="","Missing source",IF(OR(AND(G581&lt;&gt;"",G581&lt;B581),AND(H581&lt;&gt;"",H581&lt;B581),AND(I581&lt;&gt;"",I581&lt;H581),AND(J581&lt;&gt;"",J581&lt;I581)),"Date error","OK")))</f>
        <v>OK</v>
      </c>
    </row>
    <row r="582" customFormat="false" ht="15" hidden="false" customHeight="false" outlineLevel="0" collapsed="false">
      <c r="A582" s="24" t="s">
        <v>661</v>
      </c>
      <c r="B582" s="31" t="n">
        <v>46175</v>
      </c>
      <c r="C582" s="24" t="s">
        <v>23</v>
      </c>
      <c r="D582" s="24" t="s">
        <v>32</v>
      </c>
      <c r="E582" s="24" t="s">
        <v>94</v>
      </c>
      <c r="F582" s="24" t="s">
        <v>45</v>
      </c>
      <c r="G582" s="31" t="n">
        <v>46181</v>
      </c>
      <c r="H582" s="24"/>
      <c r="I582" s="24"/>
      <c r="J582" s="24"/>
      <c r="K582" s="24" t="n">
        <v>3</v>
      </c>
      <c r="L582" s="24" t="str">
        <f aca="false">IF(J582&lt;&gt;"","Enrolled",IF(I582&lt;&gt;"","Admitted",IF(H582&lt;&gt;"","Applied",IF(G582&lt;&gt;"","Contacted","New"))))</f>
        <v>Contacted</v>
      </c>
      <c r="M582" s="32" t="n">
        <f aca="false">IF(G582="","",G582-B582)</f>
        <v>6</v>
      </c>
      <c r="N582" s="24" t="str">
        <f aca="false">IF(COUNTIF($A$2:A582,A582)&gt;1,"Duplicate ID",IF(C582="","Missing source",IF(OR(AND(G582&lt;&gt;"",G582&lt;B582),AND(H582&lt;&gt;"",H582&lt;B582),AND(I582&lt;&gt;"",I582&lt;H582),AND(J582&lt;&gt;"",J582&lt;I582)),"Date error","OK")))</f>
        <v>OK</v>
      </c>
    </row>
    <row r="583" customFormat="false" ht="15" hidden="false" customHeight="false" outlineLevel="0" collapsed="false">
      <c r="A583" s="24" t="s">
        <v>662</v>
      </c>
      <c r="B583" s="31" t="n">
        <v>46175</v>
      </c>
      <c r="C583" s="24" t="s">
        <v>27</v>
      </c>
      <c r="D583" s="24" t="s">
        <v>36</v>
      </c>
      <c r="E583" s="24" t="s">
        <v>94</v>
      </c>
      <c r="F583" s="24" t="s">
        <v>40</v>
      </c>
      <c r="G583" s="31" t="n">
        <v>46175</v>
      </c>
      <c r="H583" s="24"/>
      <c r="I583" s="24"/>
      <c r="J583" s="24"/>
      <c r="K583" s="24" t="n">
        <v>4</v>
      </c>
      <c r="L583" s="24" t="str">
        <f aca="false">IF(J583&lt;&gt;"","Enrolled",IF(I583&lt;&gt;"","Admitted",IF(H583&lt;&gt;"","Applied",IF(G583&lt;&gt;"","Contacted","New"))))</f>
        <v>Contacted</v>
      </c>
      <c r="M583" s="32" t="n">
        <f aca="false">IF(G583="","",G583-B583)</f>
        <v>0</v>
      </c>
      <c r="N583" s="24" t="str">
        <f aca="false">IF(COUNTIF($A$2:A583,A583)&gt;1,"Duplicate ID",IF(C583="","Missing source",IF(OR(AND(G583&lt;&gt;"",G583&lt;B583),AND(H583&lt;&gt;"",H583&lt;B583),AND(I583&lt;&gt;"",I583&lt;H583),AND(J583&lt;&gt;"",J583&lt;I583)),"Date error","OK")))</f>
        <v>OK</v>
      </c>
    </row>
    <row r="584" customFormat="false" ht="15" hidden="false" customHeight="false" outlineLevel="0" collapsed="false">
      <c r="A584" s="24" t="s">
        <v>663</v>
      </c>
      <c r="B584" s="31" t="n">
        <v>46175</v>
      </c>
      <c r="C584" s="24" t="s">
        <v>27</v>
      </c>
      <c r="D584" s="24" t="s">
        <v>35</v>
      </c>
      <c r="E584" s="24" t="s">
        <v>89</v>
      </c>
      <c r="F584" s="24" t="s">
        <v>43</v>
      </c>
      <c r="G584" s="31" t="n">
        <v>46175</v>
      </c>
      <c r="H584" s="24"/>
      <c r="I584" s="24"/>
      <c r="J584" s="24"/>
      <c r="K584" s="24" t="n">
        <v>2</v>
      </c>
      <c r="L584" s="24" t="str">
        <f aca="false">IF(J584&lt;&gt;"","Enrolled",IF(I584&lt;&gt;"","Admitted",IF(H584&lt;&gt;"","Applied",IF(G584&lt;&gt;"","Contacted","New"))))</f>
        <v>Contacted</v>
      </c>
      <c r="M584" s="32" t="n">
        <f aca="false">IF(G584="","",G584-B584)</f>
        <v>0</v>
      </c>
      <c r="N584" s="24" t="str">
        <f aca="false">IF(COUNTIF($A$2:A584,A584)&gt;1,"Duplicate ID",IF(C584="","Missing source",IF(OR(AND(G584&lt;&gt;"",G584&lt;B584),AND(H584&lt;&gt;"",H584&lt;B584),AND(I584&lt;&gt;"",I584&lt;H584),AND(J584&lt;&gt;"",J584&lt;I584)),"Date error","OK")))</f>
        <v>OK</v>
      </c>
    </row>
    <row r="585" customFormat="false" ht="15" hidden="false" customHeight="false" outlineLevel="0" collapsed="false">
      <c r="A585" s="24" t="s">
        <v>664</v>
      </c>
      <c r="B585" s="31" t="n">
        <v>46176</v>
      </c>
      <c r="C585" s="24" t="s">
        <v>27</v>
      </c>
      <c r="D585" s="24" t="s">
        <v>32</v>
      </c>
      <c r="E585" s="24" t="s">
        <v>81</v>
      </c>
      <c r="F585" s="24" t="s">
        <v>44</v>
      </c>
      <c r="G585" s="31" t="n">
        <v>46179</v>
      </c>
      <c r="H585" s="31" t="n">
        <v>46196</v>
      </c>
      <c r="I585" s="31" t="n">
        <v>46210</v>
      </c>
      <c r="J585" s="24"/>
      <c r="K585" s="24" t="n">
        <v>2</v>
      </c>
      <c r="L585" s="24" t="str">
        <f aca="false">IF(J585&lt;&gt;"","Enrolled",IF(I585&lt;&gt;"","Admitted",IF(H585&lt;&gt;"","Applied",IF(G585&lt;&gt;"","Contacted","New"))))</f>
        <v>Admitted</v>
      </c>
      <c r="M585" s="32" t="n">
        <f aca="false">IF(G585="","",G585-B585)</f>
        <v>3</v>
      </c>
      <c r="N585" s="24" t="str">
        <f aca="false">IF(COUNTIF($A$2:A585,A585)&gt;1,"Duplicate ID",IF(C585="","Missing source",IF(OR(AND(G585&lt;&gt;"",G585&lt;B585),AND(H585&lt;&gt;"",H585&lt;B585),AND(I585&lt;&gt;"",I585&lt;H585),AND(J585&lt;&gt;"",J585&lt;I585)),"Date error","OK")))</f>
        <v>OK</v>
      </c>
    </row>
    <row r="586" customFormat="false" ht="15" hidden="false" customHeight="false" outlineLevel="0" collapsed="false">
      <c r="A586" s="24" t="s">
        <v>665</v>
      </c>
      <c r="B586" s="31" t="n">
        <v>46176</v>
      </c>
      <c r="C586" s="24" t="s">
        <v>21</v>
      </c>
      <c r="D586" s="24" t="s">
        <v>32</v>
      </c>
      <c r="E586" s="24" t="s">
        <v>79</v>
      </c>
      <c r="F586" s="24" t="s">
        <v>43</v>
      </c>
      <c r="G586" s="31" t="n">
        <v>46180</v>
      </c>
      <c r="H586" s="24"/>
      <c r="I586" s="24"/>
      <c r="J586" s="24"/>
      <c r="K586" s="24" t="n">
        <v>1</v>
      </c>
      <c r="L586" s="24" t="str">
        <f aca="false">IF(J586&lt;&gt;"","Enrolled",IF(I586&lt;&gt;"","Admitted",IF(H586&lt;&gt;"","Applied",IF(G586&lt;&gt;"","Contacted","New"))))</f>
        <v>Contacted</v>
      </c>
      <c r="M586" s="32" t="n">
        <f aca="false">IF(G586="","",G586-B586)</f>
        <v>4</v>
      </c>
      <c r="N586" s="24" t="str">
        <f aca="false">IF(COUNTIF($A$2:A586,A586)&gt;1,"Duplicate ID",IF(C586="","Missing source",IF(OR(AND(G586&lt;&gt;"",G586&lt;B586),AND(H586&lt;&gt;"",H586&lt;B586),AND(I586&lt;&gt;"",I586&lt;H586),AND(J586&lt;&gt;"",J586&lt;I586)),"Date error","OK")))</f>
        <v>OK</v>
      </c>
    </row>
    <row r="587" customFormat="false" ht="15" hidden="false" customHeight="false" outlineLevel="0" collapsed="false">
      <c r="A587" s="24" t="s">
        <v>666</v>
      </c>
      <c r="B587" s="31" t="n">
        <v>46176</v>
      </c>
      <c r="C587" s="24" t="s">
        <v>22</v>
      </c>
      <c r="D587" s="24" t="s">
        <v>34</v>
      </c>
      <c r="E587" s="24" t="s">
        <v>79</v>
      </c>
      <c r="F587" s="24" t="s">
        <v>44</v>
      </c>
      <c r="G587" s="31" t="n">
        <v>46176</v>
      </c>
      <c r="H587" s="31" t="n">
        <v>46188</v>
      </c>
      <c r="I587" s="31" t="n">
        <v>46200</v>
      </c>
      <c r="J587" s="24"/>
      <c r="K587" s="24" t="n">
        <v>4</v>
      </c>
      <c r="L587" s="24" t="str">
        <f aca="false">IF(J587&lt;&gt;"","Enrolled",IF(I587&lt;&gt;"","Admitted",IF(H587&lt;&gt;"","Applied",IF(G587&lt;&gt;"","Contacted","New"))))</f>
        <v>Admitted</v>
      </c>
      <c r="M587" s="32" t="n">
        <f aca="false">IF(G587="","",G587-B587)</f>
        <v>0</v>
      </c>
      <c r="N587" s="24" t="str">
        <f aca="false">IF(COUNTIF($A$2:A587,A587)&gt;1,"Duplicate ID",IF(C587="","Missing source",IF(OR(AND(G587&lt;&gt;"",G587&lt;B587),AND(H587&lt;&gt;"",H587&lt;B587),AND(I587&lt;&gt;"",I587&lt;H587),AND(J587&lt;&gt;"",J587&lt;I587)),"Date error","OK")))</f>
        <v>OK</v>
      </c>
    </row>
    <row r="588" customFormat="false" ht="15" hidden="false" customHeight="false" outlineLevel="0" collapsed="false">
      <c r="A588" s="24" t="s">
        <v>667</v>
      </c>
      <c r="B588" s="31" t="n">
        <v>46176</v>
      </c>
      <c r="C588" s="24" t="s">
        <v>25</v>
      </c>
      <c r="D588" s="24" t="s">
        <v>34</v>
      </c>
      <c r="E588" s="24" t="s">
        <v>94</v>
      </c>
      <c r="F588" s="24" t="s">
        <v>43</v>
      </c>
      <c r="G588" s="31" t="n">
        <v>46177</v>
      </c>
      <c r="H588" s="24"/>
      <c r="I588" s="24"/>
      <c r="J588" s="24"/>
      <c r="K588" s="24" t="n">
        <v>3</v>
      </c>
      <c r="L588" s="24" t="str">
        <f aca="false">IF(J588&lt;&gt;"","Enrolled",IF(I588&lt;&gt;"","Admitted",IF(H588&lt;&gt;"","Applied",IF(G588&lt;&gt;"","Contacted","New"))))</f>
        <v>Contacted</v>
      </c>
      <c r="M588" s="32" t="n">
        <f aca="false">IF(G588="","",G588-B588)</f>
        <v>1</v>
      </c>
      <c r="N588" s="24" t="str">
        <f aca="false">IF(COUNTIF($A$2:A588,A588)&gt;1,"Duplicate ID",IF(C588="","Missing source",IF(OR(AND(G588&lt;&gt;"",G588&lt;B588),AND(H588&lt;&gt;"",H588&lt;B588),AND(I588&lt;&gt;"",I588&lt;H588),AND(J588&lt;&gt;"",J588&lt;I588)),"Date error","OK")))</f>
        <v>OK</v>
      </c>
    </row>
    <row r="589" customFormat="false" ht="15" hidden="false" customHeight="false" outlineLevel="0" collapsed="false">
      <c r="A589" s="24" t="s">
        <v>668</v>
      </c>
      <c r="B589" s="31" t="n">
        <v>46176</v>
      </c>
      <c r="C589" s="24" t="s">
        <v>21</v>
      </c>
      <c r="D589" s="24" t="s">
        <v>36</v>
      </c>
      <c r="E589" s="24" t="s">
        <v>94</v>
      </c>
      <c r="F589" s="24" t="s">
        <v>40</v>
      </c>
      <c r="G589" s="31" t="n">
        <v>46176</v>
      </c>
      <c r="H589" s="31" t="n">
        <v>46183</v>
      </c>
      <c r="I589" s="31" t="n">
        <v>46197</v>
      </c>
      <c r="J589" s="24"/>
      <c r="K589" s="24" t="n">
        <v>6</v>
      </c>
      <c r="L589" s="24" t="str">
        <f aca="false">IF(J589&lt;&gt;"","Enrolled",IF(I589&lt;&gt;"","Admitted",IF(H589&lt;&gt;"","Applied",IF(G589&lt;&gt;"","Contacted","New"))))</f>
        <v>Admitted</v>
      </c>
      <c r="M589" s="32" t="n">
        <f aca="false">IF(G589="","",G589-B589)</f>
        <v>0</v>
      </c>
      <c r="N589" s="24" t="str">
        <f aca="false">IF(COUNTIF($A$2:A589,A589)&gt;1,"Duplicate ID",IF(C589="","Missing source",IF(OR(AND(G589&lt;&gt;"",G589&lt;B589),AND(H589&lt;&gt;"",H589&lt;B589),AND(I589&lt;&gt;"",I589&lt;H589),AND(J589&lt;&gt;"",J589&lt;I589)),"Date error","OK")))</f>
        <v>OK</v>
      </c>
    </row>
    <row r="590" customFormat="false" ht="15" hidden="false" customHeight="false" outlineLevel="0" collapsed="false">
      <c r="A590" s="24" t="s">
        <v>669</v>
      </c>
      <c r="B590" s="31" t="n">
        <v>46176</v>
      </c>
      <c r="C590" s="24" t="s">
        <v>24</v>
      </c>
      <c r="D590" s="24" t="s">
        <v>32</v>
      </c>
      <c r="E590" s="24" t="s">
        <v>89</v>
      </c>
      <c r="F590" s="24" t="s">
        <v>40</v>
      </c>
      <c r="G590" s="31" t="n">
        <v>46176</v>
      </c>
      <c r="H590" s="24"/>
      <c r="I590" s="24"/>
      <c r="J590" s="24"/>
      <c r="K590" s="24" t="n">
        <v>2</v>
      </c>
      <c r="L590" s="24" t="str">
        <f aca="false">IF(J590&lt;&gt;"","Enrolled",IF(I590&lt;&gt;"","Admitted",IF(H590&lt;&gt;"","Applied",IF(G590&lt;&gt;"","Contacted","New"))))</f>
        <v>Contacted</v>
      </c>
      <c r="M590" s="32" t="n">
        <f aca="false">IF(G590="","",G590-B590)</f>
        <v>0</v>
      </c>
      <c r="N590" s="24" t="str">
        <f aca="false">IF(COUNTIF($A$2:A590,A590)&gt;1,"Duplicate ID",IF(C590="","Missing source",IF(OR(AND(G590&lt;&gt;"",G590&lt;B590),AND(H590&lt;&gt;"",H590&lt;B590),AND(I590&lt;&gt;"",I590&lt;H590),AND(J590&lt;&gt;"",J590&lt;I590)),"Date error","OK")))</f>
        <v>OK</v>
      </c>
    </row>
    <row r="591" customFormat="false" ht="15" hidden="false" customHeight="false" outlineLevel="0" collapsed="false">
      <c r="A591" s="24" t="s">
        <v>670</v>
      </c>
      <c r="B591" s="31" t="n">
        <v>46176</v>
      </c>
      <c r="C591" s="24" t="s">
        <v>25</v>
      </c>
      <c r="D591" s="24" t="s">
        <v>36</v>
      </c>
      <c r="E591" s="24" t="s">
        <v>89</v>
      </c>
      <c r="F591" s="24" t="s">
        <v>40</v>
      </c>
      <c r="G591" s="31" t="n">
        <v>46176</v>
      </c>
      <c r="H591" s="24"/>
      <c r="I591" s="24"/>
      <c r="J591" s="24"/>
      <c r="K591" s="24" t="n">
        <v>2</v>
      </c>
      <c r="L591" s="24" t="str">
        <f aca="false">IF(J591&lt;&gt;"","Enrolled",IF(I591&lt;&gt;"","Admitted",IF(H591&lt;&gt;"","Applied",IF(G591&lt;&gt;"","Contacted","New"))))</f>
        <v>Contacted</v>
      </c>
      <c r="M591" s="32" t="n">
        <f aca="false">IF(G591="","",G591-B591)</f>
        <v>0</v>
      </c>
      <c r="N591" s="24" t="str">
        <f aca="false">IF(COUNTIF($A$2:A591,A591)&gt;1,"Duplicate ID",IF(C591="","Missing source",IF(OR(AND(G591&lt;&gt;"",G591&lt;B591),AND(H591&lt;&gt;"",H591&lt;B591),AND(I591&lt;&gt;"",I591&lt;H591),AND(J591&lt;&gt;"",J591&lt;I591)),"Date error","OK")))</f>
        <v>OK</v>
      </c>
    </row>
    <row r="592" customFormat="false" ht="15" hidden="false" customHeight="false" outlineLevel="0" collapsed="false">
      <c r="A592" s="24" t="s">
        <v>671</v>
      </c>
      <c r="B592" s="31" t="n">
        <v>46176</v>
      </c>
      <c r="C592" s="24" t="s">
        <v>21</v>
      </c>
      <c r="D592" s="24" t="s">
        <v>33</v>
      </c>
      <c r="E592" s="24" t="s">
        <v>79</v>
      </c>
      <c r="F592" s="24" t="s">
        <v>40</v>
      </c>
      <c r="G592" s="31" t="n">
        <v>46176</v>
      </c>
      <c r="H592" s="24"/>
      <c r="I592" s="24"/>
      <c r="J592" s="24"/>
      <c r="K592" s="24" t="n">
        <v>5</v>
      </c>
      <c r="L592" s="24" t="str">
        <f aca="false">IF(J592&lt;&gt;"","Enrolled",IF(I592&lt;&gt;"","Admitted",IF(H592&lt;&gt;"","Applied",IF(G592&lt;&gt;"","Contacted","New"))))</f>
        <v>Contacted</v>
      </c>
      <c r="M592" s="32" t="n">
        <f aca="false">IF(G592="","",G592-B592)</f>
        <v>0</v>
      </c>
      <c r="N592" s="24" t="str">
        <f aca="false">IF(COUNTIF($A$2:A592,A592)&gt;1,"Duplicate ID",IF(C592="","Missing source",IF(OR(AND(G592&lt;&gt;"",G592&lt;B592),AND(H592&lt;&gt;"",H592&lt;B592),AND(I592&lt;&gt;"",I592&lt;H592),AND(J592&lt;&gt;"",J592&lt;I592)),"Date error","OK")))</f>
        <v>OK</v>
      </c>
    </row>
    <row r="593" customFormat="false" ht="15" hidden="false" customHeight="false" outlineLevel="0" collapsed="false">
      <c r="A593" s="24" t="s">
        <v>672</v>
      </c>
      <c r="B593" s="31" t="n">
        <v>46176</v>
      </c>
      <c r="C593" s="24" t="s">
        <v>22</v>
      </c>
      <c r="D593" s="24" t="s">
        <v>36</v>
      </c>
      <c r="E593" s="24" t="s">
        <v>89</v>
      </c>
      <c r="F593" s="24" t="s">
        <v>40</v>
      </c>
      <c r="G593" s="31" t="n">
        <v>46176</v>
      </c>
      <c r="H593" s="24"/>
      <c r="I593" s="24"/>
      <c r="J593" s="24"/>
      <c r="K593" s="24" t="n">
        <v>4</v>
      </c>
      <c r="L593" s="24" t="str">
        <f aca="false">IF(J593&lt;&gt;"","Enrolled",IF(I593&lt;&gt;"","Admitted",IF(H593&lt;&gt;"","Applied",IF(G593&lt;&gt;"","Contacted","New"))))</f>
        <v>Contacted</v>
      </c>
      <c r="M593" s="32" t="n">
        <f aca="false">IF(G593="","",G593-B593)</f>
        <v>0</v>
      </c>
      <c r="N593" s="24" t="str">
        <f aca="false">IF(COUNTIF($A$2:A593,A593)&gt;1,"Duplicate ID",IF(C593="","Missing source",IF(OR(AND(G593&lt;&gt;"",G593&lt;B593),AND(H593&lt;&gt;"",H593&lt;B593),AND(I593&lt;&gt;"",I593&lt;H593),AND(J593&lt;&gt;"",J593&lt;I593)),"Date error","OK")))</f>
        <v>OK</v>
      </c>
    </row>
    <row r="594" customFormat="false" ht="15" hidden="false" customHeight="false" outlineLevel="0" collapsed="false">
      <c r="A594" s="24" t="s">
        <v>673</v>
      </c>
      <c r="B594" s="31" t="n">
        <v>46176</v>
      </c>
      <c r="C594" s="24" t="s">
        <v>22</v>
      </c>
      <c r="D594" s="24" t="s">
        <v>32</v>
      </c>
      <c r="E594" s="24" t="s">
        <v>94</v>
      </c>
      <c r="F594" s="24" t="s">
        <v>45</v>
      </c>
      <c r="G594" s="31" t="n">
        <v>46178</v>
      </c>
      <c r="H594" s="24"/>
      <c r="I594" s="24"/>
      <c r="J594" s="24"/>
      <c r="K594" s="24" t="n">
        <v>1</v>
      </c>
      <c r="L594" s="24" t="str">
        <f aca="false">IF(J594&lt;&gt;"","Enrolled",IF(I594&lt;&gt;"","Admitted",IF(H594&lt;&gt;"","Applied",IF(G594&lt;&gt;"","Contacted","New"))))</f>
        <v>Contacted</v>
      </c>
      <c r="M594" s="32" t="n">
        <f aca="false">IF(G594="","",G594-B594)</f>
        <v>2</v>
      </c>
      <c r="N594" s="24" t="str">
        <f aca="false">IF(COUNTIF($A$2:A594,A594)&gt;1,"Duplicate ID",IF(C594="","Missing source",IF(OR(AND(G594&lt;&gt;"",G594&lt;B594),AND(H594&lt;&gt;"",H594&lt;B594),AND(I594&lt;&gt;"",I594&lt;H594),AND(J594&lt;&gt;"",J594&lt;I594)),"Date error","OK")))</f>
        <v>OK</v>
      </c>
    </row>
    <row r="595" customFormat="false" ht="15" hidden="false" customHeight="false" outlineLevel="0" collapsed="false">
      <c r="A595" s="24" t="s">
        <v>674</v>
      </c>
      <c r="B595" s="31" t="n">
        <v>46176</v>
      </c>
      <c r="C595" s="24" t="s">
        <v>26</v>
      </c>
      <c r="D595" s="24" t="s">
        <v>36</v>
      </c>
      <c r="E595" s="24" t="s">
        <v>84</v>
      </c>
      <c r="F595" s="24" t="s">
        <v>42</v>
      </c>
      <c r="G595" s="31" t="n">
        <v>46176</v>
      </c>
      <c r="H595" s="24"/>
      <c r="I595" s="24"/>
      <c r="J595" s="24"/>
      <c r="K595" s="24" t="n">
        <v>3</v>
      </c>
      <c r="L595" s="24" t="str">
        <f aca="false">IF(J595&lt;&gt;"","Enrolled",IF(I595&lt;&gt;"","Admitted",IF(H595&lt;&gt;"","Applied",IF(G595&lt;&gt;"","Contacted","New"))))</f>
        <v>Contacted</v>
      </c>
      <c r="M595" s="32" t="n">
        <f aca="false">IF(G595="","",G595-B595)</f>
        <v>0</v>
      </c>
      <c r="N595" s="24" t="str">
        <f aca="false">IF(COUNTIF($A$2:A595,A595)&gt;1,"Duplicate ID",IF(C595="","Missing source",IF(OR(AND(G595&lt;&gt;"",G595&lt;B595),AND(H595&lt;&gt;"",H595&lt;B595),AND(I595&lt;&gt;"",I595&lt;H595),AND(J595&lt;&gt;"",J595&lt;I595)),"Date error","OK")))</f>
        <v>OK</v>
      </c>
    </row>
    <row r="596" customFormat="false" ht="15" hidden="false" customHeight="false" outlineLevel="0" collapsed="false">
      <c r="A596" s="24" t="s">
        <v>675</v>
      </c>
      <c r="B596" s="31" t="n">
        <v>46176</v>
      </c>
      <c r="C596" s="24" t="s">
        <v>27</v>
      </c>
      <c r="D596" s="24" t="s">
        <v>35</v>
      </c>
      <c r="E596" s="24" t="s">
        <v>94</v>
      </c>
      <c r="F596" s="24" t="s">
        <v>42</v>
      </c>
      <c r="G596" s="31" t="n">
        <v>46177</v>
      </c>
      <c r="H596" s="24"/>
      <c r="I596" s="24"/>
      <c r="J596" s="24"/>
      <c r="K596" s="24" t="n">
        <v>5</v>
      </c>
      <c r="L596" s="24" t="str">
        <f aca="false">IF(J596&lt;&gt;"","Enrolled",IF(I596&lt;&gt;"","Admitted",IF(H596&lt;&gt;"","Applied",IF(G596&lt;&gt;"","Contacted","New"))))</f>
        <v>Contacted</v>
      </c>
      <c r="M596" s="32" t="n">
        <f aca="false">IF(G596="","",G596-B596)</f>
        <v>1</v>
      </c>
      <c r="N596" s="24" t="str">
        <f aca="false">IF(COUNTIF($A$2:A596,A596)&gt;1,"Duplicate ID",IF(C596="","Missing source",IF(OR(AND(G596&lt;&gt;"",G596&lt;B596),AND(H596&lt;&gt;"",H596&lt;B596),AND(I596&lt;&gt;"",I596&lt;H596),AND(J596&lt;&gt;"",J596&lt;I596)),"Date error","OK")))</f>
        <v>OK</v>
      </c>
    </row>
    <row r="597" customFormat="false" ht="15" hidden="false" customHeight="false" outlineLevel="0" collapsed="false">
      <c r="A597" s="24" t="s">
        <v>676</v>
      </c>
      <c r="B597" s="31" t="n">
        <v>46176</v>
      </c>
      <c r="C597" s="24" t="s">
        <v>26</v>
      </c>
      <c r="D597" s="24" t="s">
        <v>36</v>
      </c>
      <c r="E597" s="24" t="s">
        <v>79</v>
      </c>
      <c r="F597" s="24" t="s">
        <v>41</v>
      </c>
      <c r="G597" s="31" t="n">
        <v>46178</v>
      </c>
      <c r="H597" s="24"/>
      <c r="I597" s="24"/>
      <c r="J597" s="24"/>
      <c r="K597" s="24" t="n">
        <v>2</v>
      </c>
      <c r="L597" s="24" t="str">
        <f aca="false">IF(J597&lt;&gt;"","Enrolled",IF(I597&lt;&gt;"","Admitted",IF(H597&lt;&gt;"","Applied",IF(G597&lt;&gt;"","Contacted","New"))))</f>
        <v>Contacted</v>
      </c>
      <c r="M597" s="32" t="n">
        <f aca="false">IF(G597="","",G597-B597)</f>
        <v>2</v>
      </c>
      <c r="N597" s="24" t="str">
        <f aca="false">IF(COUNTIF($A$2:A597,A597)&gt;1,"Duplicate ID",IF(C597="","Missing source",IF(OR(AND(G597&lt;&gt;"",G597&lt;B597),AND(H597&lt;&gt;"",H597&lt;B597),AND(I597&lt;&gt;"",I597&lt;H597),AND(J597&lt;&gt;"",J597&lt;I597)),"Date error","OK")))</f>
        <v>OK</v>
      </c>
    </row>
    <row r="598" customFormat="false" ht="15" hidden="false" customHeight="false" outlineLevel="0" collapsed="false">
      <c r="A598" s="24" t="s">
        <v>677</v>
      </c>
      <c r="B598" s="31" t="n">
        <v>46177</v>
      </c>
      <c r="C598" s="24" t="s">
        <v>25</v>
      </c>
      <c r="D598" s="24" t="s">
        <v>33</v>
      </c>
      <c r="E598" s="24" t="s">
        <v>89</v>
      </c>
      <c r="F598" s="24" t="s">
        <v>45</v>
      </c>
      <c r="G598" s="31" t="n">
        <v>46179</v>
      </c>
      <c r="H598" s="24"/>
      <c r="I598" s="24"/>
      <c r="J598" s="24"/>
      <c r="K598" s="24" t="n">
        <v>0</v>
      </c>
      <c r="L598" s="24" t="str">
        <f aca="false">IF(J598&lt;&gt;"","Enrolled",IF(I598&lt;&gt;"","Admitted",IF(H598&lt;&gt;"","Applied",IF(G598&lt;&gt;"","Contacted","New"))))</f>
        <v>Contacted</v>
      </c>
      <c r="M598" s="32" t="n">
        <f aca="false">IF(G598="","",G598-B598)</f>
        <v>2</v>
      </c>
      <c r="N598" s="24" t="str">
        <f aca="false">IF(COUNTIF($A$2:A598,A598)&gt;1,"Duplicate ID",IF(C598="","Missing source",IF(OR(AND(G598&lt;&gt;"",G598&lt;B598),AND(H598&lt;&gt;"",H598&lt;B598),AND(I598&lt;&gt;"",I598&lt;H598),AND(J598&lt;&gt;"",J598&lt;I598)),"Date error","OK")))</f>
        <v>OK</v>
      </c>
    </row>
    <row r="599" customFormat="false" ht="15" hidden="false" customHeight="false" outlineLevel="0" collapsed="false">
      <c r="A599" s="24" t="s">
        <v>678</v>
      </c>
      <c r="B599" s="31" t="n">
        <v>46177</v>
      </c>
      <c r="C599" s="24" t="s">
        <v>22</v>
      </c>
      <c r="D599" s="24" t="s">
        <v>34</v>
      </c>
      <c r="E599" s="24" t="s">
        <v>84</v>
      </c>
      <c r="F599" s="24" t="s">
        <v>45</v>
      </c>
      <c r="G599" s="24"/>
      <c r="H599" s="24"/>
      <c r="I599" s="24"/>
      <c r="J599" s="24"/>
      <c r="K599" s="24" t="n">
        <v>0</v>
      </c>
      <c r="L599" s="24" t="str">
        <f aca="false">IF(J599&lt;&gt;"","Enrolled",IF(I599&lt;&gt;"","Admitted",IF(H599&lt;&gt;"","Applied",IF(G599&lt;&gt;"","Contacted","New"))))</f>
        <v>New</v>
      </c>
      <c r="M599" s="32" t="str">
        <f aca="false">IF(G599="","",G599-B599)</f>
        <v/>
      </c>
      <c r="N599" s="24" t="str">
        <f aca="false">IF(COUNTIF($A$2:A599,A599)&gt;1,"Duplicate ID",IF(C599="","Missing source",IF(OR(AND(G599&lt;&gt;"",G599&lt;B599),AND(H599&lt;&gt;"",H599&lt;B599),AND(I599&lt;&gt;"",I599&lt;H599),AND(J599&lt;&gt;"",J599&lt;I599)),"Date error","OK")))</f>
        <v>OK</v>
      </c>
    </row>
    <row r="600" customFormat="false" ht="15" hidden="false" customHeight="false" outlineLevel="0" collapsed="false">
      <c r="A600" s="24" t="s">
        <v>679</v>
      </c>
      <c r="B600" s="31" t="n">
        <v>46177</v>
      </c>
      <c r="C600" s="24" t="s">
        <v>22</v>
      </c>
      <c r="D600" s="24" t="s">
        <v>35</v>
      </c>
      <c r="E600" s="24" t="s">
        <v>89</v>
      </c>
      <c r="F600" s="24" t="s">
        <v>42</v>
      </c>
      <c r="G600" s="31" t="n">
        <v>46177</v>
      </c>
      <c r="H600" s="24"/>
      <c r="I600" s="24"/>
      <c r="J600" s="24"/>
      <c r="K600" s="24" t="n">
        <v>3</v>
      </c>
      <c r="L600" s="24" t="str">
        <f aca="false">IF(J600&lt;&gt;"","Enrolled",IF(I600&lt;&gt;"","Admitted",IF(H600&lt;&gt;"","Applied",IF(G600&lt;&gt;"","Contacted","New"))))</f>
        <v>Contacted</v>
      </c>
      <c r="M600" s="32" t="n">
        <f aca="false">IF(G600="","",G600-B600)</f>
        <v>0</v>
      </c>
      <c r="N600" s="24" t="str">
        <f aca="false">IF(COUNTIF($A$2:A600,A600)&gt;1,"Duplicate ID",IF(C600="","Missing source",IF(OR(AND(G600&lt;&gt;"",G600&lt;B600),AND(H600&lt;&gt;"",H600&lt;B600),AND(I600&lt;&gt;"",I600&lt;H600),AND(J600&lt;&gt;"",J600&lt;I600)),"Date error","OK")))</f>
        <v>OK</v>
      </c>
    </row>
    <row r="601" customFormat="false" ht="15" hidden="false" customHeight="false" outlineLevel="0" collapsed="false">
      <c r="A601" s="24" t="s">
        <v>680</v>
      </c>
      <c r="B601" s="31" t="n">
        <v>46177</v>
      </c>
      <c r="C601" s="24" t="s">
        <v>21</v>
      </c>
      <c r="D601" s="24" t="s">
        <v>33</v>
      </c>
      <c r="E601" s="24" t="s">
        <v>89</v>
      </c>
      <c r="F601" s="24" t="s">
        <v>45</v>
      </c>
      <c r="G601" s="31" t="n">
        <v>46186</v>
      </c>
      <c r="H601" s="24"/>
      <c r="I601" s="24"/>
      <c r="J601" s="24"/>
      <c r="K601" s="24" t="n">
        <v>7</v>
      </c>
      <c r="L601" s="24" t="str">
        <f aca="false">IF(J601&lt;&gt;"","Enrolled",IF(I601&lt;&gt;"","Admitted",IF(H601&lt;&gt;"","Applied",IF(G601&lt;&gt;"","Contacted","New"))))</f>
        <v>Contacted</v>
      </c>
      <c r="M601" s="32" t="n">
        <f aca="false">IF(G601="","",G601-B601)</f>
        <v>9</v>
      </c>
      <c r="N601" s="24" t="str">
        <f aca="false">IF(COUNTIF($A$2:A601,A601)&gt;1,"Duplicate ID",IF(C601="","Missing source",IF(OR(AND(G601&lt;&gt;"",G601&lt;B601),AND(H601&lt;&gt;"",H601&lt;B601),AND(I601&lt;&gt;"",I601&lt;H601),AND(J601&lt;&gt;"",J601&lt;I601)),"Date error","OK")))</f>
        <v>OK</v>
      </c>
    </row>
    <row r="602" customFormat="false" ht="15" hidden="false" customHeight="false" outlineLevel="0" collapsed="false">
      <c r="A602" s="24" t="s">
        <v>681</v>
      </c>
      <c r="B602" s="31" t="n">
        <v>46177</v>
      </c>
      <c r="C602" s="24" t="s">
        <v>23</v>
      </c>
      <c r="D602" s="24" t="s">
        <v>36</v>
      </c>
      <c r="E602" s="24" t="s">
        <v>89</v>
      </c>
      <c r="F602" s="24" t="s">
        <v>41</v>
      </c>
      <c r="G602" s="31" t="n">
        <v>46178</v>
      </c>
      <c r="H602" s="31" t="n">
        <v>46189</v>
      </c>
      <c r="I602" s="31" t="n">
        <v>46198</v>
      </c>
      <c r="J602" s="31" t="n">
        <v>46208</v>
      </c>
      <c r="K602" s="24" t="n">
        <v>5</v>
      </c>
      <c r="L602" s="24" t="str">
        <f aca="false">IF(J602&lt;&gt;"","Enrolled",IF(I602&lt;&gt;"","Admitted",IF(H602&lt;&gt;"","Applied",IF(G602&lt;&gt;"","Contacted","New"))))</f>
        <v>Enrolled</v>
      </c>
      <c r="M602" s="32" t="n">
        <f aca="false">IF(G602="","",G602-B602)</f>
        <v>1</v>
      </c>
      <c r="N602" s="24" t="str">
        <f aca="false">IF(COUNTIF($A$2:A602,A602)&gt;1,"Duplicate ID",IF(C602="","Missing source",IF(OR(AND(G602&lt;&gt;"",G602&lt;B602),AND(H602&lt;&gt;"",H602&lt;B602),AND(I602&lt;&gt;"",I602&lt;H602),AND(J602&lt;&gt;"",J602&lt;I602)),"Date error","OK")))</f>
        <v>OK</v>
      </c>
    </row>
    <row r="603" customFormat="false" ht="15" hidden="false" customHeight="false" outlineLevel="0" collapsed="false">
      <c r="A603" s="24" t="s">
        <v>682</v>
      </c>
      <c r="B603" s="31" t="n">
        <v>46177</v>
      </c>
      <c r="C603" s="24" t="s">
        <v>23</v>
      </c>
      <c r="D603" s="24" t="s">
        <v>33</v>
      </c>
      <c r="E603" s="24" t="s">
        <v>89</v>
      </c>
      <c r="F603" s="24" t="s">
        <v>45</v>
      </c>
      <c r="G603" s="31" t="n">
        <v>46178</v>
      </c>
      <c r="H603" s="31" t="n">
        <v>46194</v>
      </c>
      <c r="I603" s="31" t="n">
        <v>46205</v>
      </c>
      <c r="J603" s="31" t="n">
        <v>46222</v>
      </c>
      <c r="K603" s="24" t="n">
        <v>3</v>
      </c>
      <c r="L603" s="24" t="str">
        <f aca="false">IF(J603&lt;&gt;"","Enrolled",IF(I603&lt;&gt;"","Admitted",IF(H603&lt;&gt;"","Applied",IF(G603&lt;&gt;"","Contacted","New"))))</f>
        <v>Enrolled</v>
      </c>
      <c r="M603" s="32" t="n">
        <f aca="false">IF(G603="","",G603-B603)</f>
        <v>1</v>
      </c>
      <c r="N603" s="24" t="str">
        <f aca="false">IF(COUNTIF($A$2:A603,A603)&gt;1,"Duplicate ID",IF(C603="","Missing source",IF(OR(AND(G603&lt;&gt;"",G603&lt;B603),AND(H603&lt;&gt;"",H603&lt;B603),AND(I603&lt;&gt;"",I603&lt;H603),AND(J603&lt;&gt;"",J603&lt;I603)),"Date error","OK")))</f>
        <v>OK</v>
      </c>
    </row>
    <row r="604" customFormat="false" ht="15" hidden="false" customHeight="false" outlineLevel="0" collapsed="false">
      <c r="A604" s="24" t="s">
        <v>683</v>
      </c>
      <c r="B604" s="31" t="n">
        <v>46177</v>
      </c>
      <c r="C604" s="24" t="s">
        <v>21</v>
      </c>
      <c r="D604" s="24" t="s">
        <v>33</v>
      </c>
      <c r="E604" s="24" t="s">
        <v>79</v>
      </c>
      <c r="F604" s="24" t="s">
        <v>42</v>
      </c>
      <c r="G604" s="31" t="n">
        <v>46177</v>
      </c>
      <c r="H604" s="24"/>
      <c r="I604" s="24"/>
      <c r="J604" s="24"/>
      <c r="K604" s="24" t="n">
        <v>2</v>
      </c>
      <c r="L604" s="24" t="str">
        <f aca="false">IF(J604&lt;&gt;"","Enrolled",IF(I604&lt;&gt;"","Admitted",IF(H604&lt;&gt;"","Applied",IF(G604&lt;&gt;"","Contacted","New"))))</f>
        <v>Contacted</v>
      </c>
      <c r="M604" s="32" t="n">
        <f aca="false">IF(G604="","",G604-B604)</f>
        <v>0</v>
      </c>
      <c r="N604" s="24" t="str">
        <f aca="false">IF(COUNTIF($A$2:A604,A604)&gt;1,"Duplicate ID",IF(C604="","Missing source",IF(OR(AND(G604&lt;&gt;"",G604&lt;B604),AND(H604&lt;&gt;"",H604&lt;B604),AND(I604&lt;&gt;"",I604&lt;H604),AND(J604&lt;&gt;"",J604&lt;I604)),"Date error","OK")))</f>
        <v>OK</v>
      </c>
    </row>
    <row r="605" customFormat="false" ht="15" hidden="false" customHeight="false" outlineLevel="0" collapsed="false">
      <c r="A605" s="24" t="s">
        <v>684</v>
      </c>
      <c r="B605" s="31" t="n">
        <v>46177</v>
      </c>
      <c r="C605" s="24" t="s">
        <v>26</v>
      </c>
      <c r="D605" s="24" t="s">
        <v>34</v>
      </c>
      <c r="E605" s="24" t="s">
        <v>89</v>
      </c>
      <c r="F605" s="24" t="s">
        <v>40</v>
      </c>
      <c r="G605" s="31" t="n">
        <v>46178</v>
      </c>
      <c r="H605" s="24"/>
      <c r="I605" s="24"/>
      <c r="J605" s="24"/>
      <c r="K605" s="24" t="n">
        <v>4</v>
      </c>
      <c r="L605" s="24" t="str">
        <f aca="false">IF(J605&lt;&gt;"","Enrolled",IF(I605&lt;&gt;"","Admitted",IF(H605&lt;&gt;"","Applied",IF(G605&lt;&gt;"","Contacted","New"))))</f>
        <v>Contacted</v>
      </c>
      <c r="M605" s="32" t="n">
        <f aca="false">IF(G605="","",G605-B605)</f>
        <v>1</v>
      </c>
      <c r="N605" s="24" t="str">
        <f aca="false">IF(COUNTIF($A$2:A605,A605)&gt;1,"Duplicate ID",IF(C605="","Missing source",IF(OR(AND(G605&lt;&gt;"",G605&lt;B605),AND(H605&lt;&gt;"",H605&lt;B605),AND(I605&lt;&gt;"",I605&lt;H605),AND(J605&lt;&gt;"",J605&lt;I605)),"Date error","OK")))</f>
        <v>OK</v>
      </c>
    </row>
    <row r="606" customFormat="false" ht="15" hidden="false" customHeight="false" outlineLevel="0" collapsed="false">
      <c r="A606" s="24" t="s">
        <v>685</v>
      </c>
      <c r="B606" s="31" t="n">
        <v>46177</v>
      </c>
      <c r="C606" s="24" t="s">
        <v>27</v>
      </c>
      <c r="D606" s="24" t="s">
        <v>35</v>
      </c>
      <c r="E606" s="24" t="s">
        <v>94</v>
      </c>
      <c r="F606" s="24" t="s">
        <v>43</v>
      </c>
      <c r="G606" s="31" t="n">
        <v>46178</v>
      </c>
      <c r="H606" s="24"/>
      <c r="I606" s="24"/>
      <c r="J606" s="24"/>
      <c r="K606" s="24" t="n">
        <v>3</v>
      </c>
      <c r="L606" s="24" t="str">
        <f aca="false">IF(J606&lt;&gt;"","Enrolled",IF(I606&lt;&gt;"","Admitted",IF(H606&lt;&gt;"","Applied",IF(G606&lt;&gt;"","Contacted","New"))))</f>
        <v>Contacted</v>
      </c>
      <c r="M606" s="32" t="n">
        <f aca="false">IF(G606="","",G606-B606)</f>
        <v>1</v>
      </c>
      <c r="N606" s="24" t="str">
        <f aca="false">IF(COUNTIF($A$2:A606,A606)&gt;1,"Duplicate ID",IF(C606="","Missing source",IF(OR(AND(G606&lt;&gt;"",G606&lt;B606),AND(H606&lt;&gt;"",H606&lt;B606),AND(I606&lt;&gt;"",I606&lt;H606),AND(J606&lt;&gt;"",J606&lt;I606)),"Date error","OK")))</f>
        <v>OK</v>
      </c>
    </row>
    <row r="607" customFormat="false" ht="15" hidden="false" customHeight="false" outlineLevel="0" collapsed="false">
      <c r="A607" s="24" t="s">
        <v>686</v>
      </c>
      <c r="B607" s="31" t="n">
        <v>46178</v>
      </c>
      <c r="C607" s="24" t="s">
        <v>27</v>
      </c>
      <c r="D607" s="24" t="s">
        <v>33</v>
      </c>
      <c r="E607" s="24" t="s">
        <v>79</v>
      </c>
      <c r="F607" s="24" t="s">
        <v>43</v>
      </c>
      <c r="G607" s="31" t="n">
        <v>46182</v>
      </c>
      <c r="H607" s="24"/>
      <c r="I607" s="24"/>
      <c r="J607" s="24"/>
      <c r="K607" s="24" t="n">
        <v>3</v>
      </c>
      <c r="L607" s="24" t="str">
        <f aca="false">IF(J607&lt;&gt;"","Enrolled",IF(I607&lt;&gt;"","Admitted",IF(H607&lt;&gt;"","Applied",IF(G607&lt;&gt;"","Contacted","New"))))</f>
        <v>Contacted</v>
      </c>
      <c r="M607" s="32" t="n">
        <f aca="false">IF(G607="","",G607-B607)</f>
        <v>4</v>
      </c>
      <c r="N607" s="24" t="str">
        <f aca="false">IF(COUNTIF($A$2:A607,A607)&gt;1,"Duplicate ID",IF(C607="","Missing source",IF(OR(AND(G607&lt;&gt;"",G607&lt;B607),AND(H607&lt;&gt;"",H607&lt;B607),AND(I607&lt;&gt;"",I607&lt;H607),AND(J607&lt;&gt;"",J607&lt;I607)),"Date error","OK")))</f>
        <v>OK</v>
      </c>
    </row>
    <row r="608" customFormat="false" ht="15" hidden="false" customHeight="false" outlineLevel="0" collapsed="false">
      <c r="A608" s="24" t="s">
        <v>687</v>
      </c>
      <c r="B608" s="31" t="n">
        <v>46178</v>
      </c>
      <c r="C608" s="24" t="s">
        <v>26</v>
      </c>
      <c r="D608" s="24" t="s">
        <v>32</v>
      </c>
      <c r="E608" s="24" t="s">
        <v>79</v>
      </c>
      <c r="F608" s="24" t="s">
        <v>45</v>
      </c>
      <c r="G608" s="31" t="n">
        <v>46179</v>
      </c>
      <c r="H608" s="24"/>
      <c r="I608" s="24"/>
      <c r="J608" s="24"/>
      <c r="K608" s="24" t="n">
        <v>2</v>
      </c>
      <c r="L608" s="24" t="str">
        <f aca="false">IF(J608&lt;&gt;"","Enrolled",IF(I608&lt;&gt;"","Admitted",IF(H608&lt;&gt;"","Applied",IF(G608&lt;&gt;"","Contacted","New"))))</f>
        <v>Contacted</v>
      </c>
      <c r="M608" s="32" t="n">
        <f aca="false">IF(G608="","",G608-B608)</f>
        <v>1</v>
      </c>
      <c r="N608" s="24" t="str">
        <f aca="false">IF(COUNTIF($A$2:A608,A608)&gt;1,"Duplicate ID",IF(C608="","Missing source",IF(OR(AND(G608&lt;&gt;"",G608&lt;B608),AND(H608&lt;&gt;"",H608&lt;B608),AND(I608&lt;&gt;"",I608&lt;H608),AND(J608&lt;&gt;"",J608&lt;I608)),"Date error","OK")))</f>
        <v>OK</v>
      </c>
    </row>
    <row r="609" customFormat="false" ht="15" hidden="false" customHeight="false" outlineLevel="0" collapsed="false">
      <c r="A609" s="24" t="s">
        <v>688</v>
      </c>
      <c r="B609" s="31" t="n">
        <v>46178</v>
      </c>
      <c r="C609" s="24" t="s">
        <v>27</v>
      </c>
      <c r="D609" s="24" t="s">
        <v>36</v>
      </c>
      <c r="E609" s="24" t="s">
        <v>94</v>
      </c>
      <c r="F609" s="24" t="s">
        <v>45</v>
      </c>
      <c r="G609" s="31" t="n">
        <v>46180</v>
      </c>
      <c r="H609" s="24"/>
      <c r="I609" s="24"/>
      <c r="J609" s="24"/>
      <c r="K609" s="24" t="n">
        <v>2</v>
      </c>
      <c r="L609" s="24" t="str">
        <f aca="false">IF(J609&lt;&gt;"","Enrolled",IF(I609&lt;&gt;"","Admitted",IF(H609&lt;&gt;"","Applied",IF(G609&lt;&gt;"","Contacted","New"))))</f>
        <v>Contacted</v>
      </c>
      <c r="M609" s="32" t="n">
        <f aca="false">IF(G609="","",G609-B609)</f>
        <v>2</v>
      </c>
      <c r="N609" s="24" t="str">
        <f aca="false">IF(COUNTIF($A$2:A609,A609)&gt;1,"Duplicate ID",IF(C609="","Missing source",IF(OR(AND(G609&lt;&gt;"",G609&lt;B609),AND(H609&lt;&gt;"",H609&lt;B609),AND(I609&lt;&gt;"",I609&lt;H609),AND(J609&lt;&gt;"",J609&lt;I609)),"Date error","OK")))</f>
        <v>OK</v>
      </c>
    </row>
    <row r="610" customFormat="false" ht="15" hidden="false" customHeight="false" outlineLevel="0" collapsed="false">
      <c r="A610" s="24" t="s">
        <v>689</v>
      </c>
      <c r="B610" s="31" t="n">
        <v>46178</v>
      </c>
      <c r="C610" s="24" t="s">
        <v>26</v>
      </c>
      <c r="D610" s="24" t="s">
        <v>36</v>
      </c>
      <c r="E610" s="24" t="s">
        <v>94</v>
      </c>
      <c r="F610" s="24" t="s">
        <v>40</v>
      </c>
      <c r="G610" s="24"/>
      <c r="H610" s="24"/>
      <c r="I610" s="24"/>
      <c r="J610" s="24"/>
      <c r="K610" s="24" t="n">
        <v>0</v>
      </c>
      <c r="L610" s="24" t="str">
        <f aca="false">IF(J610&lt;&gt;"","Enrolled",IF(I610&lt;&gt;"","Admitted",IF(H610&lt;&gt;"","Applied",IF(G610&lt;&gt;"","Contacted","New"))))</f>
        <v>New</v>
      </c>
      <c r="M610" s="32" t="str">
        <f aca="false">IF(G610="","",G610-B610)</f>
        <v/>
      </c>
      <c r="N610" s="24" t="str">
        <f aca="false">IF(COUNTIF($A$2:A610,A610)&gt;1,"Duplicate ID",IF(C610="","Missing source",IF(OR(AND(G610&lt;&gt;"",G610&lt;B610),AND(H610&lt;&gt;"",H610&lt;B610),AND(I610&lt;&gt;"",I610&lt;H610),AND(J610&lt;&gt;"",J610&lt;I610)),"Date error","OK")))</f>
        <v>OK</v>
      </c>
    </row>
    <row r="611" customFormat="false" ht="15" hidden="false" customHeight="false" outlineLevel="0" collapsed="false">
      <c r="A611" s="24" t="s">
        <v>690</v>
      </c>
      <c r="B611" s="31" t="n">
        <v>46178</v>
      </c>
      <c r="C611" s="24" t="s">
        <v>26</v>
      </c>
      <c r="D611" s="24" t="s">
        <v>33</v>
      </c>
      <c r="E611" s="24" t="s">
        <v>81</v>
      </c>
      <c r="F611" s="24" t="s">
        <v>43</v>
      </c>
      <c r="G611" s="31" t="n">
        <v>46184</v>
      </c>
      <c r="H611" s="24"/>
      <c r="I611" s="24"/>
      <c r="J611" s="24"/>
      <c r="K611" s="24" t="n">
        <v>3</v>
      </c>
      <c r="L611" s="24" t="str">
        <f aca="false">IF(J611&lt;&gt;"","Enrolled",IF(I611&lt;&gt;"","Admitted",IF(H611&lt;&gt;"","Applied",IF(G611&lt;&gt;"","Contacted","New"))))</f>
        <v>Contacted</v>
      </c>
      <c r="M611" s="32" t="n">
        <f aca="false">IF(G611="","",G611-B611)</f>
        <v>6</v>
      </c>
      <c r="N611" s="24" t="str">
        <f aca="false">IF(COUNTIF($A$2:A611,A611)&gt;1,"Duplicate ID",IF(C611="","Missing source",IF(OR(AND(G611&lt;&gt;"",G611&lt;B611),AND(H611&lt;&gt;"",H611&lt;B611),AND(I611&lt;&gt;"",I611&lt;H611),AND(J611&lt;&gt;"",J611&lt;I611)),"Date error","OK")))</f>
        <v>OK</v>
      </c>
    </row>
    <row r="612" customFormat="false" ht="15" hidden="false" customHeight="false" outlineLevel="0" collapsed="false">
      <c r="A612" s="24" t="s">
        <v>691</v>
      </c>
      <c r="B612" s="31" t="n">
        <v>46178</v>
      </c>
      <c r="C612" s="24" t="s">
        <v>25</v>
      </c>
      <c r="D612" s="24" t="s">
        <v>34</v>
      </c>
      <c r="E612" s="24" t="s">
        <v>89</v>
      </c>
      <c r="F612" s="24" t="s">
        <v>45</v>
      </c>
      <c r="G612" s="31" t="n">
        <v>46180</v>
      </c>
      <c r="H612" s="24"/>
      <c r="I612" s="24"/>
      <c r="J612" s="24"/>
      <c r="K612" s="24" t="n">
        <v>4</v>
      </c>
      <c r="L612" s="24" t="str">
        <f aca="false">IF(J612&lt;&gt;"","Enrolled",IF(I612&lt;&gt;"","Admitted",IF(H612&lt;&gt;"","Applied",IF(G612&lt;&gt;"","Contacted","New"))))</f>
        <v>Contacted</v>
      </c>
      <c r="M612" s="32" t="n">
        <f aca="false">IF(G612="","",G612-B612)</f>
        <v>2</v>
      </c>
      <c r="N612" s="24" t="str">
        <f aca="false">IF(COUNTIF($A$2:A612,A612)&gt;1,"Duplicate ID",IF(C612="","Missing source",IF(OR(AND(G612&lt;&gt;"",G612&lt;B612),AND(H612&lt;&gt;"",H612&lt;B612),AND(I612&lt;&gt;"",I612&lt;H612),AND(J612&lt;&gt;"",J612&lt;I612)),"Date error","OK")))</f>
        <v>OK</v>
      </c>
    </row>
    <row r="613" customFormat="false" ht="15" hidden="false" customHeight="false" outlineLevel="0" collapsed="false">
      <c r="A613" s="24" t="s">
        <v>692</v>
      </c>
      <c r="B613" s="31" t="n">
        <v>46178</v>
      </c>
      <c r="C613" s="24" t="s">
        <v>23</v>
      </c>
      <c r="D613" s="24" t="s">
        <v>32</v>
      </c>
      <c r="E613" s="24" t="s">
        <v>79</v>
      </c>
      <c r="F613" s="24" t="s">
        <v>41</v>
      </c>
      <c r="G613" s="31" t="n">
        <v>46180</v>
      </c>
      <c r="H613" s="24"/>
      <c r="I613" s="24"/>
      <c r="J613" s="24"/>
      <c r="K613" s="24" t="n">
        <v>1</v>
      </c>
      <c r="L613" s="24" t="str">
        <f aca="false">IF(J613&lt;&gt;"","Enrolled",IF(I613&lt;&gt;"","Admitted",IF(H613&lt;&gt;"","Applied",IF(G613&lt;&gt;"","Contacted","New"))))</f>
        <v>Contacted</v>
      </c>
      <c r="M613" s="32" t="n">
        <f aca="false">IF(G613="","",G613-B613)</f>
        <v>2</v>
      </c>
      <c r="N613" s="24" t="str">
        <f aca="false">IF(COUNTIF($A$2:A613,A613)&gt;1,"Duplicate ID",IF(C613="","Missing source",IF(OR(AND(G613&lt;&gt;"",G613&lt;B613),AND(H613&lt;&gt;"",H613&lt;B613),AND(I613&lt;&gt;"",I613&lt;H613),AND(J613&lt;&gt;"",J613&lt;I613)),"Date error","OK")))</f>
        <v>OK</v>
      </c>
    </row>
    <row r="614" customFormat="false" ht="15" hidden="false" customHeight="false" outlineLevel="0" collapsed="false">
      <c r="A614" s="24" t="s">
        <v>693</v>
      </c>
      <c r="B614" s="31" t="n">
        <v>46178</v>
      </c>
      <c r="C614" s="24" t="s">
        <v>26</v>
      </c>
      <c r="D614" s="24" t="s">
        <v>35</v>
      </c>
      <c r="E614" s="24" t="s">
        <v>89</v>
      </c>
      <c r="F614" s="24" t="s">
        <v>45</v>
      </c>
      <c r="G614" s="31" t="n">
        <v>46183</v>
      </c>
      <c r="H614" s="24"/>
      <c r="I614" s="24"/>
      <c r="J614" s="24"/>
      <c r="K614" s="24" t="n">
        <v>2</v>
      </c>
      <c r="L614" s="24" t="str">
        <f aca="false">IF(J614&lt;&gt;"","Enrolled",IF(I614&lt;&gt;"","Admitted",IF(H614&lt;&gt;"","Applied",IF(G614&lt;&gt;"","Contacted","New"))))</f>
        <v>Contacted</v>
      </c>
      <c r="M614" s="32" t="n">
        <f aca="false">IF(G614="","",G614-B614)</f>
        <v>5</v>
      </c>
      <c r="N614" s="24" t="str">
        <f aca="false">IF(COUNTIF($A$2:A614,A614)&gt;1,"Duplicate ID",IF(C614="","Missing source",IF(OR(AND(G614&lt;&gt;"",G614&lt;B614),AND(H614&lt;&gt;"",H614&lt;B614),AND(I614&lt;&gt;"",I614&lt;H614),AND(J614&lt;&gt;"",J614&lt;I614)),"Date error","OK")))</f>
        <v>OK</v>
      </c>
    </row>
    <row r="615" customFormat="false" ht="15" hidden="false" customHeight="false" outlineLevel="0" collapsed="false">
      <c r="A615" s="24" t="s">
        <v>694</v>
      </c>
      <c r="B615" s="31" t="n">
        <v>46178</v>
      </c>
      <c r="C615" s="24" t="s">
        <v>26</v>
      </c>
      <c r="D615" s="24" t="s">
        <v>35</v>
      </c>
      <c r="E615" s="24" t="s">
        <v>89</v>
      </c>
      <c r="F615" s="24" t="s">
        <v>40</v>
      </c>
      <c r="G615" s="24"/>
      <c r="H615" s="24"/>
      <c r="I615" s="24"/>
      <c r="J615" s="24"/>
      <c r="K615" s="24" t="n">
        <v>0</v>
      </c>
      <c r="L615" s="24" t="str">
        <f aca="false">IF(J615&lt;&gt;"","Enrolled",IF(I615&lt;&gt;"","Admitted",IF(H615&lt;&gt;"","Applied",IF(G615&lt;&gt;"","Contacted","New"))))</f>
        <v>New</v>
      </c>
      <c r="M615" s="32" t="str">
        <f aca="false">IF(G615="","",G615-B615)</f>
        <v/>
      </c>
      <c r="N615" s="24" t="str">
        <f aca="false">IF(COUNTIF($A$2:A615,A615)&gt;1,"Duplicate ID",IF(C615="","Missing source",IF(OR(AND(G615&lt;&gt;"",G615&lt;B615),AND(H615&lt;&gt;"",H615&lt;B615),AND(I615&lt;&gt;"",I615&lt;H615),AND(J615&lt;&gt;"",J615&lt;I615)),"Date error","OK")))</f>
        <v>OK</v>
      </c>
    </row>
    <row r="616" customFormat="false" ht="15" hidden="false" customHeight="false" outlineLevel="0" collapsed="false">
      <c r="A616" s="24" t="s">
        <v>695</v>
      </c>
      <c r="B616" s="31" t="n">
        <v>46178</v>
      </c>
      <c r="C616" s="24" t="s">
        <v>21</v>
      </c>
      <c r="D616" s="24" t="s">
        <v>32</v>
      </c>
      <c r="E616" s="24" t="s">
        <v>79</v>
      </c>
      <c r="F616" s="24" t="s">
        <v>44</v>
      </c>
      <c r="G616" s="31" t="n">
        <v>46178</v>
      </c>
      <c r="H616" s="31" t="n">
        <v>46203</v>
      </c>
      <c r="I616" s="31" t="n">
        <v>46216</v>
      </c>
      <c r="J616" s="31" t="n">
        <v>46236</v>
      </c>
      <c r="K616" s="24" t="n">
        <v>4</v>
      </c>
      <c r="L616" s="24" t="str">
        <f aca="false">IF(J616&lt;&gt;"","Enrolled",IF(I616&lt;&gt;"","Admitted",IF(H616&lt;&gt;"","Applied",IF(G616&lt;&gt;"","Contacted","New"))))</f>
        <v>Enrolled</v>
      </c>
      <c r="M616" s="32" t="n">
        <f aca="false">IF(G616="","",G616-B616)</f>
        <v>0</v>
      </c>
      <c r="N616" s="24" t="str">
        <f aca="false">IF(COUNTIF($A$2:A616,A616)&gt;1,"Duplicate ID",IF(C616="","Missing source",IF(OR(AND(G616&lt;&gt;"",G616&lt;B616),AND(H616&lt;&gt;"",H616&lt;B616),AND(I616&lt;&gt;"",I616&lt;H616),AND(J616&lt;&gt;"",J616&lt;I616)),"Date error","OK")))</f>
        <v>OK</v>
      </c>
    </row>
    <row r="617" customFormat="false" ht="15" hidden="false" customHeight="false" outlineLevel="0" collapsed="false">
      <c r="A617" s="24" t="s">
        <v>696</v>
      </c>
      <c r="B617" s="31" t="n">
        <v>46178</v>
      </c>
      <c r="C617" s="24" t="s">
        <v>22</v>
      </c>
      <c r="D617" s="24" t="s">
        <v>33</v>
      </c>
      <c r="E617" s="24" t="s">
        <v>89</v>
      </c>
      <c r="F617" s="24" t="s">
        <v>41</v>
      </c>
      <c r="G617" s="31" t="n">
        <v>46180</v>
      </c>
      <c r="H617" s="31" t="n">
        <v>46198</v>
      </c>
      <c r="I617" s="31" t="n">
        <v>46209</v>
      </c>
      <c r="J617" s="31" t="n">
        <v>46234</v>
      </c>
      <c r="K617" s="24" t="n">
        <v>4</v>
      </c>
      <c r="L617" s="24" t="str">
        <f aca="false">IF(J617&lt;&gt;"","Enrolled",IF(I617&lt;&gt;"","Admitted",IF(H617&lt;&gt;"","Applied",IF(G617&lt;&gt;"","Contacted","New"))))</f>
        <v>Enrolled</v>
      </c>
      <c r="M617" s="32" t="n">
        <f aca="false">IF(G617="","",G617-B617)</f>
        <v>2</v>
      </c>
      <c r="N617" s="24" t="str">
        <f aca="false">IF(COUNTIF($A$2:A617,A617)&gt;1,"Duplicate ID",IF(C617="","Missing source",IF(OR(AND(G617&lt;&gt;"",G617&lt;B617),AND(H617&lt;&gt;"",H617&lt;B617),AND(I617&lt;&gt;"",I617&lt;H617),AND(J617&lt;&gt;"",J617&lt;I617)),"Date error","OK")))</f>
        <v>OK</v>
      </c>
    </row>
    <row r="618" customFormat="false" ht="15" hidden="false" customHeight="false" outlineLevel="0" collapsed="false">
      <c r="A618" s="24" t="s">
        <v>697</v>
      </c>
      <c r="B618" s="31" t="n">
        <v>46178</v>
      </c>
      <c r="C618" s="24" t="s">
        <v>21</v>
      </c>
      <c r="D618" s="24" t="s">
        <v>36</v>
      </c>
      <c r="E618" s="24" t="s">
        <v>79</v>
      </c>
      <c r="F618" s="24" t="s">
        <v>41</v>
      </c>
      <c r="G618" s="31" t="n">
        <v>46179</v>
      </c>
      <c r="H618" s="31" t="n">
        <v>46200</v>
      </c>
      <c r="I618" s="31" t="n">
        <v>46214</v>
      </c>
      <c r="J618" s="31" t="n">
        <v>46225</v>
      </c>
      <c r="K618" s="24" t="n">
        <v>3</v>
      </c>
      <c r="L618" s="24" t="str">
        <f aca="false">IF(J618&lt;&gt;"","Enrolled",IF(I618&lt;&gt;"","Admitted",IF(H618&lt;&gt;"","Applied",IF(G618&lt;&gt;"","Contacted","New"))))</f>
        <v>Enrolled</v>
      </c>
      <c r="M618" s="32" t="n">
        <f aca="false">IF(G618="","",G618-B618)</f>
        <v>1</v>
      </c>
      <c r="N618" s="24" t="str">
        <f aca="false">IF(COUNTIF($A$2:A618,A618)&gt;1,"Duplicate ID",IF(C618="","Missing source",IF(OR(AND(G618&lt;&gt;"",G618&lt;B618),AND(H618&lt;&gt;"",H618&lt;B618),AND(I618&lt;&gt;"",I618&lt;H618),AND(J618&lt;&gt;"",J618&lt;I618)),"Date error","OK")))</f>
        <v>OK</v>
      </c>
    </row>
    <row r="619" customFormat="false" ht="15" hidden="false" customHeight="false" outlineLevel="0" collapsed="false">
      <c r="A619" s="24" t="s">
        <v>698</v>
      </c>
      <c r="B619" s="31" t="n">
        <v>46178</v>
      </c>
      <c r="C619" s="24" t="s">
        <v>23</v>
      </c>
      <c r="D619" s="24" t="s">
        <v>35</v>
      </c>
      <c r="E619" s="24" t="s">
        <v>89</v>
      </c>
      <c r="F619" s="24" t="s">
        <v>45</v>
      </c>
      <c r="G619" s="31" t="n">
        <v>46179</v>
      </c>
      <c r="H619" s="24"/>
      <c r="I619" s="24"/>
      <c r="J619" s="24"/>
      <c r="K619" s="24" t="n">
        <v>2</v>
      </c>
      <c r="L619" s="24" t="str">
        <f aca="false">IF(J619&lt;&gt;"","Enrolled",IF(I619&lt;&gt;"","Admitted",IF(H619&lt;&gt;"","Applied",IF(G619&lt;&gt;"","Contacted","New"))))</f>
        <v>Contacted</v>
      </c>
      <c r="M619" s="32" t="n">
        <f aca="false">IF(G619="","",G619-B619)</f>
        <v>1</v>
      </c>
      <c r="N619" s="24" t="str">
        <f aca="false">IF(COUNTIF($A$2:A619,A619)&gt;1,"Duplicate ID",IF(C619="","Missing source",IF(OR(AND(G619&lt;&gt;"",G619&lt;B619),AND(H619&lt;&gt;"",H619&lt;B619),AND(I619&lt;&gt;"",I619&lt;H619),AND(J619&lt;&gt;"",J619&lt;I619)),"Date error","OK")))</f>
        <v>OK</v>
      </c>
    </row>
    <row r="620" customFormat="false" ht="15" hidden="false" customHeight="false" outlineLevel="0" collapsed="false">
      <c r="A620" s="24" t="s">
        <v>699</v>
      </c>
      <c r="B620" s="31" t="n">
        <v>46178</v>
      </c>
      <c r="C620" s="24" t="s">
        <v>23</v>
      </c>
      <c r="D620" s="24" t="s">
        <v>36</v>
      </c>
      <c r="E620" s="24" t="s">
        <v>89</v>
      </c>
      <c r="F620" s="24" t="s">
        <v>42</v>
      </c>
      <c r="G620" s="31" t="n">
        <v>46180</v>
      </c>
      <c r="H620" s="24"/>
      <c r="I620" s="24"/>
      <c r="J620" s="24"/>
      <c r="K620" s="24" t="n">
        <v>2</v>
      </c>
      <c r="L620" s="24" t="str">
        <f aca="false">IF(J620&lt;&gt;"","Enrolled",IF(I620&lt;&gt;"","Admitted",IF(H620&lt;&gt;"","Applied",IF(G620&lt;&gt;"","Contacted","New"))))</f>
        <v>Contacted</v>
      </c>
      <c r="M620" s="32" t="n">
        <f aca="false">IF(G620="","",G620-B620)</f>
        <v>2</v>
      </c>
      <c r="N620" s="24" t="str">
        <f aca="false">IF(COUNTIF($A$2:A620,A620)&gt;1,"Duplicate ID",IF(C620="","Missing source",IF(OR(AND(G620&lt;&gt;"",G620&lt;B620),AND(H620&lt;&gt;"",H620&lt;B620),AND(I620&lt;&gt;"",I620&lt;H620),AND(J620&lt;&gt;"",J620&lt;I620)),"Date error","OK")))</f>
        <v>OK</v>
      </c>
    </row>
    <row r="621" customFormat="false" ht="15" hidden="false" customHeight="false" outlineLevel="0" collapsed="false">
      <c r="A621" s="24" t="s">
        <v>700</v>
      </c>
      <c r="B621" s="31" t="n">
        <v>46178</v>
      </c>
      <c r="C621" s="24" t="s">
        <v>26</v>
      </c>
      <c r="D621" s="24" t="s">
        <v>35</v>
      </c>
      <c r="E621" s="24" t="s">
        <v>89</v>
      </c>
      <c r="F621" s="24" t="s">
        <v>42</v>
      </c>
      <c r="G621" s="31" t="n">
        <v>46180</v>
      </c>
      <c r="H621" s="24"/>
      <c r="I621" s="24"/>
      <c r="J621" s="24"/>
      <c r="K621" s="24" t="n">
        <v>1</v>
      </c>
      <c r="L621" s="24" t="str">
        <f aca="false">IF(J621&lt;&gt;"","Enrolled",IF(I621&lt;&gt;"","Admitted",IF(H621&lt;&gt;"","Applied",IF(G621&lt;&gt;"","Contacted","New"))))</f>
        <v>Contacted</v>
      </c>
      <c r="M621" s="32" t="n">
        <f aca="false">IF(G621="","",G621-B621)</f>
        <v>2</v>
      </c>
      <c r="N621" s="24" t="str">
        <f aca="false">IF(COUNTIF($A$2:A621,A621)&gt;1,"Duplicate ID",IF(C621="","Missing source",IF(OR(AND(G621&lt;&gt;"",G621&lt;B621),AND(H621&lt;&gt;"",H621&lt;B621),AND(I621&lt;&gt;"",I621&lt;H621),AND(J621&lt;&gt;"",J621&lt;I621)),"Date error","OK")))</f>
        <v>OK</v>
      </c>
    </row>
    <row r="622" customFormat="false" ht="15" hidden="false" customHeight="false" outlineLevel="0" collapsed="false">
      <c r="A622" s="24" t="s">
        <v>701</v>
      </c>
      <c r="B622" s="31" t="n">
        <v>46178</v>
      </c>
      <c r="C622" s="24" t="s">
        <v>27</v>
      </c>
      <c r="D622" s="24" t="s">
        <v>33</v>
      </c>
      <c r="E622" s="24" t="s">
        <v>79</v>
      </c>
      <c r="F622" s="24" t="s">
        <v>43</v>
      </c>
      <c r="G622" s="31" t="n">
        <v>46180</v>
      </c>
      <c r="H622" s="24"/>
      <c r="I622" s="24"/>
      <c r="J622" s="24"/>
      <c r="K622" s="24" t="n">
        <v>4</v>
      </c>
      <c r="L622" s="24" t="str">
        <f aca="false">IF(J622&lt;&gt;"","Enrolled",IF(I622&lt;&gt;"","Admitted",IF(H622&lt;&gt;"","Applied",IF(G622&lt;&gt;"","Contacted","New"))))</f>
        <v>Contacted</v>
      </c>
      <c r="M622" s="32" t="n">
        <f aca="false">IF(G622="","",G622-B622)</f>
        <v>2</v>
      </c>
      <c r="N622" s="24" t="str">
        <f aca="false">IF(COUNTIF($A$2:A622,A622)&gt;1,"Duplicate ID",IF(C622="","Missing source",IF(OR(AND(G622&lt;&gt;"",G622&lt;B622),AND(H622&lt;&gt;"",H622&lt;B622),AND(I622&lt;&gt;"",I622&lt;H622),AND(J622&lt;&gt;"",J622&lt;I622)),"Date error","OK")))</f>
        <v>OK</v>
      </c>
    </row>
    <row r="623" customFormat="false" ht="15" hidden="false" customHeight="false" outlineLevel="0" collapsed="false">
      <c r="A623" s="24" t="s">
        <v>702</v>
      </c>
      <c r="B623" s="31" t="n">
        <v>46179</v>
      </c>
      <c r="C623" s="24" t="s">
        <v>27</v>
      </c>
      <c r="D623" s="24" t="s">
        <v>32</v>
      </c>
      <c r="E623" s="24" t="s">
        <v>89</v>
      </c>
      <c r="F623" s="24" t="s">
        <v>40</v>
      </c>
      <c r="G623" s="31" t="n">
        <v>46179</v>
      </c>
      <c r="H623" s="24"/>
      <c r="I623" s="24"/>
      <c r="J623" s="24"/>
      <c r="K623" s="24" t="n">
        <v>2</v>
      </c>
      <c r="L623" s="24" t="str">
        <f aca="false">IF(J623&lt;&gt;"","Enrolled",IF(I623&lt;&gt;"","Admitted",IF(H623&lt;&gt;"","Applied",IF(G623&lt;&gt;"","Contacted","New"))))</f>
        <v>Contacted</v>
      </c>
      <c r="M623" s="32" t="n">
        <f aca="false">IF(G623="","",G623-B623)</f>
        <v>0</v>
      </c>
      <c r="N623" s="24" t="str">
        <f aca="false">IF(COUNTIF($A$2:A623,A623)&gt;1,"Duplicate ID",IF(C623="","Missing source",IF(OR(AND(G623&lt;&gt;"",G623&lt;B623),AND(H623&lt;&gt;"",H623&lt;B623),AND(I623&lt;&gt;"",I623&lt;H623),AND(J623&lt;&gt;"",J623&lt;I623)),"Date error","OK")))</f>
        <v>OK</v>
      </c>
    </row>
    <row r="624" customFormat="false" ht="15" hidden="false" customHeight="false" outlineLevel="0" collapsed="false">
      <c r="A624" s="24" t="s">
        <v>703</v>
      </c>
      <c r="B624" s="31" t="n">
        <v>46179</v>
      </c>
      <c r="C624" s="24" t="s">
        <v>25</v>
      </c>
      <c r="D624" s="24" t="s">
        <v>35</v>
      </c>
      <c r="E624" s="24" t="s">
        <v>79</v>
      </c>
      <c r="F624" s="24" t="s">
        <v>45</v>
      </c>
      <c r="G624" s="31" t="n">
        <v>46180</v>
      </c>
      <c r="H624" s="24"/>
      <c r="I624" s="24"/>
      <c r="J624" s="24"/>
      <c r="K624" s="24" t="n">
        <v>5</v>
      </c>
      <c r="L624" s="24" t="str">
        <f aca="false">IF(J624&lt;&gt;"","Enrolled",IF(I624&lt;&gt;"","Admitted",IF(H624&lt;&gt;"","Applied",IF(G624&lt;&gt;"","Contacted","New"))))</f>
        <v>Contacted</v>
      </c>
      <c r="M624" s="32" t="n">
        <f aca="false">IF(G624="","",G624-B624)</f>
        <v>1</v>
      </c>
      <c r="N624" s="24" t="str">
        <f aca="false">IF(COUNTIF($A$2:A624,A624)&gt;1,"Duplicate ID",IF(C624="","Missing source",IF(OR(AND(G624&lt;&gt;"",G624&lt;B624),AND(H624&lt;&gt;"",H624&lt;B624),AND(I624&lt;&gt;"",I624&lt;H624),AND(J624&lt;&gt;"",J624&lt;I624)),"Date error","OK")))</f>
        <v>OK</v>
      </c>
    </row>
    <row r="625" customFormat="false" ht="15" hidden="false" customHeight="false" outlineLevel="0" collapsed="false">
      <c r="A625" s="24" t="s">
        <v>704</v>
      </c>
      <c r="B625" s="31" t="n">
        <v>46179</v>
      </c>
      <c r="C625" s="24" t="s">
        <v>26</v>
      </c>
      <c r="D625" s="24" t="s">
        <v>36</v>
      </c>
      <c r="E625" s="24" t="s">
        <v>81</v>
      </c>
      <c r="F625" s="24" t="s">
        <v>42</v>
      </c>
      <c r="G625" s="31" t="n">
        <v>46179</v>
      </c>
      <c r="H625" s="24"/>
      <c r="I625" s="24"/>
      <c r="J625" s="24"/>
      <c r="K625" s="24" t="n">
        <v>2</v>
      </c>
      <c r="L625" s="24" t="str">
        <f aca="false">IF(J625&lt;&gt;"","Enrolled",IF(I625&lt;&gt;"","Admitted",IF(H625&lt;&gt;"","Applied",IF(G625&lt;&gt;"","Contacted","New"))))</f>
        <v>Contacted</v>
      </c>
      <c r="M625" s="32" t="n">
        <f aca="false">IF(G625="","",G625-B625)</f>
        <v>0</v>
      </c>
      <c r="N625" s="24" t="str">
        <f aca="false">IF(COUNTIF($A$2:A625,A625)&gt;1,"Duplicate ID",IF(C625="","Missing source",IF(OR(AND(G625&lt;&gt;"",G625&lt;B625),AND(H625&lt;&gt;"",H625&lt;B625),AND(I625&lt;&gt;"",I625&lt;H625),AND(J625&lt;&gt;"",J625&lt;I625)),"Date error","OK")))</f>
        <v>OK</v>
      </c>
    </row>
    <row r="626" customFormat="false" ht="15" hidden="false" customHeight="false" outlineLevel="0" collapsed="false">
      <c r="A626" s="24" t="s">
        <v>705</v>
      </c>
      <c r="B626" s="31" t="n">
        <v>46179</v>
      </c>
      <c r="C626" s="24" t="s">
        <v>22</v>
      </c>
      <c r="D626" s="24" t="s">
        <v>32</v>
      </c>
      <c r="E626" s="24" t="s">
        <v>89</v>
      </c>
      <c r="F626" s="24" t="s">
        <v>42</v>
      </c>
      <c r="G626" s="31" t="n">
        <v>46181</v>
      </c>
      <c r="H626" s="31" t="n">
        <v>46194</v>
      </c>
      <c r="I626" s="31" t="n">
        <v>46202</v>
      </c>
      <c r="J626" s="31" t="n">
        <v>46212</v>
      </c>
      <c r="K626" s="24" t="n">
        <v>9</v>
      </c>
      <c r="L626" s="24" t="str">
        <f aca="false">IF(J626&lt;&gt;"","Enrolled",IF(I626&lt;&gt;"","Admitted",IF(H626&lt;&gt;"","Applied",IF(G626&lt;&gt;"","Contacted","New"))))</f>
        <v>Enrolled</v>
      </c>
      <c r="M626" s="32" t="n">
        <f aca="false">IF(G626="","",G626-B626)</f>
        <v>2</v>
      </c>
      <c r="N626" s="24" t="str">
        <f aca="false">IF(COUNTIF($A$2:A626,A626)&gt;1,"Duplicate ID",IF(C626="","Missing source",IF(OR(AND(G626&lt;&gt;"",G626&lt;B626),AND(H626&lt;&gt;"",H626&lt;B626),AND(I626&lt;&gt;"",I626&lt;H626),AND(J626&lt;&gt;"",J626&lt;I626)),"Date error","OK")))</f>
        <v>OK</v>
      </c>
    </row>
    <row r="627" customFormat="false" ht="15" hidden="false" customHeight="false" outlineLevel="0" collapsed="false">
      <c r="A627" s="24" t="s">
        <v>706</v>
      </c>
      <c r="B627" s="31" t="n">
        <v>46179</v>
      </c>
      <c r="C627" s="24" t="s">
        <v>21</v>
      </c>
      <c r="D627" s="24" t="s">
        <v>32</v>
      </c>
      <c r="E627" s="24" t="s">
        <v>94</v>
      </c>
      <c r="F627" s="24" t="s">
        <v>41</v>
      </c>
      <c r="G627" s="31" t="n">
        <v>46180</v>
      </c>
      <c r="H627" s="24"/>
      <c r="I627" s="24"/>
      <c r="J627" s="24"/>
      <c r="K627" s="24" t="n">
        <v>3</v>
      </c>
      <c r="L627" s="24" t="str">
        <f aca="false">IF(J627&lt;&gt;"","Enrolled",IF(I627&lt;&gt;"","Admitted",IF(H627&lt;&gt;"","Applied",IF(G627&lt;&gt;"","Contacted","New"))))</f>
        <v>Contacted</v>
      </c>
      <c r="M627" s="32" t="n">
        <f aca="false">IF(G627="","",G627-B627)</f>
        <v>1</v>
      </c>
      <c r="N627" s="24" t="str">
        <f aca="false">IF(COUNTIF($A$2:A627,A627)&gt;1,"Duplicate ID",IF(C627="","Missing source",IF(OR(AND(G627&lt;&gt;"",G627&lt;B627),AND(H627&lt;&gt;"",H627&lt;B627),AND(I627&lt;&gt;"",I627&lt;H627),AND(J627&lt;&gt;"",J627&lt;I627)),"Date error","OK")))</f>
        <v>OK</v>
      </c>
    </row>
    <row r="628" customFormat="false" ht="15" hidden="false" customHeight="false" outlineLevel="0" collapsed="false">
      <c r="A628" s="24" t="s">
        <v>707</v>
      </c>
      <c r="B628" s="31" t="n">
        <v>46179</v>
      </c>
      <c r="C628" s="24" t="s">
        <v>26</v>
      </c>
      <c r="D628" s="24" t="s">
        <v>33</v>
      </c>
      <c r="E628" s="24" t="s">
        <v>89</v>
      </c>
      <c r="F628" s="24" t="s">
        <v>43</v>
      </c>
      <c r="G628" s="31" t="n">
        <v>46184</v>
      </c>
      <c r="H628" s="24"/>
      <c r="I628" s="24"/>
      <c r="J628" s="24"/>
      <c r="K628" s="24" t="n">
        <v>4</v>
      </c>
      <c r="L628" s="24" t="str">
        <f aca="false">IF(J628&lt;&gt;"","Enrolled",IF(I628&lt;&gt;"","Admitted",IF(H628&lt;&gt;"","Applied",IF(G628&lt;&gt;"","Contacted","New"))))</f>
        <v>Contacted</v>
      </c>
      <c r="M628" s="32" t="n">
        <f aca="false">IF(G628="","",G628-B628)</f>
        <v>5</v>
      </c>
      <c r="N628" s="24" t="str">
        <f aca="false">IF(COUNTIF($A$2:A628,A628)&gt;1,"Duplicate ID",IF(C628="","Missing source",IF(OR(AND(G628&lt;&gt;"",G628&lt;B628),AND(H628&lt;&gt;"",H628&lt;B628),AND(I628&lt;&gt;"",I628&lt;H628),AND(J628&lt;&gt;"",J628&lt;I628)),"Date error","OK")))</f>
        <v>OK</v>
      </c>
    </row>
    <row r="629" customFormat="false" ht="15" hidden="false" customHeight="false" outlineLevel="0" collapsed="false">
      <c r="A629" s="24" t="s">
        <v>708</v>
      </c>
      <c r="B629" s="31" t="n">
        <v>46179</v>
      </c>
      <c r="C629" s="24" t="s">
        <v>27</v>
      </c>
      <c r="D629" s="24" t="s">
        <v>34</v>
      </c>
      <c r="E629" s="24" t="s">
        <v>81</v>
      </c>
      <c r="F629" s="24" t="s">
        <v>43</v>
      </c>
      <c r="G629" s="31" t="n">
        <v>46181</v>
      </c>
      <c r="H629" s="24"/>
      <c r="I629" s="24"/>
      <c r="J629" s="24"/>
      <c r="K629" s="24" t="n">
        <v>3</v>
      </c>
      <c r="L629" s="24" t="str">
        <f aca="false">IF(J629&lt;&gt;"","Enrolled",IF(I629&lt;&gt;"","Admitted",IF(H629&lt;&gt;"","Applied",IF(G629&lt;&gt;"","Contacted","New"))))</f>
        <v>Contacted</v>
      </c>
      <c r="M629" s="32" t="n">
        <f aca="false">IF(G629="","",G629-B629)</f>
        <v>2</v>
      </c>
      <c r="N629" s="24" t="str">
        <f aca="false">IF(COUNTIF($A$2:A629,A629)&gt;1,"Duplicate ID",IF(C629="","Missing source",IF(OR(AND(G629&lt;&gt;"",G629&lt;B629),AND(H629&lt;&gt;"",H629&lt;B629),AND(I629&lt;&gt;"",I629&lt;H629),AND(J629&lt;&gt;"",J629&lt;I629)),"Date error","OK")))</f>
        <v>OK</v>
      </c>
    </row>
    <row r="630" customFormat="false" ht="15" hidden="false" customHeight="false" outlineLevel="0" collapsed="false">
      <c r="A630" s="24" t="s">
        <v>709</v>
      </c>
      <c r="B630" s="31" t="n">
        <v>46179</v>
      </c>
      <c r="C630" s="24" t="s">
        <v>25</v>
      </c>
      <c r="D630" s="24" t="s">
        <v>36</v>
      </c>
      <c r="E630" s="24" t="s">
        <v>89</v>
      </c>
      <c r="F630" s="24" t="s">
        <v>42</v>
      </c>
      <c r="G630" s="31" t="n">
        <v>46181</v>
      </c>
      <c r="H630" s="24"/>
      <c r="I630" s="24"/>
      <c r="J630" s="24"/>
      <c r="K630" s="24" t="n">
        <v>3</v>
      </c>
      <c r="L630" s="24" t="str">
        <f aca="false">IF(J630&lt;&gt;"","Enrolled",IF(I630&lt;&gt;"","Admitted",IF(H630&lt;&gt;"","Applied",IF(G630&lt;&gt;"","Contacted","New"))))</f>
        <v>Contacted</v>
      </c>
      <c r="M630" s="32" t="n">
        <f aca="false">IF(G630="","",G630-B630)</f>
        <v>2</v>
      </c>
      <c r="N630" s="24" t="str">
        <f aca="false">IF(COUNTIF($A$2:A630,A630)&gt;1,"Duplicate ID",IF(C630="","Missing source",IF(OR(AND(G630&lt;&gt;"",G630&lt;B630),AND(H630&lt;&gt;"",H630&lt;B630),AND(I630&lt;&gt;"",I630&lt;H630),AND(J630&lt;&gt;"",J630&lt;I630)),"Date error","OK")))</f>
        <v>OK</v>
      </c>
    </row>
    <row r="631" customFormat="false" ht="15" hidden="false" customHeight="false" outlineLevel="0" collapsed="false">
      <c r="A631" s="24" t="s">
        <v>710</v>
      </c>
      <c r="B631" s="31" t="n">
        <v>46179</v>
      </c>
      <c r="C631" s="24" t="s">
        <v>25</v>
      </c>
      <c r="D631" s="24" t="s">
        <v>36</v>
      </c>
      <c r="E631" s="24" t="s">
        <v>89</v>
      </c>
      <c r="F631" s="24" t="s">
        <v>44</v>
      </c>
      <c r="G631" s="24"/>
      <c r="H631" s="24"/>
      <c r="I631" s="24"/>
      <c r="J631" s="24"/>
      <c r="K631" s="24" t="n">
        <v>0</v>
      </c>
      <c r="L631" s="24" t="str">
        <f aca="false">IF(J631&lt;&gt;"","Enrolled",IF(I631&lt;&gt;"","Admitted",IF(H631&lt;&gt;"","Applied",IF(G631&lt;&gt;"","Contacted","New"))))</f>
        <v>New</v>
      </c>
      <c r="M631" s="32" t="str">
        <f aca="false">IF(G631="","",G631-B631)</f>
        <v/>
      </c>
      <c r="N631" s="24" t="str">
        <f aca="false">IF(COUNTIF($A$2:A631,A631)&gt;1,"Duplicate ID",IF(C631="","Missing source",IF(OR(AND(G631&lt;&gt;"",G631&lt;B631),AND(H631&lt;&gt;"",H631&lt;B631),AND(I631&lt;&gt;"",I631&lt;H631),AND(J631&lt;&gt;"",J631&lt;I631)),"Date error","OK")))</f>
        <v>OK</v>
      </c>
    </row>
    <row r="632" customFormat="false" ht="15" hidden="false" customHeight="false" outlineLevel="0" collapsed="false">
      <c r="A632" s="24" t="s">
        <v>711</v>
      </c>
      <c r="B632" s="31" t="n">
        <v>46179</v>
      </c>
      <c r="C632" s="24" t="s">
        <v>24</v>
      </c>
      <c r="D632" s="24" t="s">
        <v>32</v>
      </c>
      <c r="E632" s="24" t="s">
        <v>89</v>
      </c>
      <c r="F632" s="24" t="s">
        <v>41</v>
      </c>
      <c r="G632" s="31" t="n">
        <v>46183</v>
      </c>
      <c r="H632" s="31" t="n">
        <v>46190</v>
      </c>
      <c r="I632" s="31" t="n">
        <v>46200</v>
      </c>
      <c r="J632" s="31" t="n">
        <v>46209</v>
      </c>
      <c r="K632" s="24" t="n">
        <v>4</v>
      </c>
      <c r="L632" s="24" t="str">
        <f aca="false">IF(J632&lt;&gt;"","Enrolled",IF(I632&lt;&gt;"","Admitted",IF(H632&lt;&gt;"","Applied",IF(G632&lt;&gt;"","Contacted","New"))))</f>
        <v>Enrolled</v>
      </c>
      <c r="M632" s="32" t="n">
        <f aca="false">IF(G632="","",G632-B632)</f>
        <v>4</v>
      </c>
      <c r="N632" s="24" t="str">
        <f aca="false">IF(COUNTIF($A$2:A632,A632)&gt;1,"Duplicate ID",IF(C632="","Missing source",IF(OR(AND(G632&lt;&gt;"",G632&lt;B632),AND(H632&lt;&gt;"",H632&lt;B632),AND(I632&lt;&gt;"",I632&lt;H632),AND(J632&lt;&gt;"",J632&lt;I632)),"Date error","OK")))</f>
        <v>OK</v>
      </c>
    </row>
    <row r="633" customFormat="false" ht="15" hidden="false" customHeight="false" outlineLevel="0" collapsed="false">
      <c r="A633" s="24" t="s">
        <v>712</v>
      </c>
      <c r="B633" s="31" t="n">
        <v>46180</v>
      </c>
      <c r="C633" s="24" t="s">
        <v>26</v>
      </c>
      <c r="D633" s="24" t="s">
        <v>34</v>
      </c>
      <c r="E633" s="24" t="s">
        <v>84</v>
      </c>
      <c r="F633" s="24" t="s">
        <v>42</v>
      </c>
      <c r="G633" s="31" t="n">
        <v>46180</v>
      </c>
      <c r="H633" s="24"/>
      <c r="I633" s="24"/>
      <c r="J633" s="24"/>
      <c r="K633" s="24" t="n">
        <v>2</v>
      </c>
      <c r="L633" s="24" t="str">
        <f aca="false">IF(J633&lt;&gt;"","Enrolled",IF(I633&lt;&gt;"","Admitted",IF(H633&lt;&gt;"","Applied",IF(G633&lt;&gt;"","Contacted","New"))))</f>
        <v>Contacted</v>
      </c>
      <c r="M633" s="32" t="n">
        <f aca="false">IF(G633="","",G633-B633)</f>
        <v>0</v>
      </c>
      <c r="N633" s="24" t="str">
        <f aca="false">IF(COUNTIF($A$2:A633,A633)&gt;1,"Duplicate ID",IF(C633="","Missing source",IF(OR(AND(G633&lt;&gt;"",G633&lt;B633),AND(H633&lt;&gt;"",H633&lt;B633),AND(I633&lt;&gt;"",I633&lt;H633),AND(J633&lt;&gt;"",J633&lt;I633)),"Date error","OK")))</f>
        <v>OK</v>
      </c>
    </row>
    <row r="634" customFormat="false" ht="15" hidden="false" customHeight="false" outlineLevel="0" collapsed="false">
      <c r="A634" s="24" t="s">
        <v>713</v>
      </c>
      <c r="B634" s="31" t="n">
        <v>46180</v>
      </c>
      <c r="C634" s="24" t="s">
        <v>25</v>
      </c>
      <c r="D634" s="24" t="s">
        <v>32</v>
      </c>
      <c r="E634" s="24" t="s">
        <v>89</v>
      </c>
      <c r="F634" s="24" t="s">
        <v>42</v>
      </c>
      <c r="G634" s="31" t="n">
        <v>46181</v>
      </c>
      <c r="H634" s="24"/>
      <c r="I634" s="24"/>
      <c r="J634" s="24"/>
      <c r="K634" s="24" t="n">
        <v>2</v>
      </c>
      <c r="L634" s="24" t="str">
        <f aca="false">IF(J634&lt;&gt;"","Enrolled",IF(I634&lt;&gt;"","Admitted",IF(H634&lt;&gt;"","Applied",IF(G634&lt;&gt;"","Contacted","New"))))</f>
        <v>Contacted</v>
      </c>
      <c r="M634" s="32" t="n">
        <f aca="false">IF(G634="","",G634-B634)</f>
        <v>1</v>
      </c>
      <c r="N634" s="24" t="str">
        <f aca="false">IF(COUNTIF($A$2:A634,A634)&gt;1,"Duplicate ID",IF(C634="","Missing source",IF(OR(AND(G634&lt;&gt;"",G634&lt;B634),AND(H634&lt;&gt;"",H634&lt;B634),AND(I634&lt;&gt;"",I634&lt;H634),AND(J634&lt;&gt;"",J634&lt;I634)),"Date error","OK")))</f>
        <v>OK</v>
      </c>
    </row>
    <row r="635" customFormat="false" ht="15" hidden="false" customHeight="false" outlineLevel="0" collapsed="false">
      <c r="A635" s="24" t="s">
        <v>714</v>
      </c>
      <c r="B635" s="31" t="n">
        <v>46180</v>
      </c>
      <c r="C635" s="24" t="s">
        <v>24</v>
      </c>
      <c r="D635" s="24" t="s">
        <v>33</v>
      </c>
      <c r="E635" s="24" t="s">
        <v>94</v>
      </c>
      <c r="F635" s="24" t="s">
        <v>44</v>
      </c>
      <c r="G635" s="31" t="n">
        <v>46185</v>
      </c>
      <c r="H635" s="24"/>
      <c r="I635" s="24"/>
      <c r="J635" s="24"/>
      <c r="K635" s="24" t="n">
        <v>1</v>
      </c>
      <c r="L635" s="24" t="str">
        <f aca="false">IF(J635&lt;&gt;"","Enrolled",IF(I635&lt;&gt;"","Admitted",IF(H635&lt;&gt;"","Applied",IF(G635&lt;&gt;"","Contacted","New"))))</f>
        <v>Contacted</v>
      </c>
      <c r="M635" s="32" t="n">
        <f aca="false">IF(G635="","",G635-B635)</f>
        <v>5</v>
      </c>
      <c r="N635" s="24" t="str">
        <f aca="false">IF(COUNTIF($A$2:A635,A635)&gt;1,"Duplicate ID",IF(C635="","Missing source",IF(OR(AND(G635&lt;&gt;"",G635&lt;B635),AND(H635&lt;&gt;"",H635&lt;B635),AND(I635&lt;&gt;"",I635&lt;H635),AND(J635&lt;&gt;"",J635&lt;I635)),"Date error","OK")))</f>
        <v>OK</v>
      </c>
    </row>
    <row r="636" customFormat="false" ht="15" hidden="false" customHeight="false" outlineLevel="0" collapsed="false">
      <c r="A636" s="24" t="s">
        <v>715</v>
      </c>
      <c r="B636" s="31" t="n">
        <v>46180</v>
      </c>
      <c r="C636" s="24" t="s">
        <v>24</v>
      </c>
      <c r="D636" s="24" t="s">
        <v>36</v>
      </c>
      <c r="E636" s="24" t="s">
        <v>94</v>
      </c>
      <c r="F636" s="24" t="s">
        <v>41</v>
      </c>
      <c r="G636" s="31" t="n">
        <v>46181</v>
      </c>
      <c r="H636" s="24"/>
      <c r="I636" s="24"/>
      <c r="J636" s="24"/>
      <c r="K636" s="24" t="n">
        <v>1</v>
      </c>
      <c r="L636" s="24" t="str">
        <f aca="false">IF(J636&lt;&gt;"","Enrolled",IF(I636&lt;&gt;"","Admitted",IF(H636&lt;&gt;"","Applied",IF(G636&lt;&gt;"","Contacted","New"))))</f>
        <v>Contacted</v>
      </c>
      <c r="M636" s="32" t="n">
        <f aca="false">IF(G636="","",G636-B636)</f>
        <v>1</v>
      </c>
      <c r="N636" s="24" t="str">
        <f aca="false">IF(COUNTIF($A$2:A636,A636)&gt;1,"Duplicate ID",IF(C636="","Missing source",IF(OR(AND(G636&lt;&gt;"",G636&lt;B636),AND(H636&lt;&gt;"",H636&lt;B636),AND(I636&lt;&gt;"",I636&lt;H636),AND(J636&lt;&gt;"",J636&lt;I636)),"Date error","OK")))</f>
        <v>OK</v>
      </c>
    </row>
    <row r="637" customFormat="false" ht="15" hidden="false" customHeight="false" outlineLevel="0" collapsed="false">
      <c r="A637" s="24" t="s">
        <v>716</v>
      </c>
      <c r="B637" s="31" t="n">
        <v>46180</v>
      </c>
      <c r="C637" s="24" t="s">
        <v>22</v>
      </c>
      <c r="D637" s="24" t="s">
        <v>34</v>
      </c>
      <c r="E637" s="24" t="s">
        <v>81</v>
      </c>
      <c r="F637" s="24" t="s">
        <v>43</v>
      </c>
      <c r="G637" s="31" t="n">
        <v>46181</v>
      </c>
      <c r="H637" s="24"/>
      <c r="I637" s="24"/>
      <c r="J637" s="24"/>
      <c r="K637" s="24" t="n">
        <v>3</v>
      </c>
      <c r="L637" s="24" t="str">
        <f aca="false">IF(J637&lt;&gt;"","Enrolled",IF(I637&lt;&gt;"","Admitted",IF(H637&lt;&gt;"","Applied",IF(G637&lt;&gt;"","Contacted","New"))))</f>
        <v>Contacted</v>
      </c>
      <c r="M637" s="32" t="n">
        <f aca="false">IF(G637="","",G637-B637)</f>
        <v>1</v>
      </c>
      <c r="N637" s="24" t="str">
        <f aca="false">IF(COUNTIF($A$2:A637,A637)&gt;1,"Duplicate ID",IF(C637="","Missing source",IF(OR(AND(G637&lt;&gt;"",G637&lt;B637),AND(H637&lt;&gt;"",H637&lt;B637),AND(I637&lt;&gt;"",I637&lt;H637),AND(J637&lt;&gt;"",J637&lt;I637)),"Date error","OK")))</f>
        <v>OK</v>
      </c>
    </row>
    <row r="638" customFormat="false" ht="15" hidden="false" customHeight="false" outlineLevel="0" collapsed="false">
      <c r="A638" s="24" t="s">
        <v>717</v>
      </c>
      <c r="B638" s="31" t="n">
        <v>46180</v>
      </c>
      <c r="C638" s="24" t="s">
        <v>27</v>
      </c>
      <c r="D638" s="24" t="s">
        <v>36</v>
      </c>
      <c r="E638" s="24" t="s">
        <v>89</v>
      </c>
      <c r="F638" s="24" t="s">
        <v>40</v>
      </c>
      <c r="G638" s="31" t="n">
        <v>46180</v>
      </c>
      <c r="H638" s="24"/>
      <c r="I638" s="24"/>
      <c r="J638" s="24"/>
      <c r="K638" s="24" t="n">
        <v>8</v>
      </c>
      <c r="L638" s="24" t="str">
        <f aca="false">IF(J638&lt;&gt;"","Enrolled",IF(I638&lt;&gt;"","Admitted",IF(H638&lt;&gt;"","Applied",IF(G638&lt;&gt;"","Contacted","New"))))</f>
        <v>Contacted</v>
      </c>
      <c r="M638" s="32" t="n">
        <f aca="false">IF(G638="","",G638-B638)</f>
        <v>0</v>
      </c>
      <c r="N638" s="24" t="str">
        <f aca="false">IF(COUNTIF($A$2:A638,A638)&gt;1,"Duplicate ID",IF(C638="","Missing source",IF(OR(AND(G638&lt;&gt;"",G638&lt;B638),AND(H638&lt;&gt;"",H638&lt;B638),AND(I638&lt;&gt;"",I638&lt;H638),AND(J638&lt;&gt;"",J638&lt;I638)),"Date error","OK")))</f>
        <v>OK</v>
      </c>
    </row>
    <row r="639" customFormat="false" ht="15" hidden="false" customHeight="false" outlineLevel="0" collapsed="false">
      <c r="A639" s="24" t="s">
        <v>718</v>
      </c>
      <c r="B639" s="31" t="n">
        <v>46180</v>
      </c>
      <c r="C639" s="24" t="s">
        <v>25</v>
      </c>
      <c r="D639" s="24" t="s">
        <v>36</v>
      </c>
      <c r="E639" s="24" t="s">
        <v>89</v>
      </c>
      <c r="F639" s="24" t="s">
        <v>43</v>
      </c>
      <c r="G639" s="31" t="n">
        <v>46181</v>
      </c>
      <c r="H639" s="24"/>
      <c r="I639" s="24"/>
      <c r="J639" s="24"/>
      <c r="K639" s="24" t="n">
        <v>5</v>
      </c>
      <c r="L639" s="24" t="str">
        <f aca="false">IF(J639&lt;&gt;"","Enrolled",IF(I639&lt;&gt;"","Admitted",IF(H639&lt;&gt;"","Applied",IF(G639&lt;&gt;"","Contacted","New"))))</f>
        <v>Contacted</v>
      </c>
      <c r="M639" s="32" t="n">
        <f aca="false">IF(G639="","",G639-B639)</f>
        <v>1</v>
      </c>
      <c r="N639" s="24" t="str">
        <f aca="false">IF(COUNTIF($A$2:A639,A639)&gt;1,"Duplicate ID",IF(C639="","Missing source",IF(OR(AND(G639&lt;&gt;"",G639&lt;B639),AND(H639&lt;&gt;"",H639&lt;B639),AND(I639&lt;&gt;"",I639&lt;H639),AND(J639&lt;&gt;"",J639&lt;I639)),"Date error","OK")))</f>
        <v>OK</v>
      </c>
    </row>
    <row r="640" customFormat="false" ht="15" hidden="false" customHeight="false" outlineLevel="0" collapsed="false">
      <c r="A640" s="24" t="s">
        <v>719</v>
      </c>
      <c r="B640" s="31" t="n">
        <v>46180</v>
      </c>
      <c r="C640" s="24" t="s">
        <v>21</v>
      </c>
      <c r="D640" s="24" t="s">
        <v>35</v>
      </c>
      <c r="E640" s="24" t="s">
        <v>81</v>
      </c>
      <c r="F640" s="24" t="s">
        <v>42</v>
      </c>
      <c r="G640" s="31" t="n">
        <v>46182</v>
      </c>
      <c r="H640" s="24"/>
      <c r="I640" s="24"/>
      <c r="J640" s="24"/>
      <c r="K640" s="24" t="n">
        <v>2</v>
      </c>
      <c r="L640" s="24" t="str">
        <f aca="false">IF(J640&lt;&gt;"","Enrolled",IF(I640&lt;&gt;"","Admitted",IF(H640&lt;&gt;"","Applied",IF(G640&lt;&gt;"","Contacted","New"))))</f>
        <v>Contacted</v>
      </c>
      <c r="M640" s="32" t="n">
        <f aca="false">IF(G640="","",G640-B640)</f>
        <v>2</v>
      </c>
      <c r="N640" s="24" t="str">
        <f aca="false">IF(COUNTIF($A$2:A640,A640)&gt;1,"Duplicate ID",IF(C640="","Missing source",IF(OR(AND(G640&lt;&gt;"",G640&lt;B640),AND(H640&lt;&gt;"",H640&lt;B640),AND(I640&lt;&gt;"",I640&lt;H640),AND(J640&lt;&gt;"",J640&lt;I640)),"Date error","OK")))</f>
        <v>OK</v>
      </c>
    </row>
    <row r="641" customFormat="false" ht="15" hidden="false" customHeight="false" outlineLevel="0" collapsed="false">
      <c r="A641" s="24" t="s">
        <v>720</v>
      </c>
      <c r="B641" s="31" t="n">
        <v>46180</v>
      </c>
      <c r="C641" s="24" t="s">
        <v>24</v>
      </c>
      <c r="D641" s="24" t="s">
        <v>33</v>
      </c>
      <c r="E641" s="24" t="s">
        <v>89</v>
      </c>
      <c r="F641" s="24" t="s">
        <v>43</v>
      </c>
      <c r="G641" s="31" t="n">
        <v>46181</v>
      </c>
      <c r="H641" s="24"/>
      <c r="I641" s="24"/>
      <c r="J641" s="24"/>
      <c r="K641" s="24" t="n">
        <v>1</v>
      </c>
      <c r="L641" s="24" t="str">
        <f aca="false">IF(J641&lt;&gt;"","Enrolled",IF(I641&lt;&gt;"","Admitted",IF(H641&lt;&gt;"","Applied",IF(G641&lt;&gt;"","Contacted","New"))))</f>
        <v>Contacted</v>
      </c>
      <c r="M641" s="32" t="n">
        <f aca="false">IF(G641="","",G641-B641)</f>
        <v>1</v>
      </c>
      <c r="N641" s="24" t="str">
        <f aca="false">IF(COUNTIF($A$2:A641,A641)&gt;1,"Duplicate ID",IF(C641="","Missing source",IF(OR(AND(G641&lt;&gt;"",G641&lt;B641),AND(H641&lt;&gt;"",H641&lt;B641),AND(I641&lt;&gt;"",I641&lt;H641),AND(J641&lt;&gt;"",J641&lt;I641)),"Date error","OK")))</f>
        <v>OK</v>
      </c>
    </row>
    <row r="642" customFormat="false" ht="15" hidden="false" customHeight="false" outlineLevel="0" collapsed="false">
      <c r="A642" s="24" t="s">
        <v>721</v>
      </c>
      <c r="B642" s="31" t="n">
        <v>46180</v>
      </c>
      <c r="C642" s="24" t="s">
        <v>22</v>
      </c>
      <c r="D642" s="24" t="s">
        <v>33</v>
      </c>
      <c r="E642" s="24" t="s">
        <v>81</v>
      </c>
      <c r="F642" s="24" t="s">
        <v>44</v>
      </c>
      <c r="G642" s="24"/>
      <c r="H642" s="24"/>
      <c r="I642" s="24"/>
      <c r="J642" s="24"/>
      <c r="K642" s="24" t="n">
        <v>0</v>
      </c>
      <c r="L642" s="24" t="str">
        <f aca="false">IF(J642&lt;&gt;"","Enrolled",IF(I642&lt;&gt;"","Admitted",IF(H642&lt;&gt;"","Applied",IF(G642&lt;&gt;"","Contacted","New"))))</f>
        <v>New</v>
      </c>
      <c r="M642" s="32" t="str">
        <f aca="false">IF(G642="","",G642-B642)</f>
        <v/>
      </c>
      <c r="N642" s="24" t="str">
        <f aca="false">IF(COUNTIF($A$2:A642,A642)&gt;1,"Duplicate ID",IF(C642="","Missing source",IF(OR(AND(G642&lt;&gt;"",G642&lt;B642),AND(H642&lt;&gt;"",H642&lt;B642),AND(I642&lt;&gt;"",I642&lt;H642),AND(J642&lt;&gt;"",J642&lt;I642)),"Date error","OK")))</f>
        <v>OK</v>
      </c>
    </row>
    <row r="643" customFormat="false" ht="15" hidden="false" customHeight="false" outlineLevel="0" collapsed="false">
      <c r="A643" s="24" t="s">
        <v>722</v>
      </c>
      <c r="B643" s="31" t="n">
        <v>46180</v>
      </c>
      <c r="C643" s="24" t="s">
        <v>26</v>
      </c>
      <c r="D643" s="24" t="s">
        <v>33</v>
      </c>
      <c r="E643" s="24" t="s">
        <v>89</v>
      </c>
      <c r="F643" s="24" t="s">
        <v>42</v>
      </c>
      <c r="G643" s="31" t="n">
        <v>46182</v>
      </c>
      <c r="H643" s="24"/>
      <c r="I643" s="24"/>
      <c r="J643" s="24"/>
      <c r="K643" s="24" t="n">
        <v>2</v>
      </c>
      <c r="L643" s="24" t="str">
        <f aca="false">IF(J643&lt;&gt;"","Enrolled",IF(I643&lt;&gt;"","Admitted",IF(H643&lt;&gt;"","Applied",IF(G643&lt;&gt;"","Contacted","New"))))</f>
        <v>Contacted</v>
      </c>
      <c r="M643" s="32" t="n">
        <f aca="false">IF(G643="","",G643-B643)</f>
        <v>2</v>
      </c>
      <c r="N643" s="24" t="str">
        <f aca="false">IF(COUNTIF($A$2:A643,A643)&gt;1,"Duplicate ID",IF(C643="","Missing source",IF(OR(AND(G643&lt;&gt;"",G643&lt;B643),AND(H643&lt;&gt;"",H643&lt;B643),AND(I643&lt;&gt;"",I643&lt;H643),AND(J643&lt;&gt;"",J643&lt;I643)),"Date error","OK")))</f>
        <v>OK</v>
      </c>
    </row>
    <row r="644" customFormat="false" ht="15" hidden="false" customHeight="false" outlineLevel="0" collapsed="false">
      <c r="A644" s="24" t="s">
        <v>723</v>
      </c>
      <c r="B644" s="31" t="n">
        <v>46180</v>
      </c>
      <c r="C644" s="24" t="s">
        <v>27</v>
      </c>
      <c r="D644" s="24" t="s">
        <v>33</v>
      </c>
      <c r="E644" s="24" t="s">
        <v>89</v>
      </c>
      <c r="F644" s="24" t="s">
        <v>40</v>
      </c>
      <c r="G644" s="31" t="n">
        <v>46180</v>
      </c>
      <c r="H644" s="24"/>
      <c r="I644" s="24"/>
      <c r="J644" s="24"/>
      <c r="K644" s="24" t="n">
        <v>3</v>
      </c>
      <c r="L644" s="24" t="str">
        <f aca="false">IF(J644&lt;&gt;"","Enrolled",IF(I644&lt;&gt;"","Admitted",IF(H644&lt;&gt;"","Applied",IF(G644&lt;&gt;"","Contacted","New"))))</f>
        <v>Contacted</v>
      </c>
      <c r="M644" s="32" t="n">
        <f aca="false">IF(G644="","",G644-B644)</f>
        <v>0</v>
      </c>
      <c r="N644" s="24" t="str">
        <f aca="false">IF(COUNTIF($A$2:A644,A644)&gt;1,"Duplicate ID",IF(C644="","Missing source",IF(OR(AND(G644&lt;&gt;"",G644&lt;B644),AND(H644&lt;&gt;"",H644&lt;B644),AND(I644&lt;&gt;"",I644&lt;H644),AND(J644&lt;&gt;"",J644&lt;I644)),"Date error","OK")))</f>
        <v>OK</v>
      </c>
    </row>
    <row r="645" customFormat="false" ht="15" hidden="false" customHeight="false" outlineLevel="0" collapsed="false">
      <c r="A645" s="24" t="s">
        <v>724</v>
      </c>
      <c r="B645" s="31" t="n">
        <v>46181</v>
      </c>
      <c r="C645" s="24" t="s">
        <v>21</v>
      </c>
      <c r="D645" s="24" t="s">
        <v>36</v>
      </c>
      <c r="E645" s="24" t="s">
        <v>81</v>
      </c>
      <c r="F645" s="24" t="s">
        <v>41</v>
      </c>
      <c r="G645" s="31" t="n">
        <v>46184</v>
      </c>
      <c r="H645" s="24"/>
      <c r="I645" s="24"/>
      <c r="J645" s="24"/>
      <c r="K645" s="24" t="n">
        <v>5</v>
      </c>
      <c r="L645" s="24" t="str">
        <f aca="false">IF(J645&lt;&gt;"","Enrolled",IF(I645&lt;&gt;"","Admitted",IF(H645&lt;&gt;"","Applied",IF(G645&lt;&gt;"","Contacted","New"))))</f>
        <v>Contacted</v>
      </c>
      <c r="M645" s="32" t="n">
        <f aca="false">IF(G645="","",G645-B645)</f>
        <v>3</v>
      </c>
      <c r="N645" s="24" t="str">
        <f aca="false">IF(COUNTIF($A$2:A645,A645)&gt;1,"Duplicate ID",IF(C645="","Missing source",IF(OR(AND(G645&lt;&gt;"",G645&lt;B645),AND(H645&lt;&gt;"",H645&lt;B645),AND(I645&lt;&gt;"",I645&lt;H645),AND(J645&lt;&gt;"",J645&lt;I645)),"Date error","OK")))</f>
        <v>OK</v>
      </c>
    </row>
    <row r="646" customFormat="false" ht="15" hidden="false" customHeight="false" outlineLevel="0" collapsed="false">
      <c r="A646" s="24" t="s">
        <v>725</v>
      </c>
      <c r="B646" s="31" t="n">
        <v>46181</v>
      </c>
      <c r="C646" s="24" t="s">
        <v>24</v>
      </c>
      <c r="D646" s="24" t="s">
        <v>35</v>
      </c>
      <c r="E646" s="24" t="s">
        <v>79</v>
      </c>
      <c r="F646" s="24" t="s">
        <v>44</v>
      </c>
      <c r="G646" s="31" t="n">
        <v>46181</v>
      </c>
      <c r="H646" s="24"/>
      <c r="I646" s="24"/>
      <c r="J646" s="24"/>
      <c r="K646" s="24" t="n">
        <v>1</v>
      </c>
      <c r="L646" s="24" t="str">
        <f aca="false">IF(J646&lt;&gt;"","Enrolled",IF(I646&lt;&gt;"","Admitted",IF(H646&lt;&gt;"","Applied",IF(G646&lt;&gt;"","Contacted","New"))))</f>
        <v>Contacted</v>
      </c>
      <c r="M646" s="32" t="n">
        <f aca="false">IF(G646="","",G646-B646)</f>
        <v>0</v>
      </c>
      <c r="N646" s="24" t="str">
        <f aca="false">IF(COUNTIF($A$2:A646,A646)&gt;1,"Duplicate ID",IF(C646="","Missing source",IF(OR(AND(G646&lt;&gt;"",G646&lt;B646),AND(H646&lt;&gt;"",H646&lt;B646),AND(I646&lt;&gt;"",I646&lt;H646),AND(J646&lt;&gt;"",J646&lt;I646)),"Date error","OK")))</f>
        <v>OK</v>
      </c>
    </row>
    <row r="647" customFormat="false" ht="15" hidden="false" customHeight="false" outlineLevel="0" collapsed="false">
      <c r="A647" s="24" t="s">
        <v>726</v>
      </c>
      <c r="B647" s="31" t="n">
        <v>46181</v>
      </c>
      <c r="C647" s="24" t="s">
        <v>24</v>
      </c>
      <c r="D647" s="24" t="s">
        <v>32</v>
      </c>
      <c r="E647" s="24" t="s">
        <v>84</v>
      </c>
      <c r="F647" s="24" t="s">
        <v>42</v>
      </c>
      <c r="G647" s="31" t="n">
        <v>46182</v>
      </c>
      <c r="H647" s="24"/>
      <c r="I647" s="24"/>
      <c r="J647" s="24"/>
      <c r="K647" s="24" t="n">
        <v>2</v>
      </c>
      <c r="L647" s="24" t="str">
        <f aca="false">IF(J647&lt;&gt;"","Enrolled",IF(I647&lt;&gt;"","Admitted",IF(H647&lt;&gt;"","Applied",IF(G647&lt;&gt;"","Contacted","New"))))</f>
        <v>Contacted</v>
      </c>
      <c r="M647" s="32" t="n">
        <f aca="false">IF(G647="","",G647-B647)</f>
        <v>1</v>
      </c>
      <c r="N647" s="24" t="str">
        <f aca="false">IF(COUNTIF($A$2:A647,A647)&gt;1,"Duplicate ID",IF(C647="","Missing source",IF(OR(AND(G647&lt;&gt;"",G647&lt;B647),AND(H647&lt;&gt;"",H647&lt;B647),AND(I647&lt;&gt;"",I647&lt;H647),AND(J647&lt;&gt;"",J647&lt;I647)),"Date error","OK")))</f>
        <v>OK</v>
      </c>
    </row>
    <row r="648" customFormat="false" ht="15" hidden="false" customHeight="false" outlineLevel="0" collapsed="false">
      <c r="A648" s="24" t="s">
        <v>727</v>
      </c>
      <c r="B648" s="31" t="n">
        <v>46181</v>
      </c>
      <c r="C648" s="24" t="s">
        <v>21</v>
      </c>
      <c r="D648" s="24" t="s">
        <v>33</v>
      </c>
      <c r="E648" s="24" t="s">
        <v>94</v>
      </c>
      <c r="F648" s="24" t="s">
        <v>42</v>
      </c>
      <c r="G648" s="31" t="n">
        <v>46182</v>
      </c>
      <c r="H648" s="24"/>
      <c r="I648" s="24"/>
      <c r="J648" s="24"/>
      <c r="K648" s="24" t="n">
        <v>5</v>
      </c>
      <c r="L648" s="24" t="str">
        <f aca="false">IF(J648&lt;&gt;"","Enrolled",IF(I648&lt;&gt;"","Admitted",IF(H648&lt;&gt;"","Applied",IF(G648&lt;&gt;"","Contacted","New"))))</f>
        <v>Contacted</v>
      </c>
      <c r="M648" s="32" t="n">
        <f aca="false">IF(G648="","",G648-B648)</f>
        <v>1</v>
      </c>
      <c r="N648" s="24" t="str">
        <f aca="false">IF(COUNTIF($A$2:A648,A648)&gt;1,"Duplicate ID",IF(C648="","Missing source",IF(OR(AND(G648&lt;&gt;"",G648&lt;B648),AND(H648&lt;&gt;"",H648&lt;B648),AND(I648&lt;&gt;"",I648&lt;H648),AND(J648&lt;&gt;"",J648&lt;I648)),"Date error","OK")))</f>
        <v>OK</v>
      </c>
    </row>
    <row r="649" customFormat="false" ht="15" hidden="false" customHeight="false" outlineLevel="0" collapsed="false">
      <c r="A649" s="24" t="s">
        <v>728</v>
      </c>
      <c r="B649" s="31" t="n">
        <v>46181</v>
      </c>
      <c r="C649" s="24" t="s">
        <v>26</v>
      </c>
      <c r="D649" s="24" t="s">
        <v>32</v>
      </c>
      <c r="E649" s="24" t="s">
        <v>81</v>
      </c>
      <c r="F649" s="24" t="s">
        <v>40</v>
      </c>
      <c r="G649" s="31" t="n">
        <v>46182</v>
      </c>
      <c r="H649" s="24"/>
      <c r="I649" s="24"/>
      <c r="J649" s="24"/>
      <c r="K649" s="24" t="n">
        <v>4</v>
      </c>
      <c r="L649" s="24" t="str">
        <f aca="false">IF(J649&lt;&gt;"","Enrolled",IF(I649&lt;&gt;"","Admitted",IF(H649&lt;&gt;"","Applied",IF(G649&lt;&gt;"","Contacted","New"))))</f>
        <v>Contacted</v>
      </c>
      <c r="M649" s="32" t="n">
        <f aca="false">IF(G649="","",G649-B649)</f>
        <v>1</v>
      </c>
      <c r="N649" s="24" t="str">
        <f aca="false">IF(COUNTIF($A$2:A649,A649)&gt;1,"Duplicate ID",IF(C649="","Missing source",IF(OR(AND(G649&lt;&gt;"",G649&lt;B649),AND(H649&lt;&gt;"",H649&lt;B649),AND(I649&lt;&gt;"",I649&lt;H649),AND(J649&lt;&gt;"",J649&lt;I649)),"Date error","OK")))</f>
        <v>OK</v>
      </c>
    </row>
    <row r="650" customFormat="false" ht="15" hidden="false" customHeight="false" outlineLevel="0" collapsed="false">
      <c r="A650" s="24" t="s">
        <v>729</v>
      </c>
      <c r="B650" s="31" t="n">
        <v>46181</v>
      </c>
      <c r="C650" s="24" t="s">
        <v>22</v>
      </c>
      <c r="D650" s="24" t="s">
        <v>35</v>
      </c>
      <c r="E650" s="24" t="s">
        <v>84</v>
      </c>
      <c r="F650" s="24" t="s">
        <v>44</v>
      </c>
      <c r="G650" s="31" t="n">
        <v>46184</v>
      </c>
      <c r="H650" s="24"/>
      <c r="I650" s="24"/>
      <c r="J650" s="24"/>
      <c r="K650" s="24" t="n">
        <v>2</v>
      </c>
      <c r="L650" s="24" t="str">
        <f aca="false">IF(J650&lt;&gt;"","Enrolled",IF(I650&lt;&gt;"","Admitted",IF(H650&lt;&gt;"","Applied",IF(G650&lt;&gt;"","Contacted","New"))))</f>
        <v>Contacted</v>
      </c>
      <c r="M650" s="32" t="n">
        <f aca="false">IF(G650="","",G650-B650)</f>
        <v>3</v>
      </c>
      <c r="N650" s="24" t="str">
        <f aca="false">IF(COUNTIF($A$2:A650,A650)&gt;1,"Duplicate ID",IF(C650="","Missing source",IF(OR(AND(G650&lt;&gt;"",G650&lt;B650),AND(H650&lt;&gt;"",H650&lt;B650),AND(I650&lt;&gt;"",I650&lt;H650),AND(J650&lt;&gt;"",J650&lt;I650)),"Date error","OK")))</f>
        <v>OK</v>
      </c>
    </row>
    <row r="651" customFormat="false" ht="15" hidden="false" customHeight="false" outlineLevel="0" collapsed="false">
      <c r="A651" s="24" t="s">
        <v>730</v>
      </c>
      <c r="B651" s="31" t="n">
        <v>46181</v>
      </c>
      <c r="C651" s="24" t="s">
        <v>26</v>
      </c>
      <c r="D651" s="24" t="s">
        <v>33</v>
      </c>
      <c r="E651" s="24" t="s">
        <v>89</v>
      </c>
      <c r="F651" s="24" t="s">
        <v>42</v>
      </c>
      <c r="G651" s="31" t="n">
        <v>46181</v>
      </c>
      <c r="H651" s="24"/>
      <c r="I651" s="24"/>
      <c r="J651" s="24"/>
      <c r="K651" s="24" t="n">
        <v>1</v>
      </c>
      <c r="L651" s="24" t="str">
        <f aca="false">IF(J651&lt;&gt;"","Enrolled",IF(I651&lt;&gt;"","Admitted",IF(H651&lt;&gt;"","Applied",IF(G651&lt;&gt;"","Contacted","New"))))</f>
        <v>Contacted</v>
      </c>
      <c r="M651" s="32" t="n">
        <f aca="false">IF(G651="","",G651-B651)</f>
        <v>0</v>
      </c>
      <c r="N651" s="24" t="str">
        <f aca="false">IF(COUNTIF($A$2:A651,A651)&gt;1,"Duplicate ID",IF(C651="","Missing source",IF(OR(AND(G651&lt;&gt;"",G651&lt;B651),AND(H651&lt;&gt;"",H651&lt;B651),AND(I651&lt;&gt;"",I651&lt;H651),AND(J651&lt;&gt;"",J651&lt;I651)),"Date error","OK")))</f>
        <v>OK</v>
      </c>
    </row>
    <row r="652" customFormat="false" ht="15" hidden="false" customHeight="false" outlineLevel="0" collapsed="false">
      <c r="A652" s="24" t="s">
        <v>731</v>
      </c>
      <c r="B652" s="31" t="n">
        <v>46182</v>
      </c>
      <c r="C652" s="24" t="s">
        <v>27</v>
      </c>
      <c r="D652" s="24" t="s">
        <v>32</v>
      </c>
      <c r="E652" s="24" t="s">
        <v>94</v>
      </c>
      <c r="F652" s="24" t="s">
        <v>41</v>
      </c>
      <c r="G652" s="31" t="n">
        <v>46184</v>
      </c>
      <c r="H652" s="24"/>
      <c r="I652" s="24"/>
      <c r="J652" s="24"/>
      <c r="K652" s="24" t="n">
        <v>2</v>
      </c>
      <c r="L652" s="24" t="str">
        <f aca="false">IF(J652&lt;&gt;"","Enrolled",IF(I652&lt;&gt;"","Admitted",IF(H652&lt;&gt;"","Applied",IF(G652&lt;&gt;"","Contacted","New"))))</f>
        <v>Contacted</v>
      </c>
      <c r="M652" s="32" t="n">
        <f aca="false">IF(G652="","",G652-B652)</f>
        <v>2</v>
      </c>
      <c r="N652" s="24" t="str">
        <f aca="false">IF(COUNTIF($A$2:A652,A652)&gt;1,"Duplicate ID",IF(C652="","Missing source",IF(OR(AND(G652&lt;&gt;"",G652&lt;B652),AND(H652&lt;&gt;"",H652&lt;B652),AND(I652&lt;&gt;"",I652&lt;H652),AND(J652&lt;&gt;"",J652&lt;I652)),"Date error","OK")))</f>
        <v>OK</v>
      </c>
    </row>
    <row r="653" customFormat="false" ht="15" hidden="false" customHeight="false" outlineLevel="0" collapsed="false">
      <c r="A653" s="24" t="s">
        <v>732</v>
      </c>
      <c r="B653" s="31" t="n">
        <v>46182</v>
      </c>
      <c r="C653" s="24" t="s">
        <v>21</v>
      </c>
      <c r="D653" s="24" t="s">
        <v>36</v>
      </c>
      <c r="E653" s="24" t="s">
        <v>79</v>
      </c>
      <c r="F653" s="24" t="s">
        <v>41</v>
      </c>
      <c r="G653" s="31" t="n">
        <v>46182</v>
      </c>
      <c r="H653" s="24"/>
      <c r="I653" s="24"/>
      <c r="J653" s="24"/>
      <c r="K653" s="24" t="n">
        <v>2</v>
      </c>
      <c r="L653" s="24" t="str">
        <f aca="false">IF(J653&lt;&gt;"","Enrolled",IF(I653&lt;&gt;"","Admitted",IF(H653&lt;&gt;"","Applied",IF(G653&lt;&gt;"","Contacted","New"))))</f>
        <v>Contacted</v>
      </c>
      <c r="M653" s="32" t="n">
        <f aca="false">IF(G653="","",G653-B653)</f>
        <v>0</v>
      </c>
      <c r="N653" s="24" t="str">
        <f aca="false">IF(COUNTIF($A$2:A653,A653)&gt;1,"Duplicate ID",IF(C653="","Missing source",IF(OR(AND(G653&lt;&gt;"",G653&lt;B653),AND(H653&lt;&gt;"",H653&lt;B653),AND(I653&lt;&gt;"",I653&lt;H653),AND(J653&lt;&gt;"",J653&lt;I653)),"Date error","OK")))</f>
        <v>OK</v>
      </c>
    </row>
    <row r="654" customFormat="false" ht="15" hidden="false" customHeight="false" outlineLevel="0" collapsed="false">
      <c r="A654" s="24" t="s">
        <v>733</v>
      </c>
      <c r="B654" s="31" t="n">
        <v>46182</v>
      </c>
      <c r="C654" s="24" t="s">
        <v>26</v>
      </c>
      <c r="D654" s="24" t="s">
        <v>34</v>
      </c>
      <c r="E654" s="24" t="s">
        <v>79</v>
      </c>
      <c r="F654" s="24" t="s">
        <v>40</v>
      </c>
      <c r="G654" s="24"/>
      <c r="H654" s="24"/>
      <c r="I654" s="24"/>
      <c r="J654" s="24"/>
      <c r="K654" s="24" t="n">
        <v>0</v>
      </c>
      <c r="L654" s="24" t="str">
        <f aca="false">IF(J654&lt;&gt;"","Enrolled",IF(I654&lt;&gt;"","Admitted",IF(H654&lt;&gt;"","Applied",IF(G654&lt;&gt;"","Contacted","New"))))</f>
        <v>New</v>
      </c>
      <c r="M654" s="32" t="str">
        <f aca="false">IF(G654="","",G654-B654)</f>
        <v/>
      </c>
      <c r="N654" s="24" t="str">
        <f aca="false">IF(COUNTIF($A$2:A654,A654)&gt;1,"Duplicate ID",IF(C654="","Missing source",IF(OR(AND(G654&lt;&gt;"",G654&lt;B654),AND(H654&lt;&gt;"",H654&lt;B654),AND(I654&lt;&gt;"",I654&lt;H654),AND(J654&lt;&gt;"",J654&lt;I654)),"Date error","OK")))</f>
        <v>OK</v>
      </c>
    </row>
    <row r="655" customFormat="false" ht="15" hidden="false" customHeight="false" outlineLevel="0" collapsed="false">
      <c r="A655" s="24" t="s">
        <v>734</v>
      </c>
      <c r="B655" s="31" t="n">
        <v>46182</v>
      </c>
      <c r="C655" s="24" t="s">
        <v>24</v>
      </c>
      <c r="D655" s="24" t="s">
        <v>33</v>
      </c>
      <c r="E655" s="24" t="s">
        <v>94</v>
      </c>
      <c r="F655" s="24" t="s">
        <v>42</v>
      </c>
      <c r="G655" s="31" t="n">
        <v>46185</v>
      </c>
      <c r="H655" s="24"/>
      <c r="I655" s="24"/>
      <c r="J655" s="24"/>
      <c r="K655" s="24" t="n">
        <v>4</v>
      </c>
      <c r="L655" s="24" t="str">
        <f aca="false">IF(J655&lt;&gt;"","Enrolled",IF(I655&lt;&gt;"","Admitted",IF(H655&lt;&gt;"","Applied",IF(G655&lt;&gt;"","Contacted","New"))))</f>
        <v>Contacted</v>
      </c>
      <c r="M655" s="32" t="n">
        <f aca="false">IF(G655="","",G655-B655)</f>
        <v>3</v>
      </c>
      <c r="N655" s="24" t="str">
        <f aca="false">IF(COUNTIF($A$2:A655,A655)&gt;1,"Duplicate ID",IF(C655="","Missing source",IF(OR(AND(G655&lt;&gt;"",G655&lt;B655),AND(H655&lt;&gt;"",H655&lt;B655),AND(I655&lt;&gt;"",I655&lt;H655),AND(J655&lt;&gt;"",J655&lt;I655)),"Date error","OK")))</f>
        <v>OK</v>
      </c>
    </row>
    <row r="656" customFormat="false" ht="15" hidden="false" customHeight="false" outlineLevel="0" collapsed="false">
      <c r="A656" s="24" t="s">
        <v>735</v>
      </c>
      <c r="B656" s="31" t="n">
        <v>46182</v>
      </c>
      <c r="C656" s="24" t="s">
        <v>26</v>
      </c>
      <c r="D656" s="24" t="s">
        <v>36</v>
      </c>
      <c r="E656" s="24" t="s">
        <v>89</v>
      </c>
      <c r="F656" s="24" t="s">
        <v>45</v>
      </c>
      <c r="G656" s="31" t="n">
        <v>46187</v>
      </c>
      <c r="H656" s="24"/>
      <c r="I656" s="24"/>
      <c r="J656" s="24"/>
      <c r="K656" s="24" t="n">
        <v>1</v>
      </c>
      <c r="L656" s="24" t="str">
        <f aca="false">IF(J656&lt;&gt;"","Enrolled",IF(I656&lt;&gt;"","Admitted",IF(H656&lt;&gt;"","Applied",IF(G656&lt;&gt;"","Contacted","New"))))</f>
        <v>Contacted</v>
      </c>
      <c r="M656" s="32" t="n">
        <f aca="false">IF(G656="","",G656-B656)</f>
        <v>5</v>
      </c>
      <c r="N656" s="24" t="str">
        <f aca="false">IF(COUNTIF($A$2:A656,A656)&gt;1,"Duplicate ID",IF(C656="","Missing source",IF(OR(AND(G656&lt;&gt;"",G656&lt;B656),AND(H656&lt;&gt;"",H656&lt;B656),AND(I656&lt;&gt;"",I656&lt;H656),AND(J656&lt;&gt;"",J656&lt;I656)),"Date error","OK")))</f>
        <v>OK</v>
      </c>
    </row>
    <row r="657" customFormat="false" ht="15" hidden="false" customHeight="false" outlineLevel="0" collapsed="false">
      <c r="A657" s="24" t="s">
        <v>736</v>
      </c>
      <c r="B657" s="31" t="n">
        <v>46182</v>
      </c>
      <c r="C657" s="24" t="s">
        <v>22</v>
      </c>
      <c r="D657" s="24" t="s">
        <v>36</v>
      </c>
      <c r="E657" s="24" t="s">
        <v>79</v>
      </c>
      <c r="F657" s="24" t="s">
        <v>40</v>
      </c>
      <c r="G657" s="31" t="n">
        <v>46183</v>
      </c>
      <c r="H657" s="31" t="n">
        <v>46193</v>
      </c>
      <c r="I657" s="31" t="n">
        <v>46207</v>
      </c>
      <c r="J657" s="24"/>
      <c r="K657" s="24" t="n">
        <v>2</v>
      </c>
      <c r="L657" s="24" t="str">
        <f aca="false">IF(J657&lt;&gt;"","Enrolled",IF(I657&lt;&gt;"","Admitted",IF(H657&lt;&gt;"","Applied",IF(G657&lt;&gt;"","Contacted","New"))))</f>
        <v>Admitted</v>
      </c>
      <c r="M657" s="32" t="n">
        <f aca="false">IF(G657="","",G657-B657)</f>
        <v>1</v>
      </c>
      <c r="N657" s="24" t="str">
        <f aca="false">IF(COUNTIF($A$2:A657,A657)&gt;1,"Duplicate ID",IF(C657="","Missing source",IF(OR(AND(G657&lt;&gt;"",G657&lt;B657),AND(H657&lt;&gt;"",H657&lt;B657),AND(I657&lt;&gt;"",I657&lt;H657),AND(J657&lt;&gt;"",J657&lt;I657)),"Date error","OK")))</f>
        <v>OK</v>
      </c>
    </row>
    <row r="658" customFormat="false" ht="15" hidden="false" customHeight="false" outlineLevel="0" collapsed="false">
      <c r="A658" s="24" t="s">
        <v>737</v>
      </c>
      <c r="B658" s="31" t="n">
        <v>46182</v>
      </c>
      <c r="C658" s="24" t="s">
        <v>23</v>
      </c>
      <c r="D658" s="24" t="s">
        <v>32</v>
      </c>
      <c r="E658" s="24" t="s">
        <v>89</v>
      </c>
      <c r="F658" s="24" t="s">
        <v>43</v>
      </c>
      <c r="G658" s="31" t="n">
        <v>46183</v>
      </c>
      <c r="H658" s="31" t="n">
        <v>46196</v>
      </c>
      <c r="I658" s="31" t="n">
        <v>46209</v>
      </c>
      <c r="J658" s="31" t="n">
        <v>46218</v>
      </c>
      <c r="K658" s="24" t="n">
        <v>3</v>
      </c>
      <c r="L658" s="24" t="str">
        <f aca="false">IF(J658&lt;&gt;"","Enrolled",IF(I658&lt;&gt;"","Admitted",IF(H658&lt;&gt;"","Applied",IF(G658&lt;&gt;"","Contacted","New"))))</f>
        <v>Enrolled</v>
      </c>
      <c r="M658" s="32" t="n">
        <f aca="false">IF(G658="","",G658-B658)</f>
        <v>1</v>
      </c>
      <c r="N658" s="24" t="str">
        <f aca="false">IF(COUNTIF($A$2:A658,A658)&gt;1,"Duplicate ID",IF(C658="","Missing source",IF(OR(AND(G658&lt;&gt;"",G658&lt;B658),AND(H658&lt;&gt;"",H658&lt;B658),AND(I658&lt;&gt;"",I658&lt;H658),AND(J658&lt;&gt;"",J658&lt;I658)),"Date error","OK")))</f>
        <v>OK</v>
      </c>
    </row>
    <row r="659" customFormat="false" ht="15" hidden="false" customHeight="false" outlineLevel="0" collapsed="false">
      <c r="A659" s="24" t="s">
        <v>738</v>
      </c>
      <c r="B659" s="31" t="n">
        <v>46182</v>
      </c>
      <c r="C659" s="24" t="s">
        <v>26</v>
      </c>
      <c r="D659" s="24" t="s">
        <v>32</v>
      </c>
      <c r="E659" s="24" t="s">
        <v>81</v>
      </c>
      <c r="F659" s="24" t="s">
        <v>40</v>
      </c>
      <c r="G659" s="31" t="n">
        <v>46183</v>
      </c>
      <c r="H659" s="24"/>
      <c r="I659" s="24"/>
      <c r="J659" s="24"/>
      <c r="K659" s="24" t="n">
        <v>1</v>
      </c>
      <c r="L659" s="24" t="str">
        <f aca="false">IF(J659&lt;&gt;"","Enrolled",IF(I659&lt;&gt;"","Admitted",IF(H659&lt;&gt;"","Applied",IF(G659&lt;&gt;"","Contacted","New"))))</f>
        <v>Contacted</v>
      </c>
      <c r="M659" s="32" t="n">
        <f aca="false">IF(G659="","",G659-B659)</f>
        <v>1</v>
      </c>
      <c r="N659" s="24" t="str">
        <f aca="false">IF(COUNTIF($A$2:A659,A659)&gt;1,"Duplicate ID",IF(C659="","Missing source",IF(OR(AND(G659&lt;&gt;"",G659&lt;B659),AND(H659&lt;&gt;"",H659&lt;B659),AND(I659&lt;&gt;"",I659&lt;H659),AND(J659&lt;&gt;"",J659&lt;I659)),"Date error","OK")))</f>
        <v>OK</v>
      </c>
    </row>
    <row r="660" customFormat="false" ht="15" hidden="false" customHeight="false" outlineLevel="0" collapsed="false">
      <c r="A660" s="24" t="s">
        <v>739</v>
      </c>
      <c r="B660" s="31" t="n">
        <v>46182</v>
      </c>
      <c r="C660" s="24" t="s">
        <v>25</v>
      </c>
      <c r="D660" s="24" t="s">
        <v>35</v>
      </c>
      <c r="E660" s="24" t="s">
        <v>84</v>
      </c>
      <c r="F660" s="24" t="s">
        <v>43</v>
      </c>
      <c r="G660" s="31" t="n">
        <v>46183</v>
      </c>
      <c r="H660" s="24"/>
      <c r="I660" s="24"/>
      <c r="J660" s="24"/>
      <c r="K660" s="24" t="n">
        <v>2</v>
      </c>
      <c r="L660" s="24" t="str">
        <f aca="false">IF(J660&lt;&gt;"","Enrolled",IF(I660&lt;&gt;"","Admitted",IF(H660&lt;&gt;"","Applied",IF(G660&lt;&gt;"","Contacted","New"))))</f>
        <v>Contacted</v>
      </c>
      <c r="M660" s="32" t="n">
        <f aca="false">IF(G660="","",G660-B660)</f>
        <v>1</v>
      </c>
      <c r="N660" s="24" t="str">
        <f aca="false">IF(COUNTIF($A$2:A660,A660)&gt;1,"Duplicate ID",IF(C660="","Missing source",IF(OR(AND(G660&lt;&gt;"",G660&lt;B660),AND(H660&lt;&gt;"",H660&lt;B660),AND(I660&lt;&gt;"",I660&lt;H660),AND(J660&lt;&gt;"",J660&lt;I660)),"Date error","OK")))</f>
        <v>OK</v>
      </c>
    </row>
    <row r="661" customFormat="false" ht="15" hidden="false" customHeight="false" outlineLevel="0" collapsed="false">
      <c r="A661" s="24" t="s">
        <v>740</v>
      </c>
      <c r="B661" s="31" t="n">
        <v>46182</v>
      </c>
      <c r="C661" s="24" t="s">
        <v>26</v>
      </c>
      <c r="D661" s="24" t="s">
        <v>32</v>
      </c>
      <c r="E661" s="24" t="s">
        <v>89</v>
      </c>
      <c r="F661" s="24" t="s">
        <v>43</v>
      </c>
      <c r="G661" s="31" t="n">
        <v>46187</v>
      </c>
      <c r="H661" s="24"/>
      <c r="I661" s="24"/>
      <c r="J661" s="24"/>
      <c r="K661" s="24" t="n">
        <v>2</v>
      </c>
      <c r="L661" s="24" t="str">
        <f aca="false">IF(J661&lt;&gt;"","Enrolled",IF(I661&lt;&gt;"","Admitted",IF(H661&lt;&gt;"","Applied",IF(G661&lt;&gt;"","Contacted","New"))))</f>
        <v>Contacted</v>
      </c>
      <c r="M661" s="32" t="n">
        <f aca="false">IF(G661="","",G661-B661)</f>
        <v>5</v>
      </c>
      <c r="N661" s="24" t="str">
        <f aca="false">IF(COUNTIF($A$2:A661,A661)&gt;1,"Duplicate ID",IF(C661="","Missing source",IF(OR(AND(G661&lt;&gt;"",G661&lt;B661),AND(H661&lt;&gt;"",H661&lt;B661),AND(I661&lt;&gt;"",I661&lt;H661),AND(J661&lt;&gt;"",J661&lt;I661)),"Date error","OK")))</f>
        <v>OK</v>
      </c>
    </row>
    <row r="662" customFormat="false" ht="15" hidden="false" customHeight="false" outlineLevel="0" collapsed="false">
      <c r="A662" s="24" t="s">
        <v>741</v>
      </c>
      <c r="B662" s="31" t="n">
        <v>46182</v>
      </c>
      <c r="C662" s="24" t="s">
        <v>21</v>
      </c>
      <c r="D662" s="24" t="s">
        <v>35</v>
      </c>
      <c r="E662" s="24" t="s">
        <v>79</v>
      </c>
      <c r="F662" s="24" t="s">
        <v>40</v>
      </c>
      <c r="G662" s="31" t="n">
        <v>46183</v>
      </c>
      <c r="H662" s="24"/>
      <c r="I662" s="24"/>
      <c r="J662" s="24"/>
      <c r="K662" s="24" t="n">
        <v>5</v>
      </c>
      <c r="L662" s="24" t="str">
        <f aca="false">IF(J662&lt;&gt;"","Enrolled",IF(I662&lt;&gt;"","Admitted",IF(H662&lt;&gt;"","Applied",IF(G662&lt;&gt;"","Contacted","New"))))</f>
        <v>Contacted</v>
      </c>
      <c r="M662" s="32" t="n">
        <f aca="false">IF(G662="","",G662-B662)</f>
        <v>1</v>
      </c>
      <c r="N662" s="24" t="str">
        <f aca="false">IF(COUNTIF($A$2:A662,A662)&gt;1,"Duplicate ID",IF(C662="","Missing source",IF(OR(AND(G662&lt;&gt;"",G662&lt;B662),AND(H662&lt;&gt;"",H662&lt;B662),AND(I662&lt;&gt;"",I662&lt;H662),AND(J662&lt;&gt;"",J662&lt;I662)),"Date error","OK")))</f>
        <v>OK</v>
      </c>
    </row>
    <row r="663" customFormat="false" ht="15" hidden="false" customHeight="false" outlineLevel="0" collapsed="false">
      <c r="A663" s="24" t="s">
        <v>742</v>
      </c>
      <c r="B663" s="31" t="n">
        <v>46182</v>
      </c>
      <c r="C663" s="24" t="s">
        <v>27</v>
      </c>
      <c r="D663" s="24" t="s">
        <v>32</v>
      </c>
      <c r="E663" s="24" t="s">
        <v>94</v>
      </c>
      <c r="F663" s="24" t="s">
        <v>40</v>
      </c>
      <c r="G663" s="31" t="n">
        <v>46182</v>
      </c>
      <c r="H663" s="31" t="n">
        <v>46204</v>
      </c>
      <c r="I663" s="31" t="n">
        <v>46219</v>
      </c>
      <c r="J663" s="24"/>
      <c r="K663" s="24" t="n">
        <v>2</v>
      </c>
      <c r="L663" s="24" t="str">
        <f aca="false">IF(J663&lt;&gt;"","Enrolled",IF(I663&lt;&gt;"","Admitted",IF(H663&lt;&gt;"","Applied",IF(G663&lt;&gt;"","Contacted","New"))))</f>
        <v>Admitted</v>
      </c>
      <c r="M663" s="32" t="n">
        <f aca="false">IF(G663="","",G663-B663)</f>
        <v>0</v>
      </c>
      <c r="N663" s="24" t="str">
        <f aca="false">IF(COUNTIF($A$2:A663,A663)&gt;1,"Duplicate ID",IF(C663="","Missing source",IF(OR(AND(G663&lt;&gt;"",G663&lt;B663),AND(H663&lt;&gt;"",H663&lt;B663),AND(I663&lt;&gt;"",I663&lt;H663),AND(J663&lt;&gt;"",J663&lt;I663)),"Date error","OK")))</f>
        <v>OK</v>
      </c>
    </row>
    <row r="664" customFormat="false" ht="15" hidden="false" customHeight="false" outlineLevel="0" collapsed="false">
      <c r="A664" s="24" t="s">
        <v>743</v>
      </c>
      <c r="B664" s="31" t="n">
        <v>46182</v>
      </c>
      <c r="C664" s="24" t="s">
        <v>26</v>
      </c>
      <c r="D664" s="24" t="s">
        <v>34</v>
      </c>
      <c r="E664" s="24" t="s">
        <v>84</v>
      </c>
      <c r="F664" s="24" t="s">
        <v>40</v>
      </c>
      <c r="G664" s="31" t="n">
        <v>46183</v>
      </c>
      <c r="H664" s="24"/>
      <c r="I664" s="24"/>
      <c r="J664" s="24"/>
      <c r="K664" s="24" t="n">
        <v>5</v>
      </c>
      <c r="L664" s="24" t="str">
        <f aca="false">IF(J664&lt;&gt;"","Enrolled",IF(I664&lt;&gt;"","Admitted",IF(H664&lt;&gt;"","Applied",IF(G664&lt;&gt;"","Contacted","New"))))</f>
        <v>Contacted</v>
      </c>
      <c r="M664" s="32" t="n">
        <f aca="false">IF(G664="","",G664-B664)</f>
        <v>1</v>
      </c>
      <c r="N664" s="24" t="str">
        <f aca="false">IF(COUNTIF($A$2:A664,A664)&gt;1,"Duplicate ID",IF(C664="","Missing source",IF(OR(AND(G664&lt;&gt;"",G664&lt;B664),AND(H664&lt;&gt;"",H664&lt;B664),AND(I664&lt;&gt;"",I664&lt;H664),AND(J664&lt;&gt;"",J664&lt;I664)),"Date error","OK")))</f>
        <v>OK</v>
      </c>
    </row>
    <row r="665" customFormat="false" ht="15" hidden="false" customHeight="false" outlineLevel="0" collapsed="false">
      <c r="A665" s="24" t="s">
        <v>744</v>
      </c>
      <c r="B665" s="31" t="n">
        <v>46183</v>
      </c>
      <c r="C665" s="24" t="s">
        <v>24</v>
      </c>
      <c r="D665" s="24" t="s">
        <v>33</v>
      </c>
      <c r="E665" s="24" t="s">
        <v>79</v>
      </c>
      <c r="F665" s="24" t="s">
        <v>41</v>
      </c>
      <c r="G665" s="31" t="n">
        <v>46183</v>
      </c>
      <c r="H665" s="24"/>
      <c r="I665" s="24"/>
      <c r="J665" s="24"/>
      <c r="K665" s="24" t="n">
        <v>0</v>
      </c>
      <c r="L665" s="24" t="str">
        <f aca="false">IF(J665&lt;&gt;"","Enrolled",IF(I665&lt;&gt;"","Admitted",IF(H665&lt;&gt;"","Applied",IF(G665&lt;&gt;"","Contacted","New"))))</f>
        <v>Contacted</v>
      </c>
      <c r="M665" s="32" t="n">
        <f aca="false">IF(G665="","",G665-B665)</f>
        <v>0</v>
      </c>
      <c r="N665" s="24" t="str">
        <f aca="false">IF(COUNTIF($A$2:A665,A665)&gt;1,"Duplicate ID",IF(C665="","Missing source",IF(OR(AND(G665&lt;&gt;"",G665&lt;B665),AND(H665&lt;&gt;"",H665&lt;B665),AND(I665&lt;&gt;"",I665&lt;H665),AND(J665&lt;&gt;"",J665&lt;I665)),"Date error","OK")))</f>
        <v>OK</v>
      </c>
    </row>
    <row r="666" customFormat="false" ht="15" hidden="false" customHeight="false" outlineLevel="0" collapsed="false">
      <c r="A666" s="24" t="s">
        <v>745</v>
      </c>
      <c r="B666" s="31" t="n">
        <v>46183</v>
      </c>
      <c r="C666" s="24" t="s">
        <v>26</v>
      </c>
      <c r="D666" s="24" t="s">
        <v>32</v>
      </c>
      <c r="E666" s="24" t="s">
        <v>84</v>
      </c>
      <c r="F666" s="24" t="s">
        <v>43</v>
      </c>
      <c r="G666" s="31" t="n">
        <v>46185</v>
      </c>
      <c r="H666" s="31" t="n">
        <v>46189</v>
      </c>
      <c r="I666" s="31" t="n">
        <v>46201</v>
      </c>
      <c r="J666" s="31" t="n">
        <v>46215</v>
      </c>
      <c r="K666" s="24" t="n">
        <v>4</v>
      </c>
      <c r="L666" s="24" t="str">
        <f aca="false">IF(J666&lt;&gt;"","Enrolled",IF(I666&lt;&gt;"","Admitted",IF(H666&lt;&gt;"","Applied",IF(G666&lt;&gt;"","Contacted","New"))))</f>
        <v>Enrolled</v>
      </c>
      <c r="M666" s="32" t="n">
        <f aca="false">IF(G666="","",G666-B666)</f>
        <v>2</v>
      </c>
      <c r="N666" s="24" t="str">
        <f aca="false">IF(COUNTIF($A$2:A666,A666)&gt;1,"Duplicate ID",IF(C666="","Missing source",IF(OR(AND(G666&lt;&gt;"",G666&lt;B666),AND(H666&lt;&gt;"",H666&lt;B666),AND(I666&lt;&gt;"",I666&lt;H666),AND(J666&lt;&gt;"",J666&lt;I666)),"Date error","OK")))</f>
        <v>OK</v>
      </c>
    </row>
    <row r="667" customFormat="false" ht="15" hidden="false" customHeight="false" outlineLevel="0" collapsed="false">
      <c r="A667" s="24" t="s">
        <v>746</v>
      </c>
      <c r="B667" s="31" t="n">
        <v>46183</v>
      </c>
      <c r="C667" s="24" t="s">
        <v>25</v>
      </c>
      <c r="D667" s="24" t="s">
        <v>32</v>
      </c>
      <c r="E667" s="24" t="s">
        <v>79</v>
      </c>
      <c r="F667" s="24" t="s">
        <v>40</v>
      </c>
      <c r="G667" s="31" t="n">
        <v>46184</v>
      </c>
      <c r="H667" s="24"/>
      <c r="I667" s="24"/>
      <c r="J667" s="24"/>
      <c r="K667" s="24" t="n">
        <v>4</v>
      </c>
      <c r="L667" s="24" t="str">
        <f aca="false">IF(J667&lt;&gt;"","Enrolled",IF(I667&lt;&gt;"","Admitted",IF(H667&lt;&gt;"","Applied",IF(G667&lt;&gt;"","Contacted","New"))))</f>
        <v>Contacted</v>
      </c>
      <c r="M667" s="32" t="n">
        <f aca="false">IF(G667="","",G667-B667)</f>
        <v>1</v>
      </c>
      <c r="N667" s="24" t="str">
        <f aca="false">IF(COUNTIF($A$2:A667,A667)&gt;1,"Duplicate ID",IF(C667="","Missing source",IF(OR(AND(G667&lt;&gt;"",G667&lt;B667),AND(H667&lt;&gt;"",H667&lt;B667),AND(I667&lt;&gt;"",I667&lt;H667),AND(J667&lt;&gt;"",J667&lt;I667)),"Date error","OK")))</f>
        <v>OK</v>
      </c>
    </row>
    <row r="668" customFormat="false" ht="15" hidden="false" customHeight="false" outlineLevel="0" collapsed="false">
      <c r="A668" s="24" t="s">
        <v>747</v>
      </c>
      <c r="B668" s="31" t="n">
        <v>46183</v>
      </c>
      <c r="C668" s="24" t="s">
        <v>24</v>
      </c>
      <c r="D668" s="24" t="s">
        <v>32</v>
      </c>
      <c r="E668" s="24" t="s">
        <v>84</v>
      </c>
      <c r="F668" s="24" t="s">
        <v>42</v>
      </c>
      <c r="G668" s="31" t="n">
        <v>46184</v>
      </c>
      <c r="H668" s="24"/>
      <c r="I668" s="24"/>
      <c r="J668" s="24"/>
      <c r="K668" s="24" t="n">
        <v>2</v>
      </c>
      <c r="L668" s="24" t="str">
        <f aca="false">IF(J668&lt;&gt;"","Enrolled",IF(I668&lt;&gt;"","Admitted",IF(H668&lt;&gt;"","Applied",IF(G668&lt;&gt;"","Contacted","New"))))</f>
        <v>Contacted</v>
      </c>
      <c r="M668" s="32" t="n">
        <f aca="false">IF(G668="","",G668-B668)</f>
        <v>1</v>
      </c>
      <c r="N668" s="24" t="str">
        <f aca="false">IF(COUNTIF($A$2:A668,A668)&gt;1,"Duplicate ID",IF(C668="","Missing source",IF(OR(AND(G668&lt;&gt;"",G668&lt;B668),AND(H668&lt;&gt;"",H668&lt;B668),AND(I668&lt;&gt;"",I668&lt;H668),AND(J668&lt;&gt;"",J668&lt;I668)),"Date error","OK")))</f>
        <v>OK</v>
      </c>
    </row>
    <row r="669" customFormat="false" ht="15" hidden="false" customHeight="false" outlineLevel="0" collapsed="false">
      <c r="A669" s="24" t="s">
        <v>748</v>
      </c>
      <c r="B669" s="31" t="n">
        <v>46183</v>
      </c>
      <c r="C669" s="24" t="s">
        <v>26</v>
      </c>
      <c r="D669" s="24" t="s">
        <v>35</v>
      </c>
      <c r="E669" s="24" t="s">
        <v>94</v>
      </c>
      <c r="F669" s="24" t="s">
        <v>41</v>
      </c>
      <c r="G669" s="31" t="n">
        <v>46185</v>
      </c>
      <c r="H669" s="24"/>
      <c r="I669" s="24"/>
      <c r="J669" s="24"/>
      <c r="K669" s="24" t="n">
        <v>2</v>
      </c>
      <c r="L669" s="24" t="str">
        <f aca="false">IF(J669&lt;&gt;"","Enrolled",IF(I669&lt;&gt;"","Admitted",IF(H669&lt;&gt;"","Applied",IF(G669&lt;&gt;"","Contacted","New"))))</f>
        <v>Contacted</v>
      </c>
      <c r="M669" s="32" t="n">
        <f aca="false">IF(G669="","",G669-B669)</f>
        <v>2</v>
      </c>
      <c r="N669" s="24" t="str">
        <f aca="false">IF(COUNTIF($A$2:A669,A669)&gt;1,"Duplicate ID",IF(C669="","Missing source",IF(OR(AND(G669&lt;&gt;"",G669&lt;B669),AND(H669&lt;&gt;"",H669&lt;B669),AND(I669&lt;&gt;"",I669&lt;H669),AND(J669&lt;&gt;"",J669&lt;I669)),"Date error","OK")))</f>
        <v>OK</v>
      </c>
    </row>
    <row r="670" customFormat="false" ht="15" hidden="false" customHeight="false" outlineLevel="0" collapsed="false">
      <c r="A670" s="24" t="s">
        <v>749</v>
      </c>
      <c r="B670" s="31" t="n">
        <v>46183</v>
      </c>
      <c r="C670" s="24" t="s">
        <v>26</v>
      </c>
      <c r="D670" s="24" t="s">
        <v>36</v>
      </c>
      <c r="E670" s="24" t="s">
        <v>79</v>
      </c>
      <c r="F670" s="24" t="s">
        <v>42</v>
      </c>
      <c r="G670" s="31" t="n">
        <v>46184</v>
      </c>
      <c r="H670" s="31" t="n">
        <v>46198</v>
      </c>
      <c r="I670" s="24"/>
      <c r="J670" s="24"/>
      <c r="K670" s="24" t="n">
        <v>3</v>
      </c>
      <c r="L670" s="24" t="str">
        <f aca="false">IF(J670&lt;&gt;"","Enrolled",IF(I670&lt;&gt;"","Admitted",IF(H670&lt;&gt;"","Applied",IF(G670&lt;&gt;"","Contacted","New"))))</f>
        <v>Applied</v>
      </c>
      <c r="M670" s="32" t="n">
        <f aca="false">IF(G670="","",G670-B670)</f>
        <v>1</v>
      </c>
      <c r="N670" s="24" t="str">
        <f aca="false">IF(COUNTIF($A$2:A670,A670)&gt;1,"Duplicate ID",IF(C670="","Missing source",IF(OR(AND(G670&lt;&gt;"",G670&lt;B670),AND(H670&lt;&gt;"",H670&lt;B670),AND(I670&lt;&gt;"",I670&lt;H670),AND(J670&lt;&gt;"",J670&lt;I670)),"Date error","OK")))</f>
        <v>OK</v>
      </c>
    </row>
    <row r="671" customFormat="false" ht="15" hidden="false" customHeight="false" outlineLevel="0" collapsed="false">
      <c r="A671" s="24" t="s">
        <v>750</v>
      </c>
      <c r="B671" s="31" t="n">
        <v>46183</v>
      </c>
      <c r="C671" s="24" t="s">
        <v>23</v>
      </c>
      <c r="D671" s="24" t="s">
        <v>35</v>
      </c>
      <c r="E671" s="24" t="s">
        <v>89</v>
      </c>
      <c r="F671" s="24" t="s">
        <v>40</v>
      </c>
      <c r="G671" s="31" t="n">
        <v>46184</v>
      </c>
      <c r="H671" s="24"/>
      <c r="I671" s="24"/>
      <c r="J671" s="24"/>
      <c r="K671" s="24" t="n">
        <v>5</v>
      </c>
      <c r="L671" s="24" t="str">
        <f aca="false">IF(J671&lt;&gt;"","Enrolled",IF(I671&lt;&gt;"","Admitted",IF(H671&lt;&gt;"","Applied",IF(G671&lt;&gt;"","Contacted","New"))))</f>
        <v>Contacted</v>
      </c>
      <c r="M671" s="32" t="n">
        <f aca="false">IF(G671="","",G671-B671)</f>
        <v>1</v>
      </c>
      <c r="N671" s="24" t="str">
        <f aca="false">IF(COUNTIF($A$2:A671,A671)&gt;1,"Duplicate ID",IF(C671="","Missing source",IF(OR(AND(G671&lt;&gt;"",G671&lt;B671),AND(H671&lt;&gt;"",H671&lt;B671),AND(I671&lt;&gt;"",I671&lt;H671),AND(J671&lt;&gt;"",J671&lt;I671)),"Date error","OK")))</f>
        <v>OK</v>
      </c>
    </row>
    <row r="672" customFormat="false" ht="15" hidden="false" customHeight="false" outlineLevel="0" collapsed="false">
      <c r="A672" s="24" t="s">
        <v>751</v>
      </c>
      <c r="B672" s="31" t="n">
        <v>46183</v>
      </c>
      <c r="C672" s="24" t="s">
        <v>23</v>
      </c>
      <c r="D672" s="24" t="s">
        <v>32</v>
      </c>
      <c r="E672" s="24" t="s">
        <v>94</v>
      </c>
      <c r="F672" s="24" t="s">
        <v>41</v>
      </c>
      <c r="G672" s="31" t="n">
        <v>46184</v>
      </c>
      <c r="H672" s="24"/>
      <c r="I672" s="24"/>
      <c r="J672" s="24"/>
      <c r="K672" s="24" t="n">
        <v>0</v>
      </c>
      <c r="L672" s="24" t="str">
        <f aca="false">IF(J672&lt;&gt;"","Enrolled",IF(I672&lt;&gt;"","Admitted",IF(H672&lt;&gt;"","Applied",IF(G672&lt;&gt;"","Contacted","New"))))</f>
        <v>Contacted</v>
      </c>
      <c r="M672" s="32" t="n">
        <f aca="false">IF(G672="","",G672-B672)</f>
        <v>1</v>
      </c>
      <c r="N672" s="24" t="str">
        <f aca="false">IF(COUNTIF($A$2:A672,A672)&gt;1,"Duplicate ID",IF(C672="","Missing source",IF(OR(AND(G672&lt;&gt;"",G672&lt;B672),AND(H672&lt;&gt;"",H672&lt;B672),AND(I672&lt;&gt;"",I672&lt;H672),AND(J672&lt;&gt;"",J672&lt;I672)),"Date error","OK")))</f>
        <v>OK</v>
      </c>
    </row>
    <row r="673" customFormat="false" ht="15" hidden="false" customHeight="false" outlineLevel="0" collapsed="false">
      <c r="A673" s="24" t="s">
        <v>752</v>
      </c>
      <c r="B673" s="31" t="n">
        <v>46183</v>
      </c>
      <c r="C673" s="24" t="s">
        <v>24</v>
      </c>
      <c r="D673" s="24" t="s">
        <v>35</v>
      </c>
      <c r="E673" s="24" t="s">
        <v>89</v>
      </c>
      <c r="F673" s="24" t="s">
        <v>43</v>
      </c>
      <c r="G673" s="31" t="n">
        <v>46184</v>
      </c>
      <c r="H673" s="24"/>
      <c r="I673" s="24"/>
      <c r="J673" s="24"/>
      <c r="K673" s="24" t="n">
        <v>2</v>
      </c>
      <c r="L673" s="24" t="str">
        <f aca="false">IF(J673&lt;&gt;"","Enrolled",IF(I673&lt;&gt;"","Admitted",IF(H673&lt;&gt;"","Applied",IF(G673&lt;&gt;"","Contacted","New"))))</f>
        <v>Contacted</v>
      </c>
      <c r="M673" s="32" t="n">
        <f aca="false">IF(G673="","",G673-B673)</f>
        <v>1</v>
      </c>
      <c r="N673" s="24" t="str">
        <f aca="false">IF(COUNTIF($A$2:A673,A673)&gt;1,"Duplicate ID",IF(C673="","Missing source",IF(OR(AND(G673&lt;&gt;"",G673&lt;B673),AND(H673&lt;&gt;"",H673&lt;B673),AND(I673&lt;&gt;"",I673&lt;H673),AND(J673&lt;&gt;"",J673&lt;I673)),"Date error","OK")))</f>
        <v>OK</v>
      </c>
    </row>
    <row r="674" customFormat="false" ht="15" hidden="false" customHeight="false" outlineLevel="0" collapsed="false">
      <c r="A674" s="24" t="s">
        <v>753</v>
      </c>
      <c r="B674" s="31" t="n">
        <v>46183</v>
      </c>
      <c r="C674" s="24" t="s">
        <v>23</v>
      </c>
      <c r="D674" s="24" t="s">
        <v>32</v>
      </c>
      <c r="E674" s="24" t="s">
        <v>79</v>
      </c>
      <c r="F674" s="24" t="s">
        <v>42</v>
      </c>
      <c r="G674" s="31" t="n">
        <v>46184</v>
      </c>
      <c r="H674" s="24"/>
      <c r="I674" s="24"/>
      <c r="J674" s="24"/>
      <c r="K674" s="24" t="n">
        <v>1</v>
      </c>
      <c r="L674" s="24" t="str">
        <f aca="false">IF(J674&lt;&gt;"","Enrolled",IF(I674&lt;&gt;"","Admitted",IF(H674&lt;&gt;"","Applied",IF(G674&lt;&gt;"","Contacted","New"))))</f>
        <v>Contacted</v>
      </c>
      <c r="M674" s="32" t="n">
        <f aca="false">IF(G674="","",G674-B674)</f>
        <v>1</v>
      </c>
      <c r="N674" s="24" t="str">
        <f aca="false">IF(COUNTIF($A$2:A674,A674)&gt;1,"Duplicate ID",IF(C674="","Missing source",IF(OR(AND(G674&lt;&gt;"",G674&lt;B674),AND(H674&lt;&gt;"",H674&lt;B674),AND(I674&lt;&gt;"",I674&lt;H674),AND(J674&lt;&gt;"",J674&lt;I674)),"Date error","OK")))</f>
        <v>OK</v>
      </c>
    </row>
    <row r="675" customFormat="false" ht="15" hidden="false" customHeight="false" outlineLevel="0" collapsed="false">
      <c r="A675" s="24" t="s">
        <v>754</v>
      </c>
      <c r="B675" s="31" t="n">
        <v>46183</v>
      </c>
      <c r="C675" s="24" t="s">
        <v>21</v>
      </c>
      <c r="D675" s="24" t="s">
        <v>34</v>
      </c>
      <c r="E675" s="24" t="s">
        <v>81</v>
      </c>
      <c r="F675" s="24" t="s">
        <v>45</v>
      </c>
      <c r="G675" s="31" t="n">
        <v>46190</v>
      </c>
      <c r="H675" s="31" t="n">
        <v>46211</v>
      </c>
      <c r="I675" s="31" t="n">
        <v>46222</v>
      </c>
      <c r="J675" s="24"/>
      <c r="K675" s="24" t="n">
        <v>2</v>
      </c>
      <c r="L675" s="24" t="str">
        <f aca="false">IF(J675&lt;&gt;"","Enrolled",IF(I675&lt;&gt;"","Admitted",IF(H675&lt;&gt;"","Applied",IF(G675&lt;&gt;"","Contacted","New"))))</f>
        <v>Admitted</v>
      </c>
      <c r="M675" s="32" t="n">
        <f aca="false">IF(G675="","",G675-B675)</f>
        <v>7</v>
      </c>
      <c r="N675" s="24" t="str">
        <f aca="false">IF(COUNTIF($A$2:A675,A675)&gt;1,"Duplicate ID",IF(C675="","Missing source",IF(OR(AND(G675&lt;&gt;"",G675&lt;B675),AND(H675&lt;&gt;"",H675&lt;B675),AND(I675&lt;&gt;"",I675&lt;H675),AND(J675&lt;&gt;"",J675&lt;I675)),"Date error","OK")))</f>
        <v>OK</v>
      </c>
    </row>
    <row r="676" customFormat="false" ht="15" hidden="false" customHeight="false" outlineLevel="0" collapsed="false">
      <c r="A676" s="24" t="s">
        <v>755</v>
      </c>
      <c r="B676" s="31" t="n">
        <v>46184</v>
      </c>
      <c r="C676" s="24" t="s">
        <v>27</v>
      </c>
      <c r="D676" s="24" t="s">
        <v>33</v>
      </c>
      <c r="E676" s="24" t="s">
        <v>89</v>
      </c>
      <c r="F676" s="24" t="s">
        <v>41</v>
      </c>
      <c r="G676" s="31" t="n">
        <v>46186</v>
      </c>
      <c r="H676" s="24"/>
      <c r="I676" s="24"/>
      <c r="J676" s="24"/>
      <c r="K676" s="24" t="n">
        <v>2</v>
      </c>
      <c r="L676" s="24" t="str">
        <f aca="false">IF(J676&lt;&gt;"","Enrolled",IF(I676&lt;&gt;"","Admitted",IF(H676&lt;&gt;"","Applied",IF(G676&lt;&gt;"","Contacted","New"))))</f>
        <v>Contacted</v>
      </c>
      <c r="M676" s="32" t="n">
        <f aca="false">IF(G676="","",G676-B676)</f>
        <v>2</v>
      </c>
      <c r="N676" s="24" t="str">
        <f aca="false">IF(COUNTIF($A$2:A676,A676)&gt;1,"Duplicate ID",IF(C676="","Missing source",IF(OR(AND(G676&lt;&gt;"",G676&lt;B676),AND(H676&lt;&gt;"",H676&lt;B676),AND(I676&lt;&gt;"",I676&lt;H676),AND(J676&lt;&gt;"",J676&lt;I676)),"Date error","OK")))</f>
        <v>OK</v>
      </c>
    </row>
    <row r="677" customFormat="false" ht="15" hidden="false" customHeight="false" outlineLevel="0" collapsed="false">
      <c r="A677" s="24" t="s">
        <v>756</v>
      </c>
      <c r="B677" s="31" t="n">
        <v>46184</v>
      </c>
      <c r="C677" s="24" t="s">
        <v>27</v>
      </c>
      <c r="D677" s="24" t="s">
        <v>32</v>
      </c>
      <c r="E677" s="24" t="s">
        <v>81</v>
      </c>
      <c r="F677" s="24" t="s">
        <v>44</v>
      </c>
      <c r="G677" s="31" t="n">
        <v>46185</v>
      </c>
      <c r="H677" s="24"/>
      <c r="I677" s="24"/>
      <c r="J677" s="24"/>
      <c r="K677" s="24" t="n">
        <v>3</v>
      </c>
      <c r="L677" s="24" t="str">
        <f aca="false">IF(J677&lt;&gt;"","Enrolled",IF(I677&lt;&gt;"","Admitted",IF(H677&lt;&gt;"","Applied",IF(G677&lt;&gt;"","Contacted","New"))))</f>
        <v>Contacted</v>
      </c>
      <c r="M677" s="32" t="n">
        <f aca="false">IF(G677="","",G677-B677)</f>
        <v>1</v>
      </c>
      <c r="N677" s="24" t="str">
        <f aca="false">IF(COUNTIF($A$2:A677,A677)&gt;1,"Duplicate ID",IF(C677="","Missing source",IF(OR(AND(G677&lt;&gt;"",G677&lt;B677),AND(H677&lt;&gt;"",H677&lt;B677),AND(I677&lt;&gt;"",I677&lt;H677),AND(J677&lt;&gt;"",J677&lt;I677)),"Date error","OK")))</f>
        <v>OK</v>
      </c>
    </row>
    <row r="678" customFormat="false" ht="15" hidden="false" customHeight="false" outlineLevel="0" collapsed="false">
      <c r="A678" s="24" t="s">
        <v>757</v>
      </c>
      <c r="B678" s="31" t="n">
        <v>46184</v>
      </c>
      <c r="C678" s="24" t="s">
        <v>25</v>
      </c>
      <c r="D678" s="24" t="s">
        <v>32</v>
      </c>
      <c r="E678" s="24" t="s">
        <v>89</v>
      </c>
      <c r="F678" s="24" t="s">
        <v>40</v>
      </c>
      <c r="G678" s="24"/>
      <c r="H678" s="24"/>
      <c r="I678" s="24"/>
      <c r="J678" s="24"/>
      <c r="K678" s="24" t="n">
        <v>0</v>
      </c>
      <c r="L678" s="24" t="str">
        <f aca="false">IF(J678&lt;&gt;"","Enrolled",IF(I678&lt;&gt;"","Admitted",IF(H678&lt;&gt;"","Applied",IF(G678&lt;&gt;"","Contacted","New"))))</f>
        <v>New</v>
      </c>
      <c r="M678" s="32" t="str">
        <f aca="false">IF(G678="","",G678-B678)</f>
        <v/>
      </c>
      <c r="N678" s="24" t="str">
        <f aca="false">IF(COUNTIF($A$2:A678,A678)&gt;1,"Duplicate ID",IF(C678="","Missing source",IF(OR(AND(G678&lt;&gt;"",G678&lt;B678),AND(H678&lt;&gt;"",H678&lt;B678),AND(I678&lt;&gt;"",I678&lt;H678),AND(J678&lt;&gt;"",J678&lt;I678)),"Date error","OK")))</f>
        <v>OK</v>
      </c>
    </row>
    <row r="679" customFormat="false" ht="15" hidden="false" customHeight="false" outlineLevel="0" collapsed="false">
      <c r="A679" s="24" t="s">
        <v>758</v>
      </c>
      <c r="B679" s="31" t="n">
        <v>46184</v>
      </c>
      <c r="C679" s="24" t="s">
        <v>25</v>
      </c>
      <c r="D679" s="24" t="s">
        <v>36</v>
      </c>
      <c r="E679" s="24" t="s">
        <v>79</v>
      </c>
      <c r="F679" s="24" t="s">
        <v>43</v>
      </c>
      <c r="G679" s="31" t="n">
        <v>46185</v>
      </c>
      <c r="H679" s="24"/>
      <c r="I679" s="24"/>
      <c r="J679" s="24"/>
      <c r="K679" s="24" t="n">
        <v>2</v>
      </c>
      <c r="L679" s="24" t="str">
        <f aca="false">IF(J679&lt;&gt;"","Enrolled",IF(I679&lt;&gt;"","Admitted",IF(H679&lt;&gt;"","Applied",IF(G679&lt;&gt;"","Contacted","New"))))</f>
        <v>Contacted</v>
      </c>
      <c r="M679" s="32" t="n">
        <f aca="false">IF(G679="","",G679-B679)</f>
        <v>1</v>
      </c>
      <c r="N679" s="24" t="str">
        <f aca="false">IF(COUNTIF($A$2:A679,A679)&gt;1,"Duplicate ID",IF(C679="","Missing source",IF(OR(AND(G679&lt;&gt;"",G679&lt;B679),AND(H679&lt;&gt;"",H679&lt;B679),AND(I679&lt;&gt;"",I679&lt;H679),AND(J679&lt;&gt;"",J679&lt;I679)),"Date error","OK")))</f>
        <v>OK</v>
      </c>
    </row>
    <row r="680" customFormat="false" ht="15" hidden="false" customHeight="false" outlineLevel="0" collapsed="false">
      <c r="A680" s="24" t="s">
        <v>759</v>
      </c>
      <c r="B680" s="31" t="n">
        <v>46184</v>
      </c>
      <c r="C680" s="24" t="s">
        <v>24</v>
      </c>
      <c r="D680" s="24" t="s">
        <v>32</v>
      </c>
      <c r="E680" s="24" t="s">
        <v>94</v>
      </c>
      <c r="F680" s="24" t="s">
        <v>41</v>
      </c>
      <c r="G680" s="31" t="n">
        <v>46184</v>
      </c>
      <c r="H680" s="31" t="n">
        <v>46199</v>
      </c>
      <c r="I680" s="24"/>
      <c r="J680" s="24"/>
      <c r="K680" s="24" t="n">
        <v>5</v>
      </c>
      <c r="L680" s="24" t="str">
        <f aca="false">IF(J680&lt;&gt;"","Enrolled",IF(I680&lt;&gt;"","Admitted",IF(H680&lt;&gt;"","Applied",IF(G680&lt;&gt;"","Contacted","New"))))</f>
        <v>Applied</v>
      </c>
      <c r="M680" s="32" t="n">
        <f aca="false">IF(G680="","",G680-B680)</f>
        <v>0</v>
      </c>
      <c r="N680" s="24" t="str">
        <f aca="false">IF(COUNTIF($A$2:A680,A680)&gt;1,"Duplicate ID",IF(C680="","Missing source",IF(OR(AND(G680&lt;&gt;"",G680&lt;B680),AND(H680&lt;&gt;"",H680&lt;B680),AND(I680&lt;&gt;"",I680&lt;H680),AND(J680&lt;&gt;"",J680&lt;I680)),"Date error","OK")))</f>
        <v>OK</v>
      </c>
    </row>
    <row r="681" customFormat="false" ht="15" hidden="false" customHeight="false" outlineLevel="0" collapsed="false">
      <c r="A681" s="24" t="s">
        <v>760</v>
      </c>
      <c r="B681" s="31" t="n">
        <v>46184</v>
      </c>
      <c r="C681" s="24" t="s">
        <v>22</v>
      </c>
      <c r="D681" s="24" t="s">
        <v>36</v>
      </c>
      <c r="E681" s="24" t="s">
        <v>94</v>
      </c>
      <c r="F681" s="24" t="s">
        <v>43</v>
      </c>
      <c r="G681" s="31" t="n">
        <v>46187</v>
      </c>
      <c r="H681" s="31" t="n">
        <v>46197</v>
      </c>
      <c r="I681" s="31" t="n">
        <v>46206</v>
      </c>
      <c r="J681" s="31" t="n">
        <v>46227</v>
      </c>
      <c r="K681" s="24" t="n">
        <v>3</v>
      </c>
      <c r="L681" s="24" t="str">
        <f aca="false">IF(J681&lt;&gt;"","Enrolled",IF(I681&lt;&gt;"","Admitted",IF(H681&lt;&gt;"","Applied",IF(G681&lt;&gt;"","Contacted","New"))))</f>
        <v>Enrolled</v>
      </c>
      <c r="M681" s="32" t="n">
        <f aca="false">IF(G681="","",G681-B681)</f>
        <v>3</v>
      </c>
      <c r="N681" s="24" t="str">
        <f aca="false">IF(COUNTIF($A$2:A681,A681)&gt;1,"Duplicate ID",IF(C681="","Missing source",IF(OR(AND(G681&lt;&gt;"",G681&lt;B681),AND(H681&lt;&gt;"",H681&lt;B681),AND(I681&lt;&gt;"",I681&lt;H681),AND(J681&lt;&gt;"",J681&lt;I681)),"Date error","OK")))</f>
        <v>OK</v>
      </c>
    </row>
    <row r="682" customFormat="false" ht="15" hidden="false" customHeight="false" outlineLevel="0" collapsed="false">
      <c r="A682" s="24" t="s">
        <v>761</v>
      </c>
      <c r="B682" s="31" t="n">
        <v>46184</v>
      </c>
      <c r="C682" s="24" t="s">
        <v>26</v>
      </c>
      <c r="D682" s="24" t="s">
        <v>33</v>
      </c>
      <c r="E682" s="24" t="s">
        <v>81</v>
      </c>
      <c r="F682" s="24" t="s">
        <v>40</v>
      </c>
      <c r="G682" s="24"/>
      <c r="H682" s="24"/>
      <c r="I682" s="24"/>
      <c r="J682" s="24"/>
      <c r="K682" s="24" t="n">
        <v>0</v>
      </c>
      <c r="L682" s="24" t="str">
        <f aca="false">IF(J682&lt;&gt;"","Enrolled",IF(I682&lt;&gt;"","Admitted",IF(H682&lt;&gt;"","Applied",IF(G682&lt;&gt;"","Contacted","New"))))</f>
        <v>New</v>
      </c>
      <c r="M682" s="32" t="str">
        <f aca="false">IF(G682="","",G682-B682)</f>
        <v/>
      </c>
      <c r="N682" s="24" t="str">
        <f aca="false">IF(COUNTIF($A$2:A682,A682)&gt;1,"Duplicate ID",IF(C682="","Missing source",IF(OR(AND(G682&lt;&gt;"",G682&lt;B682),AND(H682&lt;&gt;"",H682&lt;B682),AND(I682&lt;&gt;"",I682&lt;H682),AND(J682&lt;&gt;"",J682&lt;I682)),"Date error","OK")))</f>
        <v>OK</v>
      </c>
    </row>
    <row r="683" customFormat="false" ht="15" hidden="false" customHeight="false" outlineLevel="0" collapsed="false">
      <c r="A683" s="24" t="s">
        <v>762</v>
      </c>
      <c r="B683" s="31" t="n">
        <v>46184</v>
      </c>
      <c r="C683" s="24" t="s">
        <v>23</v>
      </c>
      <c r="D683" s="24" t="s">
        <v>32</v>
      </c>
      <c r="E683" s="24" t="s">
        <v>89</v>
      </c>
      <c r="F683" s="24" t="s">
        <v>43</v>
      </c>
      <c r="G683" s="31" t="n">
        <v>46184</v>
      </c>
      <c r="H683" s="24"/>
      <c r="I683" s="24"/>
      <c r="J683" s="24"/>
      <c r="K683" s="24" t="n">
        <v>1</v>
      </c>
      <c r="L683" s="24" t="str">
        <f aca="false">IF(J683&lt;&gt;"","Enrolled",IF(I683&lt;&gt;"","Admitted",IF(H683&lt;&gt;"","Applied",IF(G683&lt;&gt;"","Contacted","New"))))</f>
        <v>Contacted</v>
      </c>
      <c r="M683" s="32" t="n">
        <f aca="false">IF(G683="","",G683-B683)</f>
        <v>0</v>
      </c>
      <c r="N683" s="24" t="str">
        <f aca="false">IF(COUNTIF($A$2:A683,A683)&gt;1,"Duplicate ID",IF(C683="","Missing source",IF(OR(AND(G683&lt;&gt;"",G683&lt;B683),AND(H683&lt;&gt;"",H683&lt;B683),AND(I683&lt;&gt;"",I683&lt;H683),AND(J683&lt;&gt;"",J683&lt;I683)),"Date error","OK")))</f>
        <v>OK</v>
      </c>
    </row>
    <row r="684" customFormat="false" ht="15" hidden="false" customHeight="false" outlineLevel="0" collapsed="false">
      <c r="A684" s="24" t="s">
        <v>763</v>
      </c>
      <c r="B684" s="31" t="n">
        <v>46184</v>
      </c>
      <c r="C684" s="24" t="s">
        <v>21</v>
      </c>
      <c r="D684" s="24" t="s">
        <v>35</v>
      </c>
      <c r="E684" s="24" t="s">
        <v>89</v>
      </c>
      <c r="F684" s="24" t="s">
        <v>42</v>
      </c>
      <c r="G684" s="31" t="n">
        <v>46184</v>
      </c>
      <c r="H684" s="31" t="n">
        <v>46204</v>
      </c>
      <c r="I684" s="31" t="n">
        <v>46215</v>
      </c>
      <c r="J684" s="24"/>
      <c r="K684" s="24" t="n">
        <v>3</v>
      </c>
      <c r="L684" s="24" t="str">
        <f aca="false">IF(J684&lt;&gt;"","Enrolled",IF(I684&lt;&gt;"","Admitted",IF(H684&lt;&gt;"","Applied",IF(G684&lt;&gt;"","Contacted","New"))))</f>
        <v>Admitted</v>
      </c>
      <c r="M684" s="32" t="n">
        <f aca="false">IF(G684="","",G684-B684)</f>
        <v>0</v>
      </c>
      <c r="N684" s="24" t="str">
        <f aca="false">IF(COUNTIF($A$2:A684,A684)&gt;1,"Duplicate ID",IF(C684="","Missing source",IF(OR(AND(G684&lt;&gt;"",G684&lt;B684),AND(H684&lt;&gt;"",H684&lt;B684),AND(I684&lt;&gt;"",I684&lt;H684),AND(J684&lt;&gt;"",J684&lt;I684)),"Date error","OK")))</f>
        <v>OK</v>
      </c>
    </row>
    <row r="685" customFormat="false" ht="15" hidden="false" customHeight="false" outlineLevel="0" collapsed="false">
      <c r="A685" s="24" t="s">
        <v>764</v>
      </c>
      <c r="B685" s="31" t="n">
        <v>46185</v>
      </c>
      <c r="C685" s="24" t="s">
        <v>26</v>
      </c>
      <c r="D685" s="24" t="s">
        <v>35</v>
      </c>
      <c r="E685" s="24" t="s">
        <v>79</v>
      </c>
      <c r="F685" s="24" t="s">
        <v>40</v>
      </c>
      <c r="G685" s="31" t="n">
        <v>46185</v>
      </c>
      <c r="H685" s="24"/>
      <c r="I685" s="24"/>
      <c r="J685" s="24"/>
      <c r="K685" s="24" t="n">
        <v>3</v>
      </c>
      <c r="L685" s="24" t="str">
        <f aca="false">IF(J685&lt;&gt;"","Enrolled",IF(I685&lt;&gt;"","Admitted",IF(H685&lt;&gt;"","Applied",IF(G685&lt;&gt;"","Contacted","New"))))</f>
        <v>Contacted</v>
      </c>
      <c r="M685" s="32" t="n">
        <f aca="false">IF(G685="","",G685-B685)</f>
        <v>0</v>
      </c>
      <c r="N685" s="24" t="str">
        <f aca="false">IF(COUNTIF($A$2:A685,A685)&gt;1,"Duplicate ID",IF(C685="","Missing source",IF(OR(AND(G685&lt;&gt;"",G685&lt;B685),AND(H685&lt;&gt;"",H685&lt;B685),AND(I685&lt;&gt;"",I685&lt;H685),AND(J685&lt;&gt;"",J685&lt;I685)),"Date error","OK")))</f>
        <v>OK</v>
      </c>
    </row>
    <row r="686" customFormat="false" ht="15" hidden="false" customHeight="false" outlineLevel="0" collapsed="false">
      <c r="A686" s="24" t="s">
        <v>765</v>
      </c>
      <c r="B686" s="31" t="n">
        <v>46185</v>
      </c>
      <c r="C686" s="24" t="s">
        <v>22</v>
      </c>
      <c r="D686" s="24" t="s">
        <v>36</v>
      </c>
      <c r="E686" s="24" t="s">
        <v>94</v>
      </c>
      <c r="F686" s="24" t="s">
        <v>45</v>
      </c>
      <c r="G686" s="31" t="n">
        <v>46186</v>
      </c>
      <c r="H686" s="24"/>
      <c r="I686" s="24"/>
      <c r="J686" s="24"/>
      <c r="K686" s="24" t="n">
        <v>4</v>
      </c>
      <c r="L686" s="24" t="str">
        <f aca="false">IF(J686&lt;&gt;"","Enrolled",IF(I686&lt;&gt;"","Admitted",IF(H686&lt;&gt;"","Applied",IF(G686&lt;&gt;"","Contacted","New"))))</f>
        <v>Contacted</v>
      </c>
      <c r="M686" s="32" t="n">
        <f aca="false">IF(G686="","",G686-B686)</f>
        <v>1</v>
      </c>
      <c r="N686" s="24" t="str">
        <f aca="false">IF(COUNTIF($A$2:A686,A686)&gt;1,"Duplicate ID",IF(C686="","Missing source",IF(OR(AND(G686&lt;&gt;"",G686&lt;B686),AND(H686&lt;&gt;"",H686&lt;B686),AND(I686&lt;&gt;"",I686&lt;H686),AND(J686&lt;&gt;"",J686&lt;I686)),"Date error","OK")))</f>
        <v>OK</v>
      </c>
    </row>
    <row r="687" customFormat="false" ht="15" hidden="false" customHeight="false" outlineLevel="0" collapsed="false">
      <c r="A687" s="24" t="s">
        <v>766</v>
      </c>
      <c r="B687" s="31" t="n">
        <v>46185</v>
      </c>
      <c r="C687" s="24" t="s">
        <v>26</v>
      </c>
      <c r="D687" s="24" t="s">
        <v>32</v>
      </c>
      <c r="E687" s="24" t="s">
        <v>81</v>
      </c>
      <c r="F687" s="24" t="s">
        <v>45</v>
      </c>
      <c r="G687" s="31" t="n">
        <v>46185</v>
      </c>
      <c r="H687" s="24"/>
      <c r="I687" s="24"/>
      <c r="J687" s="24"/>
      <c r="K687" s="24" t="n">
        <v>4</v>
      </c>
      <c r="L687" s="24" t="str">
        <f aca="false">IF(J687&lt;&gt;"","Enrolled",IF(I687&lt;&gt;"","Admitted",IF(H687&lt;&gt;"","Applied",IF(G687&lt;&gt;"","Contacted","New"))))</f>
        <v>Contacted</v>
      </c>
      <c r="M687" s="32" t="n">
        <f aca="false">IF(G687="","",G687-B687)</f>
        <v>0</v>
      </c>
      <c r="N687" s="24" t="str">
        <f aca="false">IF(COUNTIF($A$2:A687,A687)&gt;1,"Duplicate ID",IF(C687="","Missing source",IF(OR(AND(G687&lt;&gt;"",G687&lt;B687),AND(H687&lt;&gt;"",H687&lt;B687),AND(I687&lt;&gt;"",I687&lt;H687),AND(J687&lt;&gt;"",J687&lt;I687)),"Date error","OK")))</f>
        <v>OK</v>
      </c>
    </row>
    <row r="688" customFormat="false" ht="15" hidden="false" customHeight="false" outlineLevel="0" collapsed="false">
      <c r="A688" s="24" t="s">
        <v>767</v>
      </c>
      <c r="B688" s="31" t="n">
        <v>46185</v>
      </c>
      <c r="C688" s="24" t="s">
        <v>25</v>
      </c>
      <c r="D688" s="24" t="s">
        <v>32</v>
      </c>
      <c r="E688" s="24" t="s">
        <v>81</v>
      </c>
      <c r="F688" s="24" t="s">
        <v>45</v>
      </c>
      <c r="G688" s="31" t="n">
        <v>46186</v>
      </c>
      <c r="H688" s="24"/>
      <c r="I688" s="24"/>
      <c r="J688" s="24"/>
      <c r="K688" s="24" t="n">
        <v>6</v>
      </c>
      <c r="L688" s="24" t="str">
        <f aca="false">IF(J688&lt;&gt;"","Enrolled",IF(I688&lt;&gt;"","Admitted",IF(H688&lt;&gt;"","Applied",IF(G688&lt;&gt;"","Contacted","New"))))</f>
        <v>Contacted</v>
      </c>
      <c r="M688" s="32" t="n">
        <f aca="false">IF(G688="","",G688-B688)</f>
        <v>1</v>
      </c>
      <c r="N688" s="24" t="str">
        <f aca="false">IF(COUNTIF($A$2:A688,A688)&gt;1,"Duplicate ID",IF(C688="","Missing source",IF(OR(AND(G688&lt;&gt;"",G688&lt;B688),AND(H688&lt;&gt;"",H688&lt;B688),AND(I688&lt;&gt;"",I688&lt;H688),AND(J688&lt;&gt;"",J688&lt;I688)),"Date error","OK")))</f>
        <v>OK</v>
      </c>
    </row>
    <row r="689" customFormat="false" ht="15" hidden="false" customHeight="false" outlineLevel="0" collapsed="false">
      <c r="A689" s="24" t="s">
        <v>768</v>
      </c>
      <c r="B689" s="31" t="n">
        <v>46185</v>
      </c>
      <c r="C689" s="24" t="s">
        <v>25</v>
      </c>
      <c r="D689" s="24" t="s">
        <v>32</v>
      </c>
      <c r="E689" s="24" t="s">
        <v>89</v>
      </c>
      <c r="F689" s="24" t="s">
        <v>43</v>
      </c>
      <c r="G689" s="31" t="n">
        <v>46185</v>
      </c>
      <c r="H689" s="31" t="n">
        <v>46206</v>
      </c>
      <c r="I689" s="31" t="n">
        <v>46219</v>
      </c>
      <c r="J689" s="31" t="n">
        <v>46237</v>
      </c>
      <c r="K689" s="24" t="n">
        <v>4</v>
      </c>
      <c r="L689" s="24" t="str">
        <f aca="false">IF(J689&lt;&gt;"","Enrolled",IF(I689&lt;&gt;"","Admitted",IF(H689&lt;&gt;"","Applied",IF(G689&lt;&gt;"","Contacted","New"))))</f>
        <v>Enrolled</v>
      </c>
      <c r="M689" s="32" t="n">
        <f aca="false">IF(G689="","",G689-B689)</f>
        <v>0</v>
      </c>
      <c r="N689" s="24" t="str">
        <f aca="false">IF(COUNTIF($A$2:A689,A689)&gt;1,"Duplicate ID",IF(C689="","Missing source",IF(OR(AND(G689&lt;&gt;"",G689&lt;B689),AND(H689&lt;&gt;"",H689&lt;B689),AND(I689&lt;&gt;"",I689&lt;H689),AND(J689&lt;&gt;"",J689&lt;I689)),"Date error","OK")))</f>
        <v>OK</v>
      </c>
    </row>
    <row r="690" customFormat="false" ht="15" hidden="false" customHeight="false" outlineLevel="0" collapsed="false">
      <c r="A690" s="24" t="s">
        <v>769</v>
      </c>
      <c r="B690" s="31" t="n">
        <v>46185</v>
      </c>
      <c r="C690" s="24" t="s">
        <v>22</v>
      </c>
      <c r="D690" s="24" t="s">
        <v>35</v>
      </c>
      <c r="E690" s="24" t="s">
        <v>94</v>
      </c>
      <c r="F690" s="24" t="s">
        <v>42</v>
      </c>
      <c r="G690" s="31" t="n">
        <v>46186</v>
      </c>
      <c r="H690" s="24"/>
      <c r="I690" s="24"/>
      <c r="J690" s="24"/>
      <c r="K690" s="24" t="n">
        <v>5</v>
      </c>
      <c r="L690" s="24" t="str">
        <f aca="false">IF(J690&lt;&gt;"","Enrolled",IF(I690&lt;&gt;"","Admitted",IF(H690&lt;&gt;"","Applied",IF(G690&lt;&gt;"","Contacted","New"))))</f>
        <v>Contacted</v>
      </c>
      <c r="M690" s="32" t="n">
        <f aca="false">IF(G690="","",G690-B690)</f>
        <v>1</v>
      </c>
      <c r="N690" s="24" t="str">
        <f aca="false">IF(COUNTIF($A$2:A690,A690)&gt;1,"Duplicate ID",IF(C690="","Missing source",IF(OR(AND(G690&lt;&gt;"",G690&lt;B690),AND(H690&lt;&gt;"",H690&lt;B690),AND(I690&lt;&gt;"",I690&lt;H690),AND(J690&lt;&gt;"",J690&lt;I690)),"Date error","OK")))</f>
        <v>OK</v>
      </c>
    </row>
    <row r="691" customFormat="false" ht="15" hidden="false" customHeight="false" outlineLevel="0" collapsed="false">
      <c r="A691" s="24" t="s">
        <v>770</v>
      </c>
      <c r="B691" s="31" t="n">
        <v>46185</v>
      </c>
      <c r="C691" s="24" t="s">
        <v>23</v>
      </c>
      <c r="D691" s="24" t="s">
        <v>36</v>
      </c>
      <c r="E691" s="24" t="s">
        <v>79</v>
      </c>
      <c r="F691" s="24" t="s">
        <v>42</v>
      </c>
      <c r="G691" s="31" t="n">
        <v>46187</v>
      </c>
      <c r="H691" s="24"/>
      <c r="I691" s="24"/>
      <c r="J691" s="24"/>
      <c r="K691" s="24" t="n">
        <v>4</v>
      </c>
      <c r="L691" s="24" t="str">
        <f aca="false">IF(J691&lt;&gt;"","Enrolled",IF(I691&lt;&gt;"","Admitted",IF(H691&lt;&gt;"","Applied",IF(G691&lt;&gt;"","Contacted","New"))))</f>
        <v>Contacted</v>
      </c>
      <c r="M691" s="32" t="n">
        <f aca="false">IF(G691="","",G691-B691)</f>
        <v>2</v>
      </c>
      <c r="N691" s="24" t="str">
        <f aca="false">IF(COUNTIF($A$2:A691,A691)&gt;1,"Duplicate ID",IF(C691="","Missing source",IF(OR(AND(G691&lt;&gt;"",G691&lt;B691),AND(H691&lt;&gt;"",H691&lt;B691),AND(I691&lt;&gt;"",I691&lt;H691),AND(J691&lt;&gt;"",J691&lt;I691)),"Date error","OK")))</f>
        <v>OK</v>
      </c>
    </row>
    <row r="692" customFormat="false" ht="15" hidden="false" customHeight="false" outlineLevel="0" collapsed="false">
      <c r="A692" s="24" t="s">
        <v>771</v>
      </c>
      <c r="B692" s="31" t="n">
        <v>46185</v>
      </c>
      <c r="C692" s="24" t="s">
        <v>24</v>
      </c>
      <c r="D692" s="24" t="s">
        <v>35</v>
      </c>
      <c r="E692" s="24" t="s">
        <v>89</v>
      </c>
      <c r="F692" s="24" t="s">
        <v>40</v>
      </c>
      <c r="G692" s="31" t="n">
        <v>46185</v>
      </c>
      <c r="H692" s="31" t="n">
        <v>46201</v>
      </c>
      <c r="I692" s="31" t="n">
        <v>46206</v>
      </c>
      <c r="J692" s="24"/>
      <c r="K692" s="24" t="n">
        <v>2</v>
      </c>
      <c r="L692" s="24" t="str">
        <f aca="false">IF(J692&lt;&gt;"","Enrolled",IF(I692&lt;&gt;"","Admitted",IF(H692&lt;&gt;"","Applied",IF(G692&lt;&gt;"","Contacted","New"))))</f>
        <v>Admitted</v>
      </c>
      <c r="M692" s="32" t="n">
        <f aca="false">IF(G692="","",G692-B692)</f>
        <v>0</v>
      </c>
      <c r="N692" s="24" t="str">
        <f aca="false">IF(COUNTIF($A$2:A692,A692)&gt;1,"Duplicate ID",IF(C692="","Missing source",IF(OR(AND(G692&lt;&gt;"",G692&lt;B692),AND(H692&lt;&gt;"",H692&lt;B692),AND(I692&lt;&gt;"",I692&lt;H692),AND(J692&lt;&gt;"",J692&lt;I692)),"Date error","OK")))</f>
        <v>OK</v>
      </c>
    </row>
    <row r="693" customFormat="false" ht="15" hidden="false" customHeight="false" outlineLevel="0" collapsed="false">
      <c r="A693" s="24" t="s">
        <v>772</v>
      </c>
      <c r="B693" s="31" t="n">
        <v>46186</v>
      </c>
      <c r="C693" s="24" t="s">
        <v>26</v>
      </c>
      <c r="D693" s="24" t="s">
        <v>33</v>
      </c>
      <c r="E693" s="24" t="s">
        <v>89</v>
      </c>
      <c r="F693" s="24" t="s">
        <v>42</v>
      </c>
      <c r="G693" s="24"/>
      <c r="H693" s="24"/>
      <c r="I693" s="24"/>
      <c r="J693" s="24"/>
      <c r="K693" s="24" t="n">
        <v>0</v>
      </c>
      <c r="L693" s="24" t="str">
        <f aca="false">IF(J693&lt;&gt;"","Enrolled",IF(I693&lt;&gt;"","Admitted",IF(H693&lt;&gt;"","Applied",IF(G693&lt;&gt;"","Contacted","New"))))</f>
        <v>New</v>
      </c>
      <c r="M693" s="32" t="str">
        <f aca="false">IF(G693="","",G693-B693)</f>
        <v/>
      </c>
      <c r="N693" s="24" t="str">
        <f aca="false">IF(COUNTIF($A$2:A693,A693)&gt;1,"Duplicate ID",IF(C693="","Missing source",IF(OR(AND(G693&lt;&gt;"",G693&lt;B693),AND(H693&lt;&gt;"",H693&lt;B693),AND(I693&lt;&gt;"",I693&lt;H693),AND(J693&lt;&gt;"",J693&lt;I693)),"Date error","OK")))</f>
        <v>OK</v>
      </c>
    </row>
    <row r="694" customFormat="false" ht="15" hidden="false" customHeight="false" outlineLevel="0" collapsed="false">
      <c r="A694" s="24" t="s">
        <v>773</v>
      </c>
      <c r="B694" s="31" t="n">
        <v>46186</v>
      </c>
      <c r="C694" s="24" t="s">
        <v>26</v>
      </c>
      <c r="D694" s="24" t="s">
        <v>34</v>
      </c>
      <c r="E694" s="24" t="s">
        <v>79</v>
      </c>
      <c r="F694" s="24" t="s">
        <v>45</v>
      </c>
      <c r="G694" s="31" t="n">
        <v>46194</v>
      </c>
      <c r="H694" s="31" t="n">
        <v>46204</v>
      </c>
      <c r="I694" s="31" t="n">
        <v>46214</v>
      </c>
      <c r="J694" s="24"/>
      <c r="K694" s="24" t="n">
        <v>4</v>
      </c>
      <c r="L694" s="24" t="str">
        <f aca="false">IF(J694&lt;&gt;"","Enrolled",IF(I694&lt;&gt;"","Admitted",IF(H694&lt;&gt;"","Applied",IF(G694&lt;&gt;"","Contacted","New"))))</f>
        <v>Admitted</v>
      </c>
      <c r="M694" s="32" t="n">
        <f aca="false">IF(G694="","",G694-B694)</f>
        <v>8</v>
      </c>
      <c r="N694" s="24" t="str">
        <f aca="false">IF(COUNTIF($A$2:A694,A694)&gt;1,"Duplicate ID",IF(C694="","Missing source",IF(OR(AND(G694&lt;&gt;"",G694&lt;B694),AND(H694&lt;&gt;"",H694&lt;B694),AND(I694&lt;&gt;"",I694&lt;H694),AND(J694&lt;&gt;"",J694&lt;I694)),"Date error","OK")))</f>
        <v>OK</v>
      </c>
    </row>
    <row r="695" customFormat="false" ht="15" hidden="false" customHeight="false" outlineLevel="0" collapsed="false">
      <c r="A695" s="24" t="s">
        <v>774</v>
      </c>
      <c r="B695" s="31" t="n">
        <v>46186</v>
      </c>
      <c r="C695" s="24" t="s">
        <v>25</v>
      </c>
      <c r="D695" s="24" t="s">
        <v>36</v>
      </c>
      <c r="E695" s="24" t="s">
        <v>89</v>
      </c>
      <c r="F695" s="24" t="s">
        <v>42</v>
      </c>
      <c r="G695" s="31" t="n">
        <v>46186</v>
      </c>
      <c r="H695" s="24"/>
      <c r="I695" s="24"/>
      <c r="J695" s="24"/>
      <c r="K695" s="24" t="n">
        <v>2</v>
      </c>
      <c r="L695" s="24" t="str">
        <f aca="false">IF(J695&lt;&gt;"","Enrolled",IF(I695&lt;&gt;"","Admitted",IF(H695&lt;&gt;"","Applied",IF(G695&lt;&gt;"","Contacted","New"))))</f>
        <v>Contacted</v>
      </c>
      <c r="M695" s="32" t="n">
        <f aca="false">IF(G695="","",G695-B695)</f>
        <v>0</v>
      </c>
      <c r="N695" s="24" t="str">
        <f aca="false">IF(COUNTIF($A$2:A695,A695)&gt;1,"Duplicate ID",IF(C695="","Missing source",IF(OR(AND(G695&lt;&gt;"",G695&lt;B695),AND(H695&lt;&gt;"",H695&lt;B695),AND(I695&lt;&gt;"",I695&lt;H695),AND(J695&lt;&gt;"",J695&lt;I695)),"Date error","OK")))</f>
        <v>OK</v>
      </c>
    </row>
    <row r="696" customFormat="false" ht="15" hidden="false" customHeight="false" outlineLevel="0" collapsed="false">
      <c r="A696" s="24" t="s">
        <v>775</v>
      </c>
      <c r="B696" s="31" t="n">
        <v>46186</v>
      </c>
      <c r="C696" s="24" t="s">
        <v>22</v>
      </c>
      <c r="D696" s="24" t="s">
        <v>35</v>
      </c>
      <c r="E696" s="24" t="s">
        <v>84</v>
      </c>
      <c r="F696" s="24" t="s">
        <v>42</v>
      </c>
      <c r="G696" s="31" t="n">
        <v>46186</v>
      </c>
      <c r="H696" s="31" t="n">
        <v>46192</v>
      </c>
      <c r="I696" s="24"/>
      <c r="J696" s="24"/>
      <c r="K696" s="24" t="n">
        <v>4</v>
      </c>
      <c r="L696" s="24" t="str">
        <f aca="false">IF(J696&lt;&gt;"","Enrolled",IF(I696&lt;&gt;"","Admitted",IF(H696&lt;&gt;"","Applied",IF(G696&lt;&gt;"","Contacted","New"))))</f>
        <v>Applied</v>
      </c>
      <c r="M696" s="32" t="n">
        <f aca="false">IF(G696="","",G696-B696)</f>
        <v>0</v>
      </c>
      <c r="N696" s="24" t="str">
        <f aca="false">IF(COUNTIF($A$2:A696,A696)&gt;1,"Duplicate ID",IF(C696="","Missing source",IF(OR(AND(G696&lt;&gt;"",G696&lt;B696),AND(H696&lt;&gt;"",H696&lt;B696),AND(I696&lt;&gt;"",I696&lt;H696),AND(J696&lt;&gt;"",J696&lt;I696)),"Date error","OK")))</f>
        <v>OK</v>
      </c>
    </row>
    <row r="697" customFormat="false" ht="15" hidden="false" customHeight="false" outlineLevel="0" collapsed="false">
      <c r="A697" s="24" t="s">
        <v>776</v>
      </c>
      <c r="B697" s="31" t="n">
        <v>46186</v>
      </c>
      <c r="C697" s="24" t="s">
        <v>25</v>
      </c>
      <c r="D697" s="24" t="s">
        <v>34</v>
      </c>
      <c r="E697" s="24" t="s">
        <v>89</v>
      </c>
      <c r="F697" s="24" t="s">
        <v>40</v>
      </c>
      <c r="G697" s="31" t="n">
        <v>46188</v>
      </c>
      <c r="H697" s="24"/>
      <c r="I697" s="24"/>
      <c r="J697" s="24"/>
      <c r="K697" s="24" t="n">
        <v>3</v>
      </c>
      <c r="L697" s="24" t="str">
        <f aca="false">IF(J697&lt;&gt;"","Enrolled",IF(I697&lt;&gt;"","Admitted",IF(H697&lt;&gt;"","Applied",IF(G697&lt;&gt;"","Contacted","New"))))</f>
        <v>Contacted</v>
      </c>
      <c r="M697" s="32" t="n">
        <f aca="false">IF(G697="","",G697-B697)</f>
        <v>2</v>
      </c>
      <c r="N697" s="24" t="str">
        <f aca="false">IF(COUNTIF($A$2:A697,A697)&gt;1,"Duplicate ID",IF(C697="","Missing source",IF(OR(AND(G697&lt;&gt;"",G697&lt;B697),AND(H697&lt;&gt;"",H697&lt;B697),AND(I697&lt;&gt;"",I697&lt;H697),AND(J697&lt;&gt;"",J697&lt;I697)),"Date error","OK")))</f>
        <v>OK</v>
      </c>
    </row>
    <row r="698" customFormat="false" ht="15" hidden="false" customHeight="false" outlineLevel="0" collapsed="false">
      <c r="A698" s="24" t="s">
        <v>777</v>
      </c>
      <c r="B698" s="31" t="n">
        <v>46186</v>
      </c>
      <c r="C698" s="24" t="s">
        <v>22</v>
      </c>
      <c r="D698" s="24" t="s">
        <v>32</v>
      </c>
      <c r="E698" s="24" t="s">
        <v>89</v>
      </c>
      <c r="F698" s="24" t="s">
        <v>41</v>
      </c>
      <c r="G698" s="31" t="n">
        <v>46187</v>
      </c>
      <c r="H698" s="31" t="n">
        <v>46197</v>
      </c>
      <c r="I698" s="31" t="n">
        <v>46206</v>
      </c>
      <c r="J698" s="31" t="n">
        <v>46230</v>
      </c>
      <c r="K698" s="24" t="n">
        <v>2</v>
      </c>
      <c r="L698" s="24" t="str">
        <f aca="false">IF(J698&lt;&gt;"","Enrolled",IF(I698&lt;&gt;"","Admitted",IF(H698&lt;&gt;"","Applied",IF(G698&lt;&gt;"","Contacted","New"))))</f>
        <v>Enrolled</v>
      </c>
      <c r="M698" s="32" t="n">
        <f aca="false">IF(G698="","",G698-B698)</f>
        <v>1</v>
      </c>
      <c r="N698" s="24" t="str">
        <f aca="false">IF(COUNTIF($A$2:A698,A698)&gt;1,"Duplicate ID",IF(C698="","Missing source",IF(OR(AND(G698&lt;&gt;"",G698&lt;B698),AND(H698&lt;&gt;"",H698&lt;B698),AND(I698&lt;&gt;"",I698&lt;H698),AND(J698&lt;&gt;"",J698&lt;I698)),"Date error","OK")))</f>
        <v>OK</v>
      </c>
    </row>
    <row r="699" customFormat="false" ht="15" hidden="false" customHeight="false" outlineLevel="0" collapsed="false">
      <c r="A699" s="24" t="s">
        <v>778</v>
      </c>
      <c r="B699" s="31" t="n">
        <v>46186</v>
      </c>
      <c r="C699" s="24" t="s">
        <v>26</v>
      </c>
      <c r="D699" s="24" t="s">
        <v>36</v>
      </c>
      <c r="E699" s="24" t="s">
        <v>79</v>
      </c>
      <c r="F699" s="24" t="s">
        <v>42</v>
      </c>
      <c r="G699" s="31" t="n">
        <v>46187</v>
      </c>
      <c r="H699" s="24"/>
      <c r="I699" s="24"/>
      <c r="J699" s="24"/>
      <c r="K699" s="24" t="n">
        <v>2</v>
      </c>
      <c r="L699" s="24" t="str">
        <f aca="false">IF(J699&lt;&gt;"","Enrolled",IF(I699&lt;&gt;"","Admitted",IF(H699&lt;&gt;"","Applied",IF(G699&lt;&gt;"","Contacted","New"))))</f>
        <v>Contacted</v>
      </c>
      <c r="M699" s="32" t="n">
        <f aca="false">IF(G699="","",G699-B699)</f>
        <v>1</v>
      </c>
      <c r="N699" s="24" t="str">
        <f aca="false">IF(COUNTIF($A$2:A699,A699)&gt;1,"Duplicate ID",IF(C699="","Missing source",IF(OR(AND(G699&lt;&gt;"",G699&lt;B699),AND(H699&lt;&gt;"",H699&lt;B699),AND(I699&lt;&gt;"",I699&lt;H699),AND(J699&lt;&gt;"",J699&lt;I699)),"Date error","OK")))</f>
        <v>OK</v>
      </c>
    </row>
    <row r="700" customFormat="false" ht="15" hidden="false" customHeight="false" outlineLevel="0" collapsed="false">
      <c r="A700" s="24" t="s">
        <v>779</v>
      </c>
      <c r="B700" s="31" t="n">
        <v>46186</v>
      </c>
      <c r="C700" s="24" t="s">
        <v>26</v>
      </c>
      <c r="D700" s="24" t="s">
        <v>35</v>
      </c>
      <c r="E700" s="24" t="s">
        <v>94</v>
      </c>
      <c r="F700" s="24" t="s">
        <v>43</v>
      </c>
      <c r="G700" s="24"/>
      <c r="H700" s="24"/>
      <c r="I700" s="24"/>
      <c r="J700" s="24"/>
      <c r="K700" s="24" t="n">
        <v>0</v>
      </c>
      <c r="L700" s="24" t="str">
        <f aca="false">IF(J700&lt;&gt;"","Enrolled",IF(I700&lt;&gt;"","Admitted",IF(H700&lt;&gt;"","Applied",IF(G700&lt;&gt;"","Contacted","New"))))</f>
        <v>New</v>
      </c>
      <c r="M700" s="32" t="str">
        <f aca="false">IF(G700="","",G700-B700)</f>
        <v/>
      </c>
      <c r="N700" s="24" t="str">
        <f aca="false">IF(COUNTIF($A$2:A700,A700)&gt;1,"Duplicate ID",IF(C700="","Missing source",IF(OR(AND(G700&lt;&gt;"",G700&lt;B700),AND(H700&lt;&gt;"",H700&lt;B700),AND(I700&lt;&gt;"",I700&lt;H700),AND(J700&lt;&gt;"",J700&lt;I700)),"Date error","OK")))</f>
        <v>OK</v>
      </c>
    </row>
    <row r="701" customFormat="false" ht="15" hidden="false" customHeight="false" outlineLevel="0" collapsed="false">
      <c r="A701" s="24" t="s">
        <v>780</v>
      </c>
      <c r="B701" s="31" t="n">
        <v>46186</v>
      </c>
      <c r="C701" s="24" t="s">
        <v>22</v>
      </c>
      <c r="D701" s="24" t="s">
        <v>34</v>
      </c>
      <c r="E701" s="24" t="s">
        <v>79</v>
      </c>
      <c r="F701" s="24" t="s">
        <v>45</v>
      </c>
      <c r="G701" s="31" t="n">
        <v>46190</v>
      </c>
      <c r="H701" s="24"/>
      <c r="I701" s="24"/>
      <c r="J701" s="24"/>
      <c r="K701" s="24" t="n">
        <v>3</v>
      </c>
      <c r="L701" s="24" t="str">
        <f aca="false">IF(J701&lt;&gt;"","Enrolled",IF(I701&lt;&gt;"","Admitted",IF(H701&lt;&gt;"","Applied",IF(G701&lt;&gt;"","Contacted","New"))))</f>
        <v>Contacted</v>
      </c>
      <c r="M701" s="32" t="n">
        <f aca="false">IF(G701="","",G701-B701)</f>
        <v>4</v>
      </c>
      <c r="N701" s="24" t="str">
        <f aca="false">IF(COUNTIF($A$2:A701,A701)&gt;1,"Duplicate ID",IF(C701="","Missing source",IF(OR(AND(G701&lt;&gt;"",G701&lt;B701),AND(H701&lt;&gt;"",H701&lt;B701),AND(I701&lt;&gt;"",I701&lt;H701),AND(J701&lt;&gt;"",J701&lt;I701)),"Date error","OK")))</f>
        <v>OK</v>
      </c>
    </row>
    <row r="702" customFormat="false" ht="15" hidden="false" customHeight="false" outlineLevel="0" collapsed="false">
      <c r="A702" s="24" t="s">
        <v>781</v>
      </c>
      <c r="B702" s="31" t="n">
        <v>46186</v>
      </c>
      <c r="C702" s="24" t="s">
        <v>26</v>
      </c>
      <c r="D702" s="24" t="s">
        <v>35</v>
      </c>
      <c r="E702" s="24" t="s">
        <v>89</v>
      </c>
      <c r="F702" s="24" t="s">
        <v>40</v>
      </c>
      <c r="G702" s="31" t="n">
        <v>46187</v>
      </c>
      <c r="H702" s="24"/>
      <c r="I702" s="24"/>
      <c r="J702" s="24"/>
      <c r="K702" s="24" t="n">
        <v>2</v>
      </c>
      <c r="L702" s="24" t="str">
        <f aca="false">IF(J702&lt;&gt;"","Enrolled",IF(I702&lt;&gt;"","Admitted",IF(H702&lt;&gt;"","Applied",IF(G702&lt;&gt;"","Contacted","New"))))</f>
        <v>Contacted</v>
      </c>
      <c r="M702" s="32" t="n">
        <f aca="false">IF(G702="","",G702-B702)</f>
        <v>1</v>
      </c>
      <c r="N702" s="24" t="str">
        <f aca="false">IF(COUNTIF($A$2:A702,A702)&gt;1,"Duplicate ID",IF(C702="","Missing source",IF(OR(AND(G702&lt;&gt;"",G702&lt;B702),AND(H702&lt;&gt;"",H702&lt;B702),AND(I702&lt;&gt;"",I702&lt;H702),AND(J702&lt;&gt;"",J702&lt;I702)),"Date error","OK")))</f>
        <v>OK</v>
      </c>
    </row>
    <row r="703" customFormat="false" ht="15" hidden="false" customHeight="false" outlineLevel="0" collapsed="false">
      <c r="A703" s="24" t="s">
        <v>782</v>
      </c>
      <c r="B703" s="31" t="n">
        <v>46186</v>
      </c>
      <c r="C703" s="24" t="s">
        <v>26</v>
      </c>
      <c r="D703" s="24" t="s">
        <v>35</v>
      </c>
      <c r="E703" s="24" t="s">
        <v>79</v>
      </c>
      <c r="F703" s="24" t="s">
        <v>41</v>
      </c>
      <c r="G703" s="31" t="n">
        <v>46187</v>
      </c>
      <c r="H703" s="24"/>
      <c r="I703" s="24"/>
      <c r="J703" s="24"/>
      <c r="K703" s="24" t="n">
        <v>2</v>
      </c>
      <c r="L703" s="24" t="str">
        <f aca="false">IF(J703&lt;&gt;"","Enrolled",IF(I703&lt;&gt;"","Admitted",IF(H703&lt;&gt;"","Applied",IF(G703&lt;&gt;"","Contacted","New"))))</f>
        <v>Contacted</v>
      </c>
      <c r="M703" s="32" t="n">
        <f aca="false">IF(G703="","",G703-B703)</f>
        <v>1</v>
      </c>
      <c r="N703" s="24" t="str">
        <f aca="false">IF(COUNTIF($A$2:A703,A703)&gt;1,"Duplicate ID",IF(C703="","Missing source",IF(OR(AND(G703&lt;&gt;"",G703&lt;B703),AND(H703&lt;&gt;"",H703&lt;B703),AND(I703&lt;&gt;"",I703&lt;H703),AND(J703&lt;&gt;"",J703&lt;I703)),"Date error","OK")))</f>
        <v>OK</v>
      </c>
    </row>
    <row r="704" customFormat="false" ht="15" hidden="false" customHeight="false" outlineLevel="0" collapsed="false">
      <c r="A704" s="24" t="s">
        <v>783</v>
      </c>
      <c r="B704" s="31" t="n">
        <v>46187</v>
      </c>
      <c r="C704" s="24" t="s">
        <v>26</v>
      </c>
      <c r="D704" s="24" t="s">
        <v>36</v>
      </c>
      <c r="E704" s="24" t="s">
        <v>94</v>
      </c>
      <c r="F704" s="24" t="s">
        <v>42</v>
      </c>
      <c r="G704" s="31" t="n">
        <v>46187</v>
      </c>
      <c r="H704" s="24"/>
      <c r="I704" s="24"/>
      <c r="J704" s="24"/>
      <c r="K704" s="24" t="n">
        <v>3</v>
      </c>
      <c r="L704" s="24" t="str">
        <f aca="false">IF(J704&lt;&gt;"","Enrolled",IF(I704&lt;&gt;"","Admitted",IF(H704&lt;&gt;"","Applied",IF(G704&lt;&gt;"","Contacted","New"))))</f>
        <v>Contacted</v>
      </c>
      <c r="M704" s="32" t="n">
        <f aca="false">IF(G704="","",G704-B704)</f>
        <v>0</v>
      </c>
      <c r="N704" s="24" t="str">
        <f aca="false">IF(COUNTIF($A$2:A704,A704)&gt;1,"Duplicate ID",IF(C704="","Missing source",IF(OR(AND(G704&lt;&gt;"",G704&lt;B704),AND(H704&lt;&gt;"",H704&lt;B704),AND(I704&lt;&gt;"",I704&lt;H704),AND(J704&lt;&gt;"",J704&lt;I704)),"Date error","OK")))</f>
        <v>OK</v>
      </c>
    </row>
    <row r="705" customFormat="false" ht="15" hidden="false" customHeight="false" outlineLevel="0" collapsed="false">
      <c r="A705" s="24" t="s">
        <v>784</v>
      </c>
      <c r="B705" s="31" t="n">
        <v>46187</v>
      </c>
      <c r="C705" s="24" t="s">
        <v>25</v>
      </c>
      <c r="D705" s="24" t="s">
        <v>36</v>
      </c>
      <c r="E705" s="24" t="s">
        <v>79</v>
      </c>
      <c r="F705" s="24" t="s">
        <v>45</v>
      </c>
      <c r="G705" s="31" t="n">
        <v>46188</v>
      </c>
      <c r="H705" s="24"/>
      <c r="I705" s="24"/>
      <c r="J705" s="24"/>
      <c r="K705" s="24" t="n">
        <v>2</v>
      </c>
      <c r="L705" s="24" t="str">
        <f aca="false">IF(J705&lt;&gt;"","Enrolled",IF(I705&lt;&gt;"","Admitted",IF(H705&lt;&gt;"","Applied",IF(G705&lt;&gt;"","Contacted","New"))))</f>
        <v>Contacted</v>
      </c>
      <c r="M705" s="32" t="n">
        <f aca="false">IF(G705="","",G705-B705)</f>
        <v>1</v>
      </c>
      <c r="N705" s="24" t="str">
        <f aca="false">IF(COUNTIF($A$2:A705,A705)&gt;1,"Duplicate ID",IF(C705="","Missing source",IF(OR(AND(G705&lt;&gt;"",G705&lt;B705),AND(H705&lt;&gt;"",H705&lt;B705),AND(I705&lt;&gt;"",I705&lt;H705),AND(J705&lt;&gt;"",J705&lt;I705)),"Date error","OK")))</f>
        <v>OK</v>
      </c>
    </row>
    <row r="706" customFormat="false" ht="15" hidden="false" customHeight="false" outlineLevel="0" collapsed="false">
      <c r="A706" s="24" t="s">
        <v>785</v>
      </c>
      <c r="B706" s="31" t="n">
        <v>46187</v>
      </c>
      <c r="C706" s="24" t="s">
        <v>26</v>
      </c>
      <c r="D706" s="24" t="s">
        <v>32</v>
      </c>
      <c r="E706" s="24" t="s">
        <v>89</v>
      </c>
      <c r="F706" s="24" t="s">
        <v>45</v>
      </c>
      <c r="G706" s="31" t="n">
        <v>46188</v>
      </c>
      <c r="H706" s="24"/>
      <c r="I706" s="24"/>
      <c r="J706" s="24"/>
      <c r="K706" s="24" t="n">
        <v>3</v>
      </c>
      <c r="L706" s="24" t="str">
        <f aca="false">IF(J706&lt;&gt;"","Enrolled",IF(I706&lt;&gt;"","Admitted",IF(H706&lt;&gt;"","Applied",IF(G706&lt;&gt;"","Contacted","New"))))</f>
        <v>Contacted</v>
      </c>
      <c r="M706" s="32" t="n">
        <f aca="false">IF(G706="","",G706-B706)</f>
        <v>1</v>
      </c>
      <c r="N706" s="24" t="str">
        <f aca="false">IF(COUNTIF($A$2:A706,A706)&gt;1,"Duplicate ID",IF(C706="","Missing source",IF(OR(AND(G706&lt;&gt;"",G706&lt;B706),AND(H706&lt;&gt;"",H706&lt;B706),AND(I706&lt;&gt;"",I706&lt;H706),AND(J706&lt;&gt;"",J706&lt;I706)),"Date error","OK")))</f>
        <v>OK</v>
      </c>
    </row>
    <row r="707" customFormat="false" ht="15" hidden="false" customHeight="false" outlineLevel="0" collapsed="false">
      <c r="A707" s="24" t="s">
        <v>786</v>
      </c>
      <c r="B707" s="31" t="n">
        <v>46187</v>
      </c>
      <c r="C707" s="24" t="s">
        <v>26</v>
      </c>
      <c r="D707" s="24" t="s">
        <v>33</v>
      </c>
      <c r="E707" s="24" t="s">
        <v>79</v>
      </c>
      <c r="F707" s="24" t="s">
        <v>44</v>
      </c>
      <c r="G707" s="31" t="n">
        <v>46187</v>
      </c>
      <c r="H707" s="24"/>
      <c r="I707" s="24"/>
      <c r="J707" s="24"/>
      <c r="K707" s="24" t="n">
        <v>6</v>
      </c>
      <c r="L707" s="24" t="str">
        <f aca="false">IF(J707&lt;&gt;"","Enrolled",IF(I707&lt;&gt;"","Admitted",IF(H707&lt;&gt;"","Applied",IF(G707&lt;&gt;"","Contacted","New"))))</f>
        <v>Contacted</v>
      </c>
      <c r="M707" s="32" t="n">
        <f aca="false">IF(G707="","",G707-B707)</f>
        <v>0</v>
      </c>
      <c r="N707" s="24" t="str">
        <f aca="false">IF(COUNTIF($A$2:A707,A707)&gt;1,"Duplicate ID",IF(C707="","Missing source",IF(OR(AND(G707&lt;&gt;"",G707&lt;B707),AND(H707&lt;&gt;"",H707&lt;B707),AND(I707&lt;&gt;"",I707&lt;H707),AND(J707&lt;&gt;"",J707&lt;I707)),"Date error","OK")))</f>
        <v>OK</v>
      </c>
    </row>
    <row r="708" customFormat="false" ht="15" hidden="false" customHeight="false" outlineLevel="0" collapsed="false">
      <c r="A708" s="24" t="s">
        <v>787</v>
      </c>
      <c r="B708" s="31" t="n">
        <v>46187</v>
      </c>
      <c r="C708" s="24" t="s">
        <v>25</v>
      </c>
      <c r="D708" s="24" t="s">
        <v>35</v>
      </c>
      <c r="E708" s="24" t="s">
        <v>89</v>
      </c>
      <c r="F708" s="24" t="s">
        <v>40</v>
      </c>
      <c r="G708" s="31" t="n">
        <v>46189</v>
      </c>
      <c r="H708" s="24"/>
      <c r="I708" s="24"/>
      <c r="J708" s="24"/>
      <c r="K708" s="24" t="n">
        <v>4</v>
      </c>
      <c r="L708" s="24" t="str">
        <f aca="false">IF(J708&lt;&gt;"","Enrolled",IF(I708&lt;&gt;"","Admitted",IF(H708&lt;&gt;"","Applied",IF(G708&lt;&gt;"","Contacted","New"))))</f>
        <v>Contacted</v>
      </c>
      <c r="M708" s="32" t="n">
        <f aca="false">IF(G708="","",G708-B708)</f>
        <v>2</v>
      </c>
      <c r="N708" s="24" t="str">
        <f aca="false">IF(COUNTIF($A$2:A708,A708)&gt;1,"Duplicate ID",IF(C708="","Missing source",IF(OR(AND(G708&lt;&gt;"",G708&lt;B708),AND(H708&lt;&gt;"",H708&lt;B708),AND(I708&lt;&gt;"",I708&lt;H708),AND(J708&lt;&gt;"",J708&lt;I708)),"Date error","OK")))</f>
        <v>OK</v>
      </c>
    </row>
    <row r="709" customFormat="false" ht="15" hidden="false" customHeight="false" outlineLevel="0" collapsed="false">
      <c r="A709" s="24" t="s">
        <v>788</v>
      </c>
      <c r="B709" s="31" t="n">
        <v>46187</v>
      </c>
      <c r="C709" s="24" t="s">
        <v>26</v>
      </c>
      <c r="D709" s="24" t="s">
        <v>32</v>
      </c>
      <c r="E709" s="24" t="s">
        <v>84</v>
      </c>
      <c r="F709" s="24" t="s">
        <v>45</v>
      </c>
      <c r="G709" s="31" t="n">
        <v>46190</v>
      </c>
      <c r="H709" s="24"/>
      <c r="I709" s="24"/>
      <c r="J709" s="24"/>
      <c r="K709" s="24" t="n">
        <v>4</v>
      </c>
      <c r="L709" s="24" t="str">
        <f aca="false">IF(J709&lt;&gt;"","Enrolled",IF(I709&lt;&gt;"","Admitted",IF(H709&lt;&gt;"","Applied",IF(G709&lt;&gt;"","Contacted","New"))))</f>
        <v>Contacted</v>
      </c>
      <c r="M709" s="32" t="n">
        <f aca="false">IF(G709="","",G709-B709)</f>
        <v>3</v>
      </c>
      <c r="N709" s="24" t="str">
        <f aca="false">IF(COUNTIF($A$2:A709,A709)&gt;1,"Duplicate ID",IF(C709="","Missing source",IF(OR(AND(G709&lt;&gt;"",G709&lt;B709),AND(H709&lt;&gt;"",H709&lt;B709),AND(I709&lt;&gt;"",I709&lt;H709),AND(J709&lt;&gt;"",J709&lt;I709)),"Date error","OK")))</f>
        <v>OK</v>
      </c>
    </row>
    <row r="710" customFormat="false" ht="15" hidden="false" customHeight="false" outlineLevel="0" collapsed="false">
      <c r="A710" s="24" t="s">
        <v>789</v>
      </c>
      <c r="B710" s="31" t="n">
        <v>46187</v>
      </c>
      <c r="C710" s="24" t="s">
        <v>26</v>
      </c>
      <c r="D710" s="24" t="s">
        <v>35</v>
      </c>
      <c r="E710" s="24" t="s">
        <v>94</v>
      </c>
      <c r="F710" s="24" t="s">
        <v>42</v>
      </c>
      <c r="G710" s="31" t="n">
        <v>46187</v>
      </c>
      <c r="H710" s="31" t="n">
        <v>46195</v>
      </c>
      <c r="I710" s="31" t="n">
        <v>46206</v>
      </c>
      <c r="J710" s="24"/>
      <c r="K710" s="24" t="n">
        <v>2</v>
      </c>
      <c r="L710" s="24" t="str">
        <f aca="false">IF(J710&lt;&gt;"","Enrolled",IF(I710&lt;&gt;"","Admitted",IF(H710&lt;&gt;"","Applied",IF(G710&lt;&gt;"","Contacted","New"))))</f>
        <v>Admitted</v>
      </c>
      <c r="M710" s="32" t="n">
        <f aca="false">IF(G710="","",G710-B710)</f>
        <v>0</v>
      </c>
      <c r="N710" s="24" t="str">
        <f aca="false">IF(COUNTIF($A$2:A710,A710)&gt;1,"Duplicate ID",IF(C710="","Missing source",IF(OR(AND(G710&lt;&gt;"",G710&lt;B710),AND(H710&lt;&gt;"",H710&lt;B710),AND(I710&lt;&gt;"",I710&lt;H710),AND(J710&lt;&gt;"",J710&lt;I710)),"Date error","OK")))</f>
        <v>OK</v>
      </c>
    </row>
    <row r="711" customFormat="false" ht="15" hidden="false" customHeight="false" outlineLevel="0" collapsed="false">
      <c r="A711" s="24" t="s">
        <v>790</v>
      </c>
      <c r="B711" s="31" t="n">
        <v>46187</v>
      </c>
      <c r="C711" s="24" t="s">
        <v>22</v>
      </c>
      <c r="D711" s="24" t="s">
        <v>35</v>
      </c>
      <c r="E711" s="24" t="s">
        <v>89</v>
      </c>
      <c r="F711" s="24" t="s">
        <v>42</v>
      </c>
      <c r="G711" s="31" t="n">
        <v>46188</v>
      </c>
      <c r="H711" s="24"/>
      <c r="I711" s="24"/>
      <c r="J711" s="24"/>
      <c r="K711" s="24" t="n">
        <v>6</v>
      </c>
      <c r="L711" s="24" t="str">
        <f aca="false">IF(J711&lt;&gt;"","Enrolled",IF(I711&lt;&gt;"","Admitted",IF(H711&lt;&gt;"","Applied",IF(G711&lt;&gt;"","Contacted","New"))))</f>
        <v>Contacted</v>
      </c>
      <c r="M711" s="32" t="n">
        <f aca="false">IF(G711="","",G711-B711)</f>
        <v>1</v>
      </c>
      <c r="N711" s="24" t="str">
        <f aca="false">IF(COUNTIF($A$2:A711,A711)&gt;1,"Duplicate ID",IF(C711="","Missing source",IF(OR(AND(G711&lt;&gt;"",G711&lt;B711),AND(H711&lt;&gt;"",H711&lt;B711),AND(I711&lt;&gt;"",I711&lt;H711),AND(J711&lt;&gt;"",J711&lt;I711)),"Date error","OK")))</f>
        <v>OK</v>
      </c>
    </row>
    <row r="712" customFormat="false" ht="15" hidden="false" customHeight="false" outlineLevel="0" collapsed="false">
      <c r="A712" s="24" t="s">
        <v>791</v>
      </c>
      <c r="B712" s="31" t="n">
        <v>46187</v>
      </c>
      <c r="C712" s="24" t="s">
        <v>26</v>
      </c>
      <c r="D712" s="24" t="s">
        <v>36</v>
      </c>
      <c r="E712" s="24" t="s">
        <v>81</v>
      </c>
      <c r="F712" s="24" t="s">
        <v>41</v>
      </c>
      <c r="G712" s="31" t="n">
        <v>46187</v>
      </c>
      <c r="H712" s="24"/>
      <c r="I712" s="24"/>
      <c r="J712" s="24"/>
      <c r="K712" s="24" t="n">
        <v>5</v>
      </c>
      <c r="L712" s="24" t="str">
        <f aca="false">IF(J712&lt;&gt;"","Enrolled",IF(I712&lt;&gt;"","Admitted",IF(H712&lt;&gt;"","Applied",IF(G712&lt;&gt;"","Contacted","New"))))</f>
        <v>Contacted</v>
      </c>
      <c r="M712" s="32" t="n">
        <f aca="false">IF(G712="","",G712-B712)</f>
        <v>0</v>
      </c>
      <c r="N712" s="24" t="str">
        <f aca="false">IF(COUNTIF($A$2:A712,A712)&gt;1,"Duplicate ID",IF(C712="","Missing source",IF(OR(AND(G712&lt;&gt;"",G712&lt;B712),AND(H712&lt;&gt;"",H712&lt;B712),AND(I712&lt;&gt;"",I712&lt;H712),AND(J712&lt;&gt;"",J712&lt;I712)),"Date error","OK")))</f>
        <v>OK</v>
      </c>
    </row>
    <row r="713" customFormat="false" ht="15" hidden="false" customHeight="false" outlineLevel="0" collapsed="false">
      <c r="A713" s="24" t="s">
        <v>792</v>
      </c>
      <c r="B713" s="31" t="n">
        <v>46187</v>
      </c>
      <c r="C713" s="24" t="s">
        <v>26</v>
      </c>
      <c r="D713" s="24" t="s">
        <v>36</v>
      </c>
      <c r="E713" s="24" t="s">
        <v>94</v>
      </c>
      <c r="F713" s="24" t="s">
        <v>43</v>
      </c>
      <c r="G713" s="31" t="n">
        <v>46188</v>
      </c>
      <c r="H713" s="24"/>
      <c r="I713" s="24"/>
      <c r="J713" s="24"/>
      <c r="K713" s="24" t="n">
        <v>6</v>
      </c>
      <c r="L713" s="24" t="str">
        <f aca="false">IF(J713&lt;&gt;"","Enrolled",IF(I713&lt;&gt;"","Admitted",IF(H713&lt;&gt;"","Applied",IF(G713&lt;&gt;"","Contacted","New"))))</f>
        <v>Contacted</v>
      </c>
      <c r="M713" s="32" t="n">
        <f aca="false">IF(G713="","",G713-B713)</f>
        <v>1</v>
      </c>
      <c r="N713" s="24" t="str">
        <f aca="false">IF(COUNTIF($A$2:A713,A713)&gt;1,"Duplicate ID",IF(C713="","Missing source",IF(OR(AND(G713&lt;&gt;"",G713&lt;B713),AND(H713&lt;&gt;"",H713&lt;B713),AND(I713&lt;&gt;"",I713&lt;H713),AND(J713&lt;&gt;"",J713&lt;I713)),"Date error","OK")))</f>
        <v>OK</v>
      </c>
    </row>
    <row r="714" customFormat="false" ht="15" hidden="false" customHeight="false" outlineLevel="0" collapsed="false">
      <c r="A714" s="24" t="s">
        <v>793</v>
      </c>
      <c r="B714" s="31" t="n">
        <v>46187</v>
      </c>
      <c r="C714" s="24" t="s">
        <v>22</v>
      </c>
      <c r="D714" s="24" t="s">
        <v>36</v>
      </c>
      <c r="E714" s="24" t="s">
        <v>84</v>
      </c>
      <c r="F714" s="24" t="s">
        <v>41</v>
      </c>
      <c r="G714" s="31" t="n">
        <v>46187</v>
      </c>
      <c r="H714" s="24"/>
      <c r="I714" s="24"/>
      <c r="J714" s="24"/>
      <c r="K714" s="24" t="n">
        <v>2</v>
      </c>
      <c r="L714" s="24" t="str">
        <f aca="false">IF(J714&lt;&gt;"","Enrolled",IF(I714&lt;&gt;"","Admitted",IF(H714&lt;&gt;"","Applied",IF(G714&lt;&gt;"","Contacted","New"))))</f>
        <v>Contacted</v>
      </c>
      <c r="M714" s="32" t="n">
        <f aca="false">IF(G714="","",G714-B714)</f>
        <v>0</v>
      </c>
      <c r="N714" s="24" t="str">
        <f aca="false">IF(COUNTIF($A$2:A714,A714)&gt;1,"Duplicate ID",IF(C714="","Missing source",IF(OR(AND(G714&lt;&gt;"",G714&lt;B714),AND(H714&lt;&gt;"",H714&lt;B714),AND(I714&lt;&gt;"",I714&lt;H714),AND(J714&lt;&gt;"",J714&lt;I714)),"Date error","OK")))</f>
        <v>OK</v>
      </c>
    </row>
    <row r="715" customFormat="false" ht="15" hidden="false" customHeight="false" outlineLevel="0" collapsed="false">
      <c r="A715" s="24" t="s">
        <v>794</v>
      </c>
      <c r="B715" s="31" t="n">
        <v>46187</v>
      </c>
      <c r="C715" s="24" t="s">
        <v>27</v>
      </c>
      <c r="D715" s="24" t="s">
        <v>34</v>
      </c>
      <c r="E715" s="24" t="s">
        <v>79</v>
      </c>
      <c r="F715" s="24" t="s">
        <v>44</v>
      </c>
      <c r="G715" s="31" t="n">
        <v>46187</v>
      </c>
      <c r="H715" s="24"/>
      <c r="I715" s="24"/>
      <c r="J715" s="24"/>
      <c r="K715" s="24" t="n">
        <v>5</v>
      </c>
      <c r="L715" s="24" t="str">
        <f aca="false">IF(J715&lt;&gt;"","Enrolled",IF(I715&lt;&gt;"","Admitted",IF(H715&lt;&gt;"","Applied",IF(G715&lt;&gt;"","Contacted","New"))))</f>
        <v>Contacted</v>
      </c>
      <c r="M715" s="32" t="n">
        <f aca="false">IF(G715="","",G715-B715)</f>
        <v>0</v>
      </c>
      <c r="N715" s="24" t="str">
        <f aca="false">IF(COUNTIF($A$2:A715,A715)&gt;1,"Duplicate ID",IF(C715="","Missing source",IF(OR(AND(G715&lt;&gt;"",G715&lt;B715),AND(H715&lt;&gt;"",H715&lt;B715),AND(I715&lt;&gt;"",I715&lt;H715),AND(J715&lt;&gt;"",J715&lt;I715)),"Date error","OK")))</f>
        <v>OK</v>
      </c>
    </row>
    <row r="716" customFormat="false" ht="15" hidden="false" customHeight="false" outlineLevel="0" collapsed="false">
      <c r="A716" s="24" t="s">
        <v>795</v>
      </c>
      <c r="B716" s="31" t="n">
        <v>46187</v>
      </c>
      <c r="C716" s="24" t="s">
        <v>25</v>
      </c>
      <c r="D716" s="24" t="s">
        <v>36</v>
      </c>
      <c r="E716" s="24" t="s">
        <v>81</v>
      </c>
      <c r="F716" s="24" t="s">
        <v>43</v>
      </c>
      <c r="G716" s="31" t="n">
        <v>46191</v>
      </c>
      <c r="H716" s="24"/>
      <c r="I716" s="24"/>
      <c r="J716" s="24"/>
      <c r="K716" s="24" t="n">
        <v>3</v>
      </c>
      <c r="L716" s="24" t="str">
        <f aca="false">IF(J716&lt;&gt;"","Enrolled",IF(I716&lt;&gt;"","Admitted",IF(H716&lt;&gt;"","Applied",IF(G716&lt;&gt;"","Contacted","New"))))</f>
        <v>Contacted</v>
      </c>
      <c r="M716" s="32" t="n">
        <f aca="false">IF(G716="","",G716-B716)</f>
        <v>4</v>
      </c>
      <c r="N716" s="24" t="str">
        <f aca="false">IF(COUNTIF($A$2:A716,A716)&gt;1,"Duplicate ID",IF(C716="","Missing source",IF(OR(AND(G716&lt;&gt;"",G716&lt;B716),AND(H716&lt;&gt;"",H716&lt;B716),AND(I716&lt;&gt;"",I716&lt;H716),AND(J716&lt;&gt;"",J716&lt;I716)),"Date error","OK")))</f>
        <v>OK</v>
      </c>
    </row>
    <row r="717" customFormat="false" ht="15" hidden="false" customHeight="false" outlineLevel="0" collapsed="false">
      <c r="A717" s="24" t="s">
        <v>796</v>
      </c>
      <c r="B717" s="31" t="n">
        <v>46188</v>
      </c>
      <c r="C717" s="24" t="s">
        <v>27</v>
      </c>
      <c r="D717" s="24" t="s">
        <v>32</v>
      </c>
      <c r="E717" s="24" t="s">
        <v>79</v>
      </c>
      <c r="F717" s="24" t="s">
        <v>45</v>
      </c>
      <c r="G717" s="31" t="n">
        <v>46188</v>
      </c>
      <c r="H717" s="24"/>
      <c r="I717" s="24"/>
      <c r="J717" s="24"/>
      <c r="K717" s="24" t="n">
        <v>2</v>
      </c>
      <c r="L717" s="24" t="str">
        <f aca="false">IF(J717&lt;&gt;"","Enrolled",IF(I717&lt;&gt;"","Admitted",IF(H717&lt;&gt;"","Applied",IF(G717&lt;&gt;"","Contacted","New"))))</f>
        <v>Contacted</v>
      </c>
      <c r="M717" s="32" t="n">
        <f aca="false">IF(G717="","",G717-B717)</f>
        <v>0</v>
      </c>
      <c r="N717" s="24" t="str">
        <f aca="false">IF(COUNTIF($A$2:A717,A717)&gt;1,"Duplicate ID",IF(C717="","Missing source",IF(OR(AND(G717&lt;&gt;"",G717&lt;B717),AND(H717&lt;&gt;"",H717&lt;B717),AND(I717&lt;&gt;"",I717&lt;H717),AND(J717&lt;&gt;"",J717&lt;I717)),"Date error","OK")))</f>
        <v>OK</v>
      </c>
    </row>
    <row r="718" customFormat="false" ht="15" hidden="false" customHeight="false" outlineLevel="0" collapsed="false">
      <c r="A718" s="24" t="s">
        <v>797</v>
      </c>
      <c r="B718" s="31" t="n">
        <v>46188</v>
      </c>
      <c r="C718" s="24" t="s">
        <v>27</v>
      </c>
      <c r="D718" s="24" t="s">
        <v>36</v>
      </c>
      <c r="E718" s="24" t="s">
        <v>79</v>
      </c>
      <c r="F718" s="24" t="s">
        <v>45</v>
      </c>
      <c r="G718" s="31" t="n">
        <v>46192</v>
      </c>
      <c r="H718" s="24"/>
      <c r="I718" s="24"/>
      <c r="J718" s="24"/>
      <c r="K718" s="24" t="n">
        <v>1</v>
      </c>
      <c r="L718" s="24" t="str">
        <f aca="false">IF(J718&lt;&gt;"","Enrolled",IF(I718&lt;&gt;"","Admitted",IF(H718&lt;&gt;"","Applied",IF(G718&lt;&gt;"","Contacted","New"))))</f>
        <v>Contacted</v>
      </c>
      <c r="M718" s="32" t="n">
        <f aca="false">IF(G718="","",G718-B718)</f>
        <v>4</v>
      </c>
      <c r="N718" s="24" t="str">
        <f aca="false">IF(COUNTIF($A$2:A718,A718)&gt;1,"Duplicate ID",IF(C718="","Missing source",IF(OR(AND(G718&lt;&gt;"",G718&lt;B718),AND(H718&lt;&gt;"",H718&lt;B718),AND(I718&lt;&gt;"",I718&lt;H718),AND(J718&lt;&gt;"",J718&lt;I718)),"Date error","OK")))</f>
        <v>OK</v>
      </c>
    </row>
    <row r="719" customFormat="false" ht="15" hidden="false" customHeight="false" outlineLevel="0" collapsed="false">
      <c r="A719" s="24" t="s">
        <v>798</v>
      </c>
      <c r="B719" s="31" t="n">
        <v>46188</v>
      </c>
      <c r="C719" s="24" t="s">
        <v>26</v>
      </c>
      <c r="D719" s="24" t="s">
        <v>32</v>
      </c>
      <c r="E719" s="24" t="s">
        <v>84</v>
      </c>
      <c r="F719" s="24" t="s">
        <v>41</v>
      </c>
      <c r="G719" s="31" t="n">
        <v>46188</v>
      </c>
      <c r="H719" s="31" t="n">
        <v>46200</v>
      </c>
      <c r="I719" s="31" t="n">
        <v>46212</v>
      </c>
      <c r="J719" s="24"/>
      <c r="K719" s="24" t="n">
        <v>2</v>
      </c>
      <c r="L719" s="24" t="str">
        <f aca="false">IF(J719&lt;&gt;"","Enrolled",IF(I719&lt;&gt;"","Admitted",IF(H719&lt;&gt;"","Applied",IF(G719&lt;&gt;"","Contacted","New"))))</f>
        <v>Admitted</v>
      </c>
      <c r="M719" s="32" t="n">
        <f aca="false">IF(G719="","",G719-B719)</f>
        <v>0</v>
      </c>
      <c r="N719" s="24" t="str">
        <f aca="false">IF(COUNTIF($A$2:A719,A719)&gt;1,"Duplicate ID",IF(C719="","Missing source",IF(OR(AND(G719&lt;&gt;"",G719&lt;B719),AND(H719&lt;&gt;"",H719&lt;B719),AND(I719&lt;&gt;"",I719&lt;H719),AND(J719&lt;&gt;"",J719&lt;I719)),"Date error","OK")))</f>
        <v>OK</v>
      </c>
    </row>
    <row r="720" customFormat="false" ht="15" hidden="false" customHeight="false" outlineLevel="0" collapsed="false">
      <c r="A720" s="24" t="s">
        <v>799</v>
      </c>
      <c r="B720" s="31" t="n">
        <v>46188</v>
      </c>
      <c r="C720" s="24" t="s">
        <v>25</v>
      </c>
      <c r="D720" s="24" t="s">
        <v>33</v>
      </c>
      <c r="E720" s="24" t="s">
        <v>81</v>
      </c>
      <c r="F720" s="24" t="s">
        <v>45</v>
      </c>
      <c r="G720" s="31" t="n">
        <v>46192</v>
      </c>
      <c r="H720" s="24"/>
      <c r="I720" s="24"/>
      <c r="J720" s="24"/>
      <c r="K720" s="24" t="n">
        <v>3</v>
      </c>
      <c r="L720" s="24" t="str">
        <f aca="false">IF(J720&lt;&gt;"","Enrolled",IF(I720&lt;&gt;"","Admitted",IF(H720&lt;&gt;"","Applied",IF(G720&lt;&gt;"","Contacted","New"))))</f>
        <v>Contacted</v>
      </c>
      <c r="M720" s="32" t="n">
        <f aca="false">IF(G720="","",G720-B720)</f>
        <v>4</v>
      </c>
      <c r="N720" s="24" t="str">
        <f aca="false">IF(COUNTIF($A$2:A720,A720)&gt;1,"Duplicate ID",IF(C720="","Missing source",IF(OR(AND(G720&lt;&gt;"",G720&lt;B720),AND(H720&lt;&gt;"",H720&lt;B720),AND(I720&lt;&gt;"",I720&lt;H720),AND(J720&lt;&gt;"",J720&lt;I720)),"Date error","OK")))</f>
        <v>OK</v>
      </c>
    </row>
    <row r="721" customFormat="false" ht="15" hidden="false" customHeight="false" outlineLevel="0" collapsed="false">
      <c r="A721" s="24" t="s">
        <v>800</v>
      </c>
      <c r="B721" s="31" t="n">
        <v>46188</v>
      </c>
      <c r="C721" s="24" t="s">
        <v>21</v>
      </c>
      <c r="D721" s="24" t="s">
        <v>33</v>
      </c>
      <c r="E721" s="24" t="s">
        <v>79</v>
      </c>
      <c r="F721" s="24" t="s">
        <v>45</v>
      </c>
      <c r="G721" s="31" t="n">
        <v>46188</v>
      </c>
      <c r="H721" s="31" t="n">
        <v>46192</v>
      </c>
      <c r="I721" s="24"/>
      <c r="J721" s="24"/>
      <c r="K721" s="24" t="n">
        <v>4</v>
      </c>
      <c r="L721" s="24" t="str">
        <f aca="false">IF(J721&lt;&gt;"","Enrolled",IF(I721&lt;&gt;"","Admitted",IF(H721&lt;&gt;"","Applied",IF(G721&lt;&gt;"","Contacted","New"))))</f>
        <v>Applied</v>
      </c>
      <c r="M721" s="32" t="n">
        <f aca="false">IF(G721="","",G721-B721)</f>
        <v>0</v>
      </c>
      <c r="N721" s="24" t="str">
        <f aca="false">IF(COUNTIF($A$2:A721,A721)&gt;1,"Duplicate ID",IF(C721="","Missing source",IF(OR(AND(G721&lt;&gt;"",G721&lt;B721),AND(H721&lt;&gt;"",H721&lt;B721),AND(I721&lt;&gt;"",I721&lt;H721),AND(J721&lt;&gt;"",J721&lt;I721)),"Date error","OK")))</f>
        <v>OK</v>
      </c>
    </row>
    <row r="722" customFormat="false" ht="15" hidden="false" customHeight="false" outlineLevel="0" collapsed="false">
      <c r="A722" s="24" t="s">
        <v>801</v>
      </c>
      <c r="B722" s="31" t="n">
        <v>46188</v>
      </c>
      <c r="C722" s="24" t="s">
        <v>25</v>
      </c>
      <c r="D722" s="24" t="s">
        <v>35</v>
      </c>
      <c r="E722" s="24" t="s">
        <v>79</v>
      </c>
      <c r="F722" s="24" t="s">
        <v>42</v>
      </c>
      <c r="G722" s="31" t="n">
        <v>46189</v>
      </c>
      <c r="H722" s="24"/>
      <c r="I722" s="24"/>
      <c r="J722" s="24"/>
      <c r="K722" s="24" t="n">
        <v>2</v>
      </c>
      <c r="L722" s="24" t="str">
        <f aca="false">IF(J722&lt;&gt;"","Enrolled",IF(I722&lt;&gt;"","Admitted",IF(H722&lt;&gt;"","Applied",IF(G722&lt;&gt;"","Contacted","New"))))</f>
        <v>Contacted</v>
      </c>
      <c r="M722" s="32" t="n">
        <f aca="false">IF(G722="","",G722-B722)</f>
        <v>1</v>
      </c>
      <c r="N722" s="24" t="str">
        <f aca="false">IF(COUNTIF($A$2:A722,A722)&gt;1,"Duplicate ID",IF(C722="","Missing source",IF(OR(AND(G722&lt;&gt;"",G722&lt;B722),AND(H722&lt;&gt;"",H722&lt;B722),AND(I722&lt;&gt;"",I722&lt;H722),AND(J722&lt;&gt;"",J722&lt;I722)),"Date error","OK")))</f>
        <v>OK</v>
      </c>
    </row>
    <row r="723" customFormat="false" ht="15" hidden="false" customHeight="false" outlineLevel="0" collapsed="false">
      <c r="A723" s="24" t="s">
        <v>802</v>
      </c>
      <c r="B723" s="31" t="n">
        <v>46188</v>
      </c>
      <c r="C723" s="24" t="s">
        <v>26</v>
      </c>
      <c r="D723" s="24" t="s">
        <v>35</v>
      </c>
      <c r="E723" s="24" t="s">
        <v>81</v>
      </c>
      <c r="F723" s="24" t="s">
        <v>41</v>
      </c>
      <c r="G723" s="31" t="n">
        <v>46188</v>
      </c>
      <c r="H723" s="31" t="n">
        <v>46212</v>
      </c>
      <c r="I723" s="31" t="n">
        <v>46218</v>
      </c>
      <c r="J723" s="31" t="n">
        <v>46230</v>
      </c>
      <c r="K723" s="24" t="n">
        <v>2</v>
      </c>
      <c r="L723" s="24" t="str">
        <f aca="false">IF(J723&lt;&gt;"","Enrolled",IF(I723&lt;&gt;"","Admitted",IF(H723&lt;&gt;"","Applied",IF(G723&lt;&gt;"","Contacted","New"))))</f>
        <v>Enrolled</v>
      </c>
      <c r="M723" s="32" t="n">
        <f aca="false">IF(G723="","",G723-B723)</f>
        <v>0</v>
      </c>
      <c r="N723" s="24" t="str">
        <f aca="false">IF(COUNTIF($A$2:A723,A723)&gt;1,"Duplicate ID",IF(C723="","Missing source",IF(OR(AND(G723&lt;&gt;"",G723&lt;B723),AND(H723&lt;&gt;"",H723&lt;B723),AND(I723&lt;&gt;"",I723&lt;H723),AND(J723&lt;&gt;"",J723&lt;I723)),"Date error","OK")))</f>
        <v>OK</v>
      </c>
    </row>
    <row r="724" customFormat="false" ht="15" hidden="false" customHeight="false" outlineLevel="0" collapsed="false">
      <c r="A724" s="24" t="s">
        <v>803</v>
      </c>
      <c r="B724" s="31" t="n">
        <v>46188</v>
      </c>
      <c r="C724" s="24" t="s">
        <v>23</v>
      </c>
      <c r="D724" s="24" t="s">
        <v>36</v>
      </c>
      <c r="E724" s="24" t="s">
        <v>94</v>
      </c>
      <c r="F724" s="24" t="s">
        <v>44</v>
      </c>
      <c r="G724" s="31" t="n">
        <v>46188</v>
      </c>
      <c r="H724" s="24"/>
      <c r="I724" s="24"/>
      <c r="J724" s="24"/>
      <c r="K724" s="24" t="n">
        <v>3</v>
      </c>
      <c r="L724" s="24" t="str">
        <f aca="false">IF(J724&lt;&gt;"","Enrolled",IF(I724&lt;&gt;"","Admitted",IF(H724&lt;&gt;"","Applied",IF(G724&lt;&gt;"","Contacted","New"))))</f>
        <v>Contacted</v>
      </c>
      <c r="M724" s="32" t="n">
        <f aca="false">IF(G724="","",G724-B724)</f>
        <v>0</v>
      </c>
      <c r="N724" s="24" t="str">
        <f aca="false">IF(COUNTIF($A$2:A724,A724)&gt;1,"Duplicate ID",IF(C724="","Missing source",IF(OR(AND(G724&lt;&gt;"",G724&lt;B724),AND(H724&lt;&gt;"",H724&lt;B724),AND(I724&lt;&gt;"",I724&lt;H724),AND(J724&lt;&gt;"",J724&lt;I724)),"Date error","OK")))</f>
        <v>OK</v>
      </c>
    </row>
    <row r="725" customFormat="false" ht="15" hidden="false" customHeight="false" outlineLevel="0" collapsed="false">
      <c r="A725" s="24" t="s">
        <v>804</v>
      </c>
      <c r="B725" s="31" t="n">
        <v>46188</v>
      </c>
      <c r="C725" s="24" t="s">
        <v>21</v>
      </c>
      <c r="D725" s="24" t="s">
        <v>34</v>
      </c>
      <c r="E725" s="24" t="s">
        <v>89</v>
      </c>
      <c r="F725" s="24" t="s">
        <v>42</v>
      </c>
      <c r="G725" s="31" t="n">
        <v>46189</v>
      </c>
      <c r="H725" s="24"/>
      <c r="I725" s="24"/>
      <c r="J725" s="24"/>
      <c r="K725" s="24" t="n">
        <v>4</v>
      </c>
      <c r="L725" s="24" t="str">
        <f aca="false">IF(J725&lt;&gt;"","Enrolled",IF(I725&lt;&gt;"","Admitted",IF(H725&lt;&gt;"","Applied",IF(G725&lt;&gt;"","Contacted","New"))))</f>
        <v>Contacted</v>
      </c>
      <c r="M725" s="32" t="n">
        <f aca="false">IF(G725="","",G725-B725)</f>
        <v>1</v>
      </c>
      <c r="N725" s="24" t="str">
        <f aca="false">IF(COUNTIF($A$2:A725,A725)&gt;1,"Duplicate ID",IF(C725="","Missing source",IF(OR(AND(G725&lt;&gt;"",G725&lt;B725),AND(H725&lt;&gt;"",H725&lt;B725),AND(I725&lt;&gt;"",I725&lt;H725),AND(J725&lt;&gt;"",J725&lt;I725)),"Date error","OK")))</f>
        <v>OK</v>
      </c>
    </row>
    <row r="726" customFormat="false" ht="15" hidden="false" customHeight="false" outlineLevel="0" collapsed="false">
      <c r="A726" s="24" t="s">
        <v>805</v>
      </c>
      <c r="B726" s="31" t="n">
        <v>46188</v>
      </c>
      <c r="C726" s="24" t="s">
        <v>21</v>
      </c>
      <c r="D726" s="24" t="s">
        <v>32</v>
      </c>
      <c r="E726" s="24" t="s">
        <v>89</v>
      </c>
      <c r="F726" s="24" t="s">
        <v>44</v>
      </c>
      <c r="G726" s="31" t="n">
        <v>46188</v>
      </c>
      <c r="H726" s="24"/>
      <c r="I726" s="24"/>
      <c r="J726" s="24"/>
      <c r="K726" s="24" t="n">
        <v>4</v>
      </c>
      <c r="L726" s="24" t="str">
        <f aca="false">IF(J726&lt;&gt;"","Enrolled",IF(I726&lt;&gt;"","Admitted",IF(H726&lt;&gt;"","Applied",IF(G726&lt;&gt;"","Contacted","New"))))</f>
        <v>Contacted</v>
      </c>
      <c r="M726" s="32" t="n">
        <f aca="false">IF(G726="","",G726-B726)</f>
        <v>0</v>
      </c>
      <c r="N726" s="24" t="str">
        <f aca="false">IF(COUNTIF($A$2:A726,A726)&gt;1,"Duplicate ID",IF(C726="","Missing source",IF(OR(AND(G726&lt;&gt;"",G726&lt;B726),AND(H726&lt;&gt;"",H726&lt;B726),AND(I726&lt;&gt;"",I726&lt;H726),AND(J726&lt;&gt;"",J726&lt;I726)),"Date error","OK")))</f>
        <v>OK</v>
      </c>
    </row>
    <row r="727" customFormat="false" ht="15" hidden="false" customHeight="false" outlineLevel="0" collapsed="false">
      <c r="A727" s="24" t="s">
        <v>806</v>
      </c>
      <c r="B727" s="31" t="n">
        <v>46189</v>
      </c>
      <c r="C727" s="24" t="s">
        <v>26</v>
      </c>
      <c r="D727" s="24" t="s">
        <v>35</v>
      </c>
      <c r="E727" s="24" t="s">
        <v>79</v>
      </c>
      <c r="F727" s="24" t="s">
        <v>40</v>
      </c>
      <c r="G727" s="31" t="n">
        <v>46189</v>
      </c>
      <c r="H727" s="24"/>
      <c r="I727" s="24"/>
      <c r="J727" s="24"/>
      <c r="K727" s="24" t="n">
        <v>5</v>
      </c>
      <c r="L727" s="24" t="str">
        <f aca="false">IF(J727&lt;&gt;"","Enrolled",IF(I727&lt;&gt;"","Admitted",IF(H727&lt;&gt;"","Applied",IF(G727&lt;&gt;"","Contacted","New"))))</f>
        <v>Contacted</v>
      </c>
      <c r="M727" s="32" t="n">
        <f aca="false">IF(G727="","",G727-B727)</f>
        <v>0</v>
      </c>
      <c r="N727" s="24" t="str">
        <f aca="false">IF(COUNTIF($A$2:A727,A727)&gt;1,"Duplicate ID",IF(C727="","Missing source",IF(OR(AND(G727&lt;&gt;"",G727&lt;B727),AND(H727&lt;&gt;"",H727&lt;B727),AND(I727&lt;&gt;"",I727&lt;H727),AND(J727&lt;&gt;"",J727&lt;I727)),"Date error","OK")))</f>
        <v>OK</v>
      </c>
    </row>
    <row r="728" customFormat="false" ht="15" hidden="false" customHeight="false" outlineLevel="0" collapsed="false">
      <c r="A728" s="24" t="s">
        <v>807</v>
      </c>
      <c r="B728" s="31" t="n">
        <v>46189</v>
      </c>
      <c r="C728" s="24" t="s">
        <v>26</v>
      </c>
      <c r="D728" s="24" t="s">
        <v>33</v>
      </c>
      <c r="E728" s="24" t="s">
        <v>94</v>
      </c>
      <c r="F728" s="24" t="s">
        <v>40</v>
      </c>
      <c r="G728" s="31" t="n">
        <v>46190</v>
      </c>
      <c r="H728" s="24"/>
      <c r="I728" s="24"/>
      <c r="J728" s="24"/>
      <c r="K728" s="24" t="n">
        <v>2</v>
      </c>
      <c r="L728" s="24" t="str">
        <f aca="false">IF(J728&lt;&gt;"","Enrolled",IF(I728&lt;&gt;"","Admitted",IF(H728&lt;&gt;"","Applied",IF(G728&lt;&gt;"","Contacted","New"))))</f>
        <v>Contacted</v>
      </c>
      <c r="M728" s="32" t="n">
        <f aca="false">IF(G728="","",G728-B728)</f>
        <v>1</v>
      </c>
      <c r="N728" s="24" t="str">
        <f aca="false">IF(COUNTIF($A$2:A728,A728)&gt;1,"Duplicate ID",IF(C728="","Missing source",IF(OR(AND(G728&lt;&gt;"",G728&lt;B728),AND(H728&lt;&gt;"",H728&lt;B728),AND(I728&lt;&gt;"",I728&lt;H728),AND(J728&lt;&gt;"",J728&lt;I728)),"Date error","OK")))</f>
        <v>OK</v>
      </c>
    </row>
    <row r="729" customFormat="false" ht="15" hidden="false" customHeight="false" outlineLevel="0" collapsed="false">
      <c r="A729" s="24" t="s">
        <v>808</v>
      </c>
      <c r="B729" s="31" t="n">
        <v>46189</v>
      </c>
      <c r="C729" s="24" t="s">
        <v>22</v>
      </c>
      <c r="D729" s="24" t="s">
        <v>36</v>
      </c>
      <c r="E729" s="24" t="s">
        <v>81</v>
      </c>
      <c r="F729" s="24" t="s">
        <v>43</v>
      </c>
      <c r="G729" s="31" t="n">
        <v>46190</v>
      </c>
      <c r="H729" s="31" t="n">
        <v>46208</v>
      </c>
      <c r="I729" s="31" t="n">
        <v>46222</v>
      </c>
      <c r="J729" s="24"/>
      <c r="K729" s="24" t="n">
        <v>4</v>
      </c>
      <c r="L729" s="24" t="str">
        <f aca="false">IF(J729&lt;&gt;"","Enrolled",IF(I729&lt;&gt;"","Admitted",IF(H729&lt;&gt;"","Applied",IF(G729&lt;&gt;"","Contacted","New"))))</f>
        <v>Admitted</v>
      </c>
      <c r="M729" s="32" t="n">
        <f aca="false">IF(G729="","",G729-B729)</f>
        <v>1</v>
      </c>
      <c r="N729" s="24" t="str">
        <f aca="false">IF(COUNTIF($A$2:A729,A729)&gt;1,"Duplicate ID",IF(C729="","Missing source",IF(OR(AND(G729&lt;&gt;"",G729&lt;B729),AND(H729&lt;&gt;"",H729&lt;B729),AND(I729&lt;&gt;"",I729&lt;H729),AND(J729&lt;&gt;"",J729&lt;I729)),"Date error","OK")))</f>
        <v>OK</v>
      </c>
    </row>
    <row r="730" customFormat="false" ht="15" hidden="false" customHeight="false" outlineLevel="0" collapsed="false">
      <c r="A730" s="24" t="s">
        <v>809</v>
      </c>
      <c r="B730" s="31" t="n">
        <v>46189</v>
      </c>
      <c r="C730" s="24" t="s">
        <v>26</v>
      </c>
      <c r="D730" s="24" t="s">
        <v>32</v>
      </c>
      <c r="E730" s="24" t="s">
        <v>79</v>
      </c>
      <c r="F730" s="24" t="s">
        <v>42</v>
      </c>
      <c r="G730" s="31" t="n">
        <v>46191</v>
      </c>
      <c r="H730" s="24"/>
      <c r="I730" s="24"/>
      <c r="J730" s="24"/>
      <c r="K730" s="24" t="n">
        <v>2</v>
      </c>
      <c r="L730" s="24" t="str">
        <f aca="false">IF(J730&lt;&gt;"","Enrolled",IF(I730&lt;&gt;"","Admitted",IF(H730&lt;&gt;"","Applied",IF(G730&lt;&gt;"","Contacted","New"))))</f>
        <v>Contacted</v>
      </c>
      <c r="M730" s="32" t="n">
        <f aca="false">IF(G730="","",G730-B730)</f>
        <v>2</v>
      </c>
      <c r="N730" s="24" t="str">
        <f aca="false">IF(COUNTIF($A$2:A730,A730)&gt;1,"Duplicate ID",IF(C730="","Missing source",IF(OR(AND(G730&lt;&gt;"",G730&lt;B730),AND(H730&lt;&gt;"",H730&lt;B730),AND(I730&lt;&gt;"",I730&lt;H730),AND(J730&lt;&gt;"",J730&lt;I730)),"Date error","OK")))</f>
        <v>OK</v>
      </c>
    </row>
    <row r="731" customFormat="false" ht="15" hidden="false" customHeight="false" outlineLevel="0" collapsed="false">
      <c r="A731" s="24" t="s">
        <v>810</v>
      </c>
      <c r="B731" s="31" t="n">
        <v>46189</v>
      </c>
      <c r="C731" s="24" t="s">
        <v>26</v>
      </c>
      <c r="D731" s="24" t="s">
        <v>33</v>
      </c>
      <c r="E731" s="24" t="s">
        <v>89</v>
      </c>
      <c r="F731" s="24" t="s">
        <v>42</v>
      </c>
      <c r="G731" s="31" t="n">
        <v>46189</v>
      </c>
      <c r="H731" s="24"/>
      <c r="I731" s="24"/>
      <c r="J731" s="24"/>
      <c r="K731" s="24" t="n">
        <v>2</v>
      </c>
      <c r="L731" s="24" t="str">
        <f aca="false">IF(J731&lt;&gt;"","Enrolled",IF(I731&lt;&gt;"","Admitted",IF(H731&lt;&gt;"","Applied",IF(G731&lt;&gt;"","Contacted","New"))))</f>
        <v>Contacted</v>
      </c>
      <c r="M731" s="32" t="n">
        <f aca="false">IF(G731="","",G731-B731)</f>
        <v>0</v>
      </c>
      <c r="N731" s="24" t="str">
        <f aca="false">IF(COUNTIF($A$2:A731,A731)&gt;1,"Duplicate ID",IF(C731="","Missing source",IF(OR(AND(G731&lt;&gt;"",G731&lt;B731),AND(H731&lt;&gt;"",H731&lt;B731),AND(I731&lt;&gt;"",I731&lt;H731),AND(J731&lt;&gt;"",J731&lt;I731)),"Date error","OK")))</f>
        <v>OK</v>
      </c>
    </row>
    <row r="732" customFormat="false" ht="15" hidden="false" customHeight="false" outlineLevel="0" collapsed="false">
      <c r="A732" s="24" t="s">
        <v>811</v>
      </c>
      <c r="B732" s="31" t="n">
        <v>46189</v>
      </c>
      <c r="C732" s="24" t="s">
        <v>24</v>
      </c>
      <c r="D732" s="24" t="s">
        <v>32</v>
      </c>
      <c r="E732" s="24" t="s">
        <v>89</v>
      </c>
      <c r="F732" s="24" t="s">
        <v>45</v>
      </c>
      <c r="G732" s="31" t="n">
        <v>46190</v>
      </c>
      <c r="H732" s="31" t="n">
        <v>46199</v>
      </c>
      <c r="I732" s="31" t="n">
        <v>46211</v>
      </c>
      <c r="J732" s="31" t="n">
        <v>46225</v>
      </c>
      <c r="K732" s="24" t="n">
        <v>0</v>
      </c>
      <c r="L732" s="24" t="str">
        <f aca="false">IF(J732&lt;&gt;"","Enrolled",IF(I732&lt;&gt;"","Admitted",IF(H732&lt;&gt;"","Applied",IF(G732&lt;&gt;"","Contacted","New"))))</f>
        <v>Enrolled</v>
      </c>
      <c r="M732" s="32" t="n">
        <f aca="false">IF(G732="","",G732-B732)</f>
        <v>1</v>
      </c>
      <c r="N732" s="24" t="str">
        <f aca="false">IF(COUNTIF($A$2:A732,A732)&gt;1,"Duplicate ID",IF(C732="","Missing source",IF(OR(AND(G732&lt;&gt;"",G732&lt;B732),AND(H732&lt;&gt;"",H732&lt;B732),AND(I732&lt;&gt;"",I732&lt;H732),AND(J732&lt;&gt;"",J732&lt;I732)),"Date error","OK")))</f>
        <v>OK</v>
      </c>
    </row>
    <row r="733" customFormat="false" ht="15" hidden="false" customHeight="false" outlineLevel="0" collapsed="false">
      <c r="A733" s="24" t="s">
        <v>812</v>
      </c>
      <c r="B733" s="31" t="n">
        <v>46189</v>
      </c>
      <c r="C733" s="24" t="s">
        <v>27</v>
      </c>
      <c r="D733" s="24" t="s">
        <v>32</v>
      </c>
      <c r="E733" s="24" t="s">
        <v>89</v>
      </c>
      <c r="F733" s="24" t="s">
        <v>41</v>
      </c>
      <c r="G733" s="31" t="n">
        <v>46189</v>
      </c>
      <c r="H733" s="31" t="n">
        <v>46186</v>
      </c>
      <c r="I733" s="31" t="n">
        <v>46214</v>
      </c>
      <c r="J733" s="31" t="n">
        <v>46236</v>
      </c>
      <c r="K733" s="24" t="n">
        <v>3</v>
      </c>
      <c r="L733" s="24" t="str">
        <f aca="false">IF(J733&lt;&gt;"","Enrolled",IF(I733&lt;&gt;"","Admitted",IF(H733&lt;&gt;"","Applied",IF(G733&lt;&gt;"","Contacted","New"))))</f>
        <v>Enrolled</v>
      </c>
      <c r="M733" s="32" t="n">
        <f aca="false">IF(G733="","",G733-B733)</f>
        <v>0</v>
      </c>
      <c r="N733" s="24" t="str">
        <f aca="false">IF(COUNTIF($A$2:A733,A733)&gt;1,"Duplicate ID",IF(C733="","Missing source",IF(OR(AND(G733&lt;&gt;"",G733&lt;B733),AND(H733&lt;&gt;"",H733&lt;B733),AND(I733&lt;&gt;"",I733&lt;H733),AND(J733&lt;&gt;"",J733&lt;I733)),"Date error","OK")))</f>
        <v>Date error</v>
      </c>
    </row>
    <row r="734" customFormat="false" ht="15" hidden="false" customHeight="false" outlineLevel="0" collapsed="false">
      <c r="A734" s="24" t="s">
        <v>813</v>
      </c>
      <c r="B734" s="31" t="n">
        <v>46189</v>
      </c>
      <c r="C734" s="24" t="s">
        <v>21</v>
      </c>
      <c r="D734" s="24" t="s">
        <v>32</v>
      </c>
      <c r="E734" s="24" t="s">
        <v>94</v>
      </c>
      <c r="F734" s="24" t="s">
        <v>40</v>
      </c>
      <c r="G734" s="31" t="n">
        <v>46191</v>
      </c>
      <c r="H734" s="31" t="n">
        <v>46214</v>
      </c>
      <c r="I734" s="31" t="n">
        <v>46228</v>
      </c>
      <c r="J734" s="31" t="n">
        <v>46241</v>
      </c>
      <c r="K734" s="24" t="n">
        <v>3</v>
      </c>
      <c r="L734" s="24" t="str">
        <f aca="false">IF(J734&lt;&gt;"","Enrolled",IF(I734&lt;&gt;"","Admitted",IF(H734&lt;&gt;"","Applied",IF(G734&lt;&gt;"","Contacted","New"))))</f>
        <v>Enrolled</v>
      </c>
      <c r="M734" s="32" t="n">
        <f aca="false">IF(G734="","",G734-B734)</f>
        <v>2</v>
      </c>
      <c r="N734" s="24" t="str">
        <f aca="false">IF(COUNTIF($A$2:A734,A734)&gt;1,"Duplicate ID",IF(C734="","Missing source",IF(OR(AND(G734&lt;&gt;"",G734&lt;B734),AND(H734&lt;&gt;"",H734&lt;B734),AND(I734&lt;&gt;"",I734&lt;H734),AND(J734&lt;&gt;"",J734&lt;I734)),"Date error","OK")))</f>
        <v>OK</v>
      </c>
    </row>
    <row r="735" customFormat="false" ht="15" hidden="false" customHeight="false" outlineLevel="0" collapsed="false">
      <c r="A735" s="24" t="s">
        <v>814</v>
      </c>
      <c r="B735" s="31" t="n">
        <v>46190</v>
      </c>
      <c r="C735" s="24" t="s">
        <v>25</v>
      </c>
      <c r="D735" s="24" t="s">
        <v>36</v>
      </c>
      <c r="E735" s="24" t="s">
        <v>94</v>
      </c>
      <c r="F735" s="24" t="s">
        <v>42</v>
      </c>
      <c r="G735" s="31" t="n">
        <v>46191</v>
      </c>
      <c r="H735" s="24"/>
      <c r="I735" s="24"/>
      <c r="J735" s="24"/>
      <c r="K735" s="24" t="n">
        <v>4</v>
      </c>
      <c r="L735" s="24" t="str">
        <f aca="false">IF(J735&lt;&gt;"","Enrolled",IF(I735&lt;&gt;"","Admitted",IF(H735&lt;&gt;"","Applied",IF(G735&lt;&gt;"","Contacted","New"))))</f>
        <v>Contacted</v>
      </c>
      <c r="M735" s="32" t="n">
        <f aca="false">IF(G735="","",G735-B735)</f>
        <v>1</v>
      </c>
      <c r="N735" s="24" t="str">
        <f aca="false">IF(COUNTIF($A$2:A735,A735)&gt;1,"Duplicate ID",IF(C735="","Missing source",IF(OR(AND(G735&lt;&gt;"",G735&lt;B735),AND(H735&lt;&gt;"",H735&lt;B735),AND(I735&lt;&gt;"",I735&lt;H735),AND(J735&lt;&gt;"",J735&lt;I735)),"Date error","OK")))</f>
        <v>OK</v>
      </c>
    </row>
    <row r="736" customFormat="false" ht="15" hidden="false" customHeight="false" outlineLevel="0" collapsed="false">
      <c r="A736" s="24" t="s">
        <v>815</v>
      </c>
      <c r="B736" s="31" t="n">
        <v>46190</v>
      </c>
      <c r="C736" s="24" t="s">
        <v>23</v>
      </c>
      <c r="D736" s="24" t="s">
        <v>32</v>
      </c>
      <c r="E736" s="24" t="s">
        <v>89</v>
      </c>
      <c r="F736" s="24" t="s">
        <v>40</v>
      </c>
      <c r="G736" s="24"/>
      <c r="H736" s="24"/>
      <c r="I736" s="24"/>
      <c r="J736" s="24"/>
      <c r="K736" s="24" t="n">
        <v>0</v>
      </c>
      <c r="L736" s="24" t="str">
        <f aca="false">IF(J736&lt;&gt;"","Enrolled",IF(I736&lt;&gt;"","Admitted",IF(H736&lt;&gt;"","Applied",IF(G736&lt;&gt;"","Contacted","New"))))</f>
        <v>New</v>
      </c>
      <c r="M736" s="32" t="str">
        <f aca="false">IF(G736="","",G736-B736)</f>
        <v/>
      </c>
      <c r="N736" s="24" t="str">
        <f aca="false">IF(COUNTIF($A$2:A736,A736)&gt;1,"Duplicate ID",IF(C736="","Missing source",IF(OR(AND(G736&lt;&gt;"",G736&lt;B736),AND(H736&lt;&gt;"",H736&lt;B736),AND(I736&lt;&gt;"",I736&lt;H736),AND(J736&lt;&gt;"",J736&lt;I736)),"Date error","OK")))</f>
        <v>OK</v>
      </c>
    </row>
    <row r="737" customFormat="false" ht="15" hidden="false" customHeight="false" outlineLevel="0" collapsed="false">
      <c r="A737" s="24" t="s">
        <v>816</v>
      </c>
      <c r="B737" s="31" t="n">
        <v>46190</v>
      </c>
      <c r="C737" s="24" t="s">
        <v>23</v>
      </c>
      <c r="D737" s="24" t="s">
        <v>34</v>
      </c>
      <c r="E737" s="24" t="s">
        <v>89</v>
      </c>
      <c r="F737" s="24" t="s">
        <v>43</v>
      </c>
      <c r="G737" s="31" t="n">
        <v>46190</v>
      </c>
      <c r="H737" s="24"/>
      <c r="I737" s="24"/>
      <c r="J737" s="24"/>
      <c r="K737" s="24" t="n">
        <v>1</v>
      </c>
      <c r="L737" s="24" t="str">
        <f aca="false">IF(J737&lt;&gt;"","Enrolled",IF(I737&lt;&gt;"","Admitted",IF(H737&lt;&gt;"","Applied",IF(G737&lt;&gt;"","Contacted","New"))))</f>
        <v>Contacted</v>
      </c>
      <c r="M737" s="32" t="n">
        <f aca="false">IF(G737="","",G737-B737)</f>
        <v>0</v>
      </c>
      <c r="N737" s="24" t="str">
        <f aca="false">IF(COUNTIF($A$2:A737,A737)&gt;1,"Duplicate ID",IF(C737="","Missing source",IF(OR(AND(G737&lt;&gt;"",G737&lt;B737),AND(H737&lt;&gt;"",H737&lt;B737),AND(I737&lt;&gt;"",I737&lt;H737),AND(J737&lt;&gt;"",J737&lt;I737)),"Date error","OK")))</f>
        <v>OK</v>
      </c>
    </row>
    <row r="738" customFormat="false" ht="15" hidden="false" customHeight="false" outlineLevel="0" collapsed="false">
      <c r="A738" s="24" t="s">
        <v>817</v>
      </c>
      <c r="B738" s="31" t="n">
        <v>46190</v>
      </c>
      <c r="C738" s="24" t="s">
        <v>23</v>
      </c>
      <c r="D738" s="24" t="s">
        <v>35</v>
      </c>
      <c r="E738" s="24" t="s">
        <v>89</v>
      </c>
      <c r="F738" s="24" t="s">
        <v>44</v>
      </c>
      <c r="G738" s="31" t="n">
        <v>46199</v>
      </c>
      <c r="H738" s="24"/>
      <c r="I738" s="24"/>
      <c r="J738" s="24"/>
      <c r="K738" s="24" t="n">
        <v>3</v>
      </c>
      <c r="L738" s="24" t="str">
        <f aca="false">IF(J738&lt;&gt;"","Enrolled",IF(I738&lt;&gt;"","Admitted",IF(H738&lt;&gt;"","Applied",IF(G738&lt;&gt;"","Contacted","New"))))</f>
        <v>Contacted</v>
      </c>
      <c r="M738" s="32" t="n">
        <f aca="false">IF(G738="","",G738-B738)</f>
        <v>9</v>
      </c>
      <c r="N738" s="24" t="str">
        <f aca="false">IF(COUNTIF($A$2:A738,A738)&gt;1,"Duplicate ID",IF(C738="","Missing source",IF(OR(AND(G738&lt;&gt;"",G738&lt;B738),AND(H738&lt;&gt;"",H738&lt;B738),AND(I738&lt;&gt;"",I738&lt;H738),AND(J738&lt;&gt;"",J738&lt;I738)),"Date error","OK")))</f>
        <v>OK</v>
      </c>
    </row>
    <row r="739" customFormat="false" ht="15" hidden="false" customHeight="false" outlineLevel="0" collapsed="false">
      <c r="A739" s="24" t="s">
        <v>818</v>
      </c>
      <c r="B739" s="31" t="n">
        <v>46190</v>
      </c>
      <c r="C739" s="24" t="s">
        <v>26</v>
      </c>
      <c r="D739" s="24" t="s">
        <v>33</v>
      </c>
      <c r="E739" s="24" t="s">
        <v>79</v>
      </c>
      <c r="F739" s="24" t="s">
        <v>42</v>
      </c>
      <c r="G739" s="31" t="n">
        <v>46191</v>
      </c>
      <c r="H739" s="24"/>
      <c r="I739" s="24"/>
      <c r="J739" s="24"/>
      <c r="K739" s="24" t="n">
        <v>1</v>
      </c>
      <c r="L739" s="24" t="str">
        <f aca="false">IF(J739&lt;&gt;"","Enrolled",IF(I739&lt;&gt;"","Admitted",IF(H739&lt;&gt;"","Applied",IF(G739&lt;&gt;"","Contacted","New"))))</f>
        <v>Contacted</v>
      </c>
      <c r="M739" s="32" t="n">
        <f aca="false">IF(G739="","",G739-B739)</f>
        <v>1</v>
      </c>
      <c r="N739" s="24" t="str">
        <f aca="false">IF(COUNTIF($A$2:A739,A739)&gt;1,"Duplicate ID",IF(C739="","Missing source",IF(OR(AND(G739&lt;&gt;"",G739&lt;B739),AND(H739&lt;&gt;"",H739&lt;B739),AND(I739&lt;&gt;"",I739&lt;H739),AND(J739&lt;&gt;"",J739&lt;I739)),"Date error","OK")))</f>
        <v>OK</v>
      </c>
    </row>
    <row r="740" customFormat="false" ht="15" hidden="false" customHeight="false" outlineLevel="0" collapsed="false">
      <c r="A740" s="24" t="s">
        <v>819</v>
      </c>
      <c r="B740" s="31" t="n">
        <v>46191</v>
      </c>
      <c r="C740" s="24" t="s">
        <v>23</v>
      </c>
      <c r="D740" s="24" t="s">
        <v>36</v>
      </c>
      <c r="E740" s="24" t="s">
        <v>84</v>
      </c>
      <c r="F740" s="24" t="s">
        <v>42</v>
      </c>
      <c r="G740" s="31" t="n">
        <v>46194</v>
      </c>
      <c r="H740" s="31" t="n">
        <v>46219</v>
      </c>
      <c r="I740" s="31" t="n">
        <v>46227</v>
      </c>
      <c r="J740" s="31" t="n">
        <v>46246</v>
      </c>
      <c r="K740" s="24" t="n">
        <v>2</v>
      </c>
      <c r="L740" s="24" t="str">
        <f aca="false">IF(J740&lt;&gt;"","Enrolled",IF(I740&lt;&gt;"","Admitted",IF(H740&lt;&gt;"","Applied",IF(G740&lt;&gt;"","Contacted","New"))))</f>
        <v>Enrolled</v>
      </c>
      <c r="M740" s="32" t="n">
        <f aca="false">IF(G740="","",G740-B740)</f>
        <v>3</v>
      </c>
      <c r="N740" s="24" t="str">
        <f aca="false">IF(COUNTIF($A$2:A740,A740)&gt;1,"Duplicate ID",IF(C740="","Missing source",IF(OR(AND(G740&lt;&gt;"",G740&lt;B740),AND(H740&lt;&gt;"",H740&lt;B740),AND(I740&lt;&gt;"",I740&lt;H740),AND(J740&lt;&gt;"",J740&lt;I740)),"Date error","OK")))</f>
        <v>OK</v>
      </c>
    </row>
    <row r="741" customFormat="false" ht="15" hidden="false" customHeight="false" outlineLevel="0" collapsed="false">
      <c r="A741" s="24" t="s">
        <v>820</v>
      </c>
      <c r="B741" s="31" t="n">
        <v>46191</v>
      </c>
      <c r="C741" s="24" t="s">
        <v>26</v>
      </c>
      <c r="D741" s="24" t="s">
        <v>34</v>
      </c>
      <c r="E741" s="24" t="s">
        <v>79</v>
      </c>
      <c r="F741" s="24" t="s">
        <v>43</v>
      </c>
      <c r="G741" s="31" t="n">
        <v>46194</v>
      </c>
      <c r="H741" s="24"/>
      <c r="I741" s="24"/>
      <c r="J741" s="24"/>
      <c r="K741" s="24" t="n">
        <v>3</v>
      </c>
      <c r="L741" s="24" t="str">
        <f aca="false">IF(J741&lt;&gt;"","Enrolled",IF(I741&lt;&gt;"","Admitted",IF(H741&lt;&gt;"","Applied",IF(G741&lt;&gt;"","Contacted","New"))))</f>
        <v>Contacted</v>
      </c>
      <c r="M741" s="32" t="n">
        <f aca="false">IF(G741="","",G741-B741)</f>
        <v>3</v>
      </c>
      <c r="N741" s="24" t="str">
        <f aca="false">IF(COUNTIF($A$2:A741,A741)&gt;1,"Duplicate ID",IF(C741="","Missing source",IF(OR(AND(G741&lt;&gt;"",G741&lt;B741),AND(H741&lt;&gt;"",H741&lt;B741),AND(I741&lt;&gt;"",I741&lt;H741),AND(J741&lt;&gt;"",J741&lt;I741)),"Date error","OK")))</f>
        <v>OK</v>
      </c>
    </row>
    <row r="742" customFormat="false" ht="15" hidden="false" customHeight="false" outlineLevel="0" collapsed="false">
      <c r="A742" s="24" t="s">
        <v>821</v>
      </c>
      <c r="B742" s="31" t="n">
        <v>46191</v>
      </c>
      <c r="C742" s="24" t="s">
        <v>22</v>
      </c>
      <c r="D742" s="24" t="s">
        <v>35</v>
      </c>
      <c r="E742" s="24" t="s">
        <v>94</v>
      </c>
      <c r="F742" s="24" t="s">
        <v>40</v>
      </c>
      <c r="G742" s="31" t="n">
        <v>46192</v>
      </c>
      <c r="H742" s="24"/>
      <c r="I742" s="24"/>
      <c r="J742" s="24"/>
      <c r="K742" s="24" t="n">
        <v>5</v>
      </c>
      <c r="L742" s="24" t="str">
        <f aca="false">IF(J742&lt;&gt;"","Enrolled",IF(I742&lt;&gt;"","Admitted",IF(H742&lt;&gt;"","Applied",IF(G742&lt;&gt;"","Contacted","New"))))</f>
        <v>Contacted</v>
      </c>
      <c r="M742" s="32" t="n">
        <f aca="false">IF(G742="","",G742-B742)</f>
        <v>1</v>
      </c>
      <c r="N742" s="24" t="str">
        <f aca="false">IF(COUNTIF($A$2:A742,A742)&gt;1,"Duplicate ID",IF(C742="","Missing source",IF(OR(AND(G742&lt;&gt;"",G742&lt;B742),AND(H742&lt;&gt;"",H742&lt;B742),AND(I742&lt;&gt;"",I742&lt;H742),AND(J742&lt;&gt;"",J742&lt;I742)),"Date error","OK")))</f>
        <v>OK</v>
      </c>
    </row>
    <row r="743" customFormat="false" ht="15" hidden="false" customHeight="false" outlineLevel="0" collapsed="false">
      <c r="A743" s="24" t="s">
        <v>822</v>
      </c>
      <c r="B743" s="31" t="n">
        <v>46191</v>
      </c>
      <c r="C743" s="24" t="s">
        <v>26</v>
      </c>
      <c r="D743" s="24" t="s">
        <v>33</v>
      </c>
      <c r="E743" s="24" t="s">
        <v>94</v>
      </c>
      <c r="F743" s="24" t="s">
        <v>42</v>
      </c>
      <c r="G743" s="24"/>
      <c r="H743" s="24"/>
      <c r="I743" s="24"/>
      <c r="J743" s="24"/>
      <c r="K743" s="24" t="n">
        <v>0</v>
      </c>
      <c r="L743" s="24" t="str">
        <f aca="false">IF(J743&lt;&gt;"","Enrolled",IF(I743&lt;&gt;"","Admitted",IF(H743&lt;&gt;"","Applied",IF(G743&lt;&gt;"","Contacted","New"))))</f>
        <v>New</v>
      </c>
      <c r="M743" s="32" t="str">
        <f aca="false">IF(G743="","",G743-B743)</f>
        <v/>
      </c>
      <c r="N743" s="24" t="str">
        <f aca="false">IF(COUNTIF($A$2:A743,A743)&gt;1,"Duplicate ID",IF(C743="","Missing source",IF(OR(AND(G743&lt;&gt;"",G743&lt;B743),AND(H743&lt;&gt;"",H743&lt;B743),AND(I743&lt;&gt;"",I743&lt;H743),AND(J743&lt;&gt;"",J743&lt;I743)),"Date error","OK")))</f>
        <v>OK</v>
      </c>
    </row>
    <row r="744" customFormat="false" ht="15" hidden="false" customHeight="false" outlineLevel="0" collapsed="false">
      <c r="A744" s="24" t="s">
        <v>823</v>
      </c>
      <c r="B744" s="31" t="n">
        <v>46191</v>
      </c>
      <c r="C744" s="24" t="s">
        <v>23</v>
      </c>
      <c r="D744" s="24" t="s">
        <v>32</v>
      </c>
      <c r="E744" s="24" t="s">
        <v>94</v>
      </c>
      <c r="F744" s="24" t="s">
        <v>41</v>
      </c>
      <c r="G744" s="31" t="n">
        <v>46191</v>
      </c>
      <c r="H744" s="24"/>
      <c r="I744" s="24"/>
      <c r="J744" s="24"/>
      <c r="K744" s="24" t="n">
        <v>1</v>
      </c>
      <c r="L744" s="24" t="str">
        <f aca="false">IF(J744&lt;&gt;"","Enrolled",IF(I744&lt;&gt;"","Admitted",IF(H744&lt;&gt;"","Applied",IF(G744&lt;&gt;"","Contacted","New"))))</f>
        <v>Contacted</v>
      </c>
      <c r="M744" s="32" t="n">
        <f aca="false">IF(G744="","",G744-B744)</f>
        <v>0</v>
      </c>
      <c r="N744" s="24" t="str">
        <f aca="false">IF(COUNTIF($A$2:A744,A744)&gt;1,"Duplicate ID",IF(C744="","Missing source",IF(OR(AND(G744&lt;&gt;"",G744&lt;B744),AND(H744&lt;&gt;"",H744&lt;B744),AND(I744&lt;&gt;"",I744&lt;H744),AND(J744&lt;&gt;"",J744&lt;I744)),"Date error","OK")))</f>
        <v>OK</v>
      </c>
    </row>
    <row r="745" customFormat="false" ht="15" hidden="false" customHeight="false" outlineLevel="0" collapsed="false">
      <c r="A745" s="24" t="s">
        <v>824</v>
      </c>
      <c r="B745" s="31" t="n">
        <v>46191</v>
      </c>
      <c r="C745" s="24" t="s">
        <v>23</v>
      </c>
      <c r="D745" s="24" t="s">
        <v>36</v>
      </c>
      <c r="E745" s="24" t="s">
        <v>94</v>
      </c>
      <c r="F745" s="24" t="s">
        <v>44</v>
      </c>
      <c r="G745" s="31" t="n">
        <v>46194</v>
      </c>
      <c r="H745" s="24"/>
      <c r="I745" s="24"/>
      <c r="J745" s="24"/>
      <c r="K745" s="24" t="n">
        <v>2</v>
      </c>
      <c r="L745" s="24" t="str">
        <f aca="false">IF(J745&lt;&gt;"","Enrolled",IF(I745&lt;&gt;"","Admitted",IF(H745&lt;&gt;"","Applied",IF(G745&lt;&gt;"","Contacted","New"))))</f>
        <v>Contacted</v>
      </c>
      <c r="M745" s="32" t="n">
        <f aca="false">IF(G745="","",G745-B745)</f>
        <v>3</v>
      </c>
      <c r="N745" s="24" t="str">
        <f aca="false">IF(COUNTIF($A$2:A745,A745)&gt;1,"Duplicate ID",IF(C745="","Missing source",IF(OR(AND(G745&lt;&gt;"",G745&lt;B745),AND(H745&lt;&gt;"",H745&lt;B745),AND(I745&lt;&gt;"",I745&lt;H745),AND(J745&lt;&gt;"",J745&lt;I745)),"Date error","OK")))</f>
        <v>OK</v>
      </c>
    </row>
    <row r="746" customFormat="false" ht="15" hidden="false" customHeight="false" outlineLevel="0" collapsed="false">
      <c r="A746" s="24" t="s">
        <v>825</v>
      </c>
      <c r="B746" s="31" t="n">
        <v>46191</v>
      </c>
      <c r="C746" s="24" t="s">
        <v>25</v>
      </c>
      <c r="D746" s="24" t="s">
        <v>35</v>
      </c>
      <c r="E746" s="24" t="s">
        <v>79</v>
      </c>
      <c r="F746" s="24" t="s">
        <v>40</v>
      </c>
      <c r="G746" s="31" t="n">
        <v>46191</v>
      </c>
      <c r="H746" s="24"/>
      <c r="I746" s="24"/>
      <c r="J746" s="24"/>
      <c r="K746" s="24" t="n">
        <v>1</v>
      </c>
      <c r="L746" s="24" t="str">
        <f aca="false">IF(J746&lt;&gt;"","Enrolled",IF(I746&lt;&gt;"","Admitted",IF(H746&lt;&gt;"","Applied",IF(G746&lt;&gt;"","Contacted","New"))))</f>
        <v>Contacted</v>
      </c>
      <c r="M746" s="32" t="n">
        <f aca="false">IF(G746="","",G746-B746)</f>
        <v>0</v>
      </c>
      <c r="N746" s="24" t="str">
        <f aca="false">IF(COUNTIF($A$2:A746,A746)&gt;1,"Duplicate ID",IF(C746="","Missing source",IF(OR(AND(G746&lt;&gt;"",G746&lt;B746),AND(H746&lt;&gt;"",H746&lt;B746),AND(I746&lt;&gt;"",I746&lt;H746),AND(J746&lt;&gt;"",J746&lt;I746)),"Date error","OK")))</f>
        <v>OK</v>
      </c>
    </row>
    <row r="747" customFormat="false" ht="15" hidden="false" customHeight="false" outlineLevel="0" collapsed="false">
      <c r="A747" s="24" t="s">
        <v>826</v>
      </c>
      <c r="B747" s="31" t="n">
        <v>46191</v>
      </c>
      <c r="C747" s="24" t="s">
        <v>26</v>
      </c>
      <c r="D747" s="24" t="s">
        <v>36</v>
      </c>
      <c r="E747" s="24" t="s">
        <v>89</v>
      </c>
      <c r="F747" s="24" t="s">
        <v>44</v>
      </c>
      <c r="G747" s="31" t="n">
        <v>46192</v>
      </c>
      <c r="H747" s="31" t="n">
        <v>46204</v>
      </c>
      <c r="I747" s="24"/>
      <c r="J747" s="24"/>
      <c r="K747" s="24" t="n">
        <v>5</v>
      </c>
      <c r="L747" s="24" t="str">
        <f aca="false">IF(J747&lt;&gt;"","Enrolled",IF(I747&lt;&gt;"","Admitted",IF(H747&lt;&gt;"","Applied",IF(G747&lt;&gt;"","Contacted","New"))))</f>
        <v>Applied</v>
      </c>
      <c r="M747" s="32" t="n">
        <f aca="false">IF(G747="","",G747-B747)</f>
        <v>1</v>
      </c>
      <c r="N747" s="24" t="str">
        <f aca="false">IF(COUNTIF($A$2:A747,A747)&gt;1,"Duplicate ID",IF(C747="","Missing source",IF(OR(AND(G747&lt;&gt;"",G747&lt;B747),AND(H747&lt;&gt;"",H747&lt;B747),AND(I747&lt;&gt;"",I747&lt;H747),AND(J747&lt;&gt;"",J747&lt;I747)),"Date error","OK")))</f>
        <v>OK</v>
      </c>
    </row>
    <row r="748" customFormat="false" ht="15" hidden="false" customHeight="false" outlineLevel="0" collapsed="false">
      <c r="A748" s="24" t="s">
        <v>827</v>
      </c>
      <c r="B748" s="31" t="n">
        <v>46192</v>
      </c>
      <c r="C748" s="24" t="s">
        <v>23</v>
      </c>
      <c r="D748" s="24" t="s">
        <v>34</v>
      </c>
      <c r="E748" s="24" t="s">
        <v>79</v>
      </c>
      <c r="F748" s="24" t="s">
        <v>40</v>
      </c>
      <c r="G748" s="31" t="n">
        <v>46193</v>
      </c>
      <c r="H748" s="24"/>
      <c r="I748" s="24"/>
      <c r="J748" s="24"/>
      <c r="K748" s="24" t="n">
        <v>3</v>
      </c>
      <c r="L748" s="24" t="str">
        <f aca="false">IF(J748&lt;&gt;"","Enrolled",IF(I748&lt;&gt;"","Admitted",IF(H748&lt;&gt;"","Applied",IF(G748&lt;&gt;"","Contacted","New"))))</f>
        <v>Contacted</v>
      </c>
      <c r="M748" s="32" t="n">
        <f aca="false">IF(G748="","",G748-B748)</f>
        <v>1</v>
      </c>
      <c r="N748" s="24" t="str">
        <f aca="false">IF(COUNTIF($A$2:A748,A748)&gt;1,"Duplicate ID",IF(C748="","Missing source",IF(OR(AND(G748&lt;&gt;"",G748&lt;B748),AND(H748&lt;&gt;"",H748&lt;B748),AND(I748&lt;&gt;"",I748&lt;H748),AND(J748&lt;&gt;"",J748&lt;I748)),"Date error","OK")))</f>
        <v>OK</v>
      </c>
    </row>
    <row r="749" customFormat="false" ht="15" hidden="false" customHeight="false" outlineLevel="0" collapsed="false">
      <c r="A749" s="24" t="s">
        <v>828</v>
      </c>
      <c r="B749" s="31" t="n">
        <v>46192</v>
      </c>
      <c r="C749" s="24" t="s">
        <v>26</v>
      </c>
      <c r="D749" s="24" t="s">
        <v>34</v>
      </c>
      <c r="E749" s="24" t="s">
        <v>81</v>
      </c>
      <c r="F749" s="24" t="s">
        <v>42</v>
      </c>
      <c r="G749" s="31" t="n">
        <v>46192</v>
      </c>
      <c r="H749" s="24"/>
      <c r="I749" s="24"/>
      <c r="J749" s="24"/>
      <c r="K749" s="24" t="n">
        <v>2</v>
      </c>
      <c r="L749" s="24" t="str">
        <f aca="false">IF(J749&lt;&gt;"","Enrolled",IF(I749&lt;&gt;"","Admitted",IF(H749&lt;&gt;"","Applied",IF(G749&lt;&gt;"","Contacted","New"))))</f>
        <v>Contacted</v>
      </c>
      <c r="M749" s="32" t="n">
        <f aca="false">IF(G749="","",G749-B749)</f>
        <v>0</v>
      </c>
      <c r="N749" s="24" t="str">
        <f aca="false">IF(COUNTIF($A$2:A749,A749)&gt;1,"Duplicate ID",IF(C749="","Missing source",IF(OR(AND(G749&lt;&gt;"",G749&lt;B749),AND(H749&lt;&gt;"",H749&lt;B749),AND(I749&lt;&gt;"",I749&lt;H749),AND(J749&lt;&gt;"",J749&lt;I749)),"Date error","OK")))</f>
        <v>OK</v>
      </c>
    </row>
    <row r="750" customFormat="false" ht="15" hidden="false" customHeight="false" outlineLevel="0" collapsed="false">
      <c r="A750" s="24" t="s">
        <v>829</v>
      </c>
      <c r="B750" s="31" t="n">
        <v>46192</v>
      </c>
      <c r="C750" s="24" t="s">
        <v>23</v>
      </c>
      <c r="D750" s="24" t="s">
        <v>33</v>
      </c>
      <c r="E750" s="24" t="s">
        <v>94</v>
      </c>
      <c r="F750" s="24" t="s">
        <v>43</v>
      </c>
      <c r="G750" s="31" t="n">
        <v>46192</v>
      </c>
      <c r="H750" s="31" t="n">
        <v>46199</v>
      </c>
      <c r="I750" s="31" t="n">
        <v>46213</v>
      </c>
      <c r="J750" s="31" t="n">
        <v>46240</v>
      </c>
      <c r="K750" s="24" t="n">
        <v>3</v>
      </c>
      <c r="L750" s="24" t="str">
        <f aca="false">IF(J750&lt;&gt;"","Enrolled",IF(I750&lt;&gt;"","Admitted",IF(H750&lt;&gt;"","Applied",IF(G750&lt;&gt;"","Contacted","New"))))</f>
        <v>Enrolled</v>
      </c>
      <c r="M750" s="32" t="n">
        <f aca="false">IF(G750="","",G750-B750)</f>
        <v>0</v>
      </c>
      <c r="N750" s="24" t="str">
        <f aca="false">IF(COUNTIF($A$2:A750,A750)&gt;1,"Duplicate ID",IF(C750="","Missing source",IF(OR(AND(G750&lt;&gt;"",G750&lt;B750),AND(H750&lt;&gt;"",H750&lt;B750),AND(I750&lt;&gt;"",I750&lt;H750),AND(J750&lt;&gt;"",J750&lt;I750)),"Date error","OK")))</f>
        <v>OK</v>
      </c>
    </row>
    <row r="751" customFormat="false" ht="15" hidden="false" customHeight="false" outlineLevel="0" collapsed="false">
      <c r="A751" s="24" t="s">
        <v>830</v>
      </c>
      <c r="B751" s="31" t="n">
        <v>46192</v>
      </c>
      <c r="C751" s="24" t="s">
        <v>27</v>
      </c>
      <c r="D751" s="24" t="s">
        <v>33</v>
      </c>
      <c r="E751" s="24" t="s">
        <v>81</v>
      </c>
      <c r="F751" s="24" t="s">
        <v>44</v>
      </c>
      <c r="G751" s="31" t="n">
        <v>46192</v>
      </c>
      <c r="H751" s="31" t="n">
        <v>46200</v>
      </c>
      <c r="I751" s="31" t="n">
        <v>46209</v>
      </c>
      <c r="J751" s="24"/>
      <c r="K751" s="24" t="n">
        <v>2</v>
      </c>
      <c r="L751" s="24" t="str">
        <f aca="false">IF(J751&lt;&gt;"","Enrolled",IF(I751&lt;&gt;"","Admitted",IF(H751&lt;&gt;"","Applied",IF(G751&lt;&gt;"","Contacted","New"))))</f>
        <v>Admitted</v>
      </c>
      <c r="M751" s="32" t="n">
        <f aca="false">IF(G751="","",G751-B751)</f>
        <v>0</v>
      </c>
      <c r="N751" s="24" t="str">
        <f aca="false">IF(COUNTIF($A$2:A751,A751)&gt;1,"Duplicate ID",IF(C751="","Missing source",IF(OR(AND(G751&lt;&gt;"",G751&lt;B751),AND(H751&lt;&gt;"",H751&lt;B751),AND(I751&lt;&gt;"",I751&lt;H751),AND(J751&lt;&gt;"",J751&lt;I751)),"Date error","OK")))</f>
        <v>OK</v>
      </c>
    </row>
    <row r="752" customFormat="false" ht="15" hidden="false" customHeight="false" outlineLevel="0" collapsed="false">
      <c r="A752" s="24" t="s">
        <v>831</v>
      </c>
      <c r="B752" s="31" t="n">
        <v>46192</v>
      </c>
      <c r="C752" s="24" t="s">
        <v>24</v>
      </c>
      <c r="D752" s="24" t="s">
        <v>32</v>
      </c>
      <c r="E752" s="24" t="s">
        <v>89</v>
      </c>
      <c r="F752" s="24" t="s">
        <v>43</v>
      </c>
      <c r="G752" s="31" t="n">
        <v>46192</v>
      </c>
      <c r="H752" s="24"/>
      <c r="I752" s="24"/>
      <c r="J752" s="24"/>
      <c r="K752" s="24" t="n">
        <v>2</v>
      </c>
      <c r="L752" s="24" t="str">
        <f aca="false">IF(J752&lt;&gt;"","Enrolled",IF(I752&lt;&gt;"","Admitted",IF(H752&lt;&gt;"","Applied",IF(G752&lt;&gt;"","Contacted","New"))))</f>
        <v>Contacted</v>
      </c>
      <c r="M752" s="32" t="n">
        <f aca="false">IF(G752="","",G752-B752)</f>
        <v>0</v>
      </c>
      <c r="N752" s="24" t="str">
        <f aca="false">IF(COUNTIF($A$2:A752,A752)&gt;1,"Duplicate ID",IF(C752="","Missing source",IF(OR(AND(G752&lt;&gt;"",G752&lt;B752),AND(H752&lt;&gt;"",H752&lt;B752),AND(I752&lt;&gt;"",I752&lt;H752),AND(J752&lt;&gt;"",J752&lt;I752)),"Date error","OK")))</f>
        <v>OK</v>
      </c>
    </row>
    <row r="753" customFormat="false" ht="15" hidden="false" customHeight="false" outlineLevel="0" collapsed="false">
      <c r="A753" s="24" t="s">
        <v>832</v>
      </c>
      <c r="B753" s="31" t="n">
        <v>46192</v>
      </c>
      <c r="C753" s="24" t="s">
        <v>22</v>
      </c>
      <c r="D753" s="24" t="s">
        <v>36</v>
      </c>
      <c r="E753" s="24" t="s">
        <v>94</v>
      </c>
      <c r="F753" s="24" t="s">
        <v>43</v>
      </c>
      <c r="G753" s="31" t="n">
        <v>46193</v>
      </c>
      <c r="H753" s="24"/>
      <c r="I753" s="24"/>
      <c r="J753" s="24"/>
      <c r="K753" s="24" t="n">
        <v>4</v>
      </c>
      <c r="L753" s="24" t="str">
        <f aca="false">IF(J753&lt;&gt;"","Enrolled",IF(I753&lt;&gt;"","Admitted",IF(H753&lt;&gt;"","Applied",IF(G753&lt;&gt;"","Contacted","New"))))</f>
        <v>Contacted</v>
      </c>
      <c r="M753" s="32" t="n">
        <f aca="false">IF(G753="","",G753-B753)</f>
        <v>1</v>
      </c>
      <c r="N753" s="24" t="str">
        <f aca="false">IF(COUNTIF($A$2:A753,A753)&gt;1,"Duplicate ID",IF(C753="","Missing source",IF(OR(AND(G753&lt;&gt;"",G753&lt;B753),AND(H753&lt;&gt;"",H753&lt;B753),AND(I753&lt;&gt;"",I753&lt;H753),AND(J753&lt;&gt;"",J753&lt;I753)),"Date error","OK")))</f>
        <v>OK</v>
      </c>
    </row>
    <row r="754" customFormat="false" ht="15" hidden="false" customHeight="false" outlineLevel="0" collapsed="false">
      <c r="A754" s="24" t="s">
        <v>833</v>
      </c>
      <c r="B754" s="31" t="n">
        <v>46192</v>
      </c>
      <c r="C754" s="24" t="s">
        <v>22</v>
      </c>
      <c r="D754" s="24" t="s">
        <v>33</v>
      </c>
      <c r="E754" s="24" t="s">
        <v>79</v>
      </c>
      <c r="F754" s="24" t="s">
        <v>40</v>
      </c>
      <c r="G754" s="31" t="n">
        <v>46193</v>
      </c>
      <c r="H754" s="31" t="n">
        <v>46207</v>
      </c>
      <c r="I754" s="31" t="n">
        <v>46214</v>
      </c>
      <c r="J754" s="31" t="n">
        <v>46221</v>
      </c>
      <c r="K754" s="24" t="n">
        <v>2</v>
      </c>
      <c r="L754" s="24" t="str">
        <f aca="false">IF(J754&lt;&gt;"","Enrolled",IF(I754&lt;&gt;"","Admitted",IF(H754&lt;&gt;"","Applied",IF(G754&lt;&gt;"","Contacted","New"))))</f>
        <v>Enrolled</v>
      </c>
      <c r="M754" s="32" t="n">
        <f aca="false">IF(G754="","",G754-B754)</f>
        <v>1</v>
      </c>
      <c r="N754" s="24" t="str">
        <f aca="false">IF(COUNTIF($A$2:A754,A754)&gt;1,"Duplicate ID",IF(C754="","Missing source",IF(OR(AND(G754&lt;&gt;"",G754&lt;B754),AND(H754&lt;&gt;"",H754&lt;B754),AND(I754&lt;&gt;"",I754&lt;H754),AND(J754&lt;&gt;"",J754&lt;I754)),"Date error","OK")))</f>
        <v>OK</v>
      </c>
    </row>
    <row r="755" customFormat="false" ht="15" hidden="false" customHeight="false" outlineLevel="0" collapsed="false">
      <c r="A755" s="24" t="s">
        <v>834</v>
      </c>
      <c r="B755" s="31" t="n">
        <v>46192</v>
      </c>
      <c r="C755" s="24" t="s">
        <v>27</v>
      </c>
      <c r="D755" s="24" t="s">
        <v>32</v>
      </c>
      <c r="E755" s="24" t="s">
        <v>79</v>
      </c>
      <c r="F755" s="24" t="s">
        <v>40</v>
      </c>
      <c r="G755" s="31" t="n">
        <v>46192</v>
      </c>
      <c r="H755" s="24"/>
      <c r="I755" s="24"/>
      <c r="J755" s="24"/>
      <c r="K755" s="24" t="n">
        <v>3</v>
      </c>
      <c r="L755" s="24" t="str">
        <f aca="false">IF(J755&lt;&gt;"","Enrolled",IF(I755&lt;&gt;"","Admitted",IF(H755&lt;&gt;"","Applied",IF(G755&lt;&gt;"","Contacted","New"))))</f>
        <v>Contacted</v>
      </c>
      <c r="M755" s="32" t="n">
        <f aca="false">IF(G755="","",G755-B755)</f>
        <v>0</v>
      </c>
      <c r="N755" s="24" t="str">
        <f aca="false">IF(COUNTIF($A$2:A755,A755)&gt;1,"Duplicate ID",IF(C755="","Missing source",IF(OR(AND(G755&lt;&gt;"",G755&lt;B755),AND(H755&lt;&gt;"",H755&lt;B755),AND(I755&lt;&gt;"",I755&lt;H755),AND(J755&lt;&gt;"",J755&lt;I755)),"Date error","OK")))</f>
        <v>OK</v>
      </c>
    </row>
    <row r="756" customFormat="false" ht="15" hidden="false" customHeight="false" outlineLevel="0" collapsed="false">
      <c r="A756" s="24" t="s">
        <v>835</v>
      </c>
      <c r="B756" s="31" t="n">
        <v>46192</v>
      </c>
      <c r="C756" s="24" t="s">
        <v>23</v>
      </c>
      <c r="D756" s="24" t="s">
        <v>35</v>
      </c>
      <c r="E756" s="24" t="s">
        <v>89</v>
      </c>
      <c r="F756" s="24" t="s">
        <v>40</v>
      </c>
      <c r="G756" s="31" t="n">
        <v>46193</v>
      </c>
      <c r="H756" s="24"/>
      <c r="I756" s="24"/>
      <c r="J756" s="24"/>
      <c r="K756" s="24" t="n">
        <v>3</v>
      </c>
      <c r="L756" s="24" t="str">
        <f aca="false">IF(J756&lt;&gt;"","Enrolled",IF(I756&lt;&gt;"","Admitted",IF(H756&lt;&gt;"","Applied",IF(G756&lt;&gt;"","Contacted","New"))))</f>
        <v>Contacted</v>
      </c>
      <c r="M756" s="32" t="n">
        <f aca="false">IF(G756="","",G756-B756)</f>
        <v>1</v>
      </c>
      <c r="N756" s="24" t="str">
        <f aca="false">IF(COUNTIF($A$2:A756,A756)&gt;1,"Duplicate ID",IF(C756="","Missing source",IF(OR(AND(G756&lt;&gt;"",G756&lt;B756),AND(H756&lt;&gt;"",H756&lt;B756),AND(I756&lt;&gt;"",I756&lt;H756),AND(J756&lt;&gt;"",J756&lt;I756)),"Date error","OK")))</f>
        <v>OK</v>
      </c>
    </row>
    <row r="757" customFormat="false" ht="15" hidden="false" customHeight="false" outlineLevel="0" collapsed="false">
      <c r="A757" s="24" t="s">
        <v>836</v>
      </c>
      <c r="B757" s="31" t="n">
        <v>46192</v>
      </c>
      <c r="C757" s="24" t="s">
        <v>27</v>
      </c>
      <c r="D757" s="24" t="s">
        <v>33</v>
      </c>
      <c r="E757" s="24" t="s">
        <v>89</v>
      </c>
      <c r="F757" s="24" t="s">
        <v>44</v>
      </c>
      <c r="G757" s="24"/>
      <c r="H757" s="24"/>
      <c r="I757" s="24"/>
      <c r="J757" s="24"/>
      <c r="K757" s="24" t="n">
        <v>0</v>
      </c>
      <c r="L757" s="24" t="str">
        <f aca="false">IF(J757&lt;&gt;"","Enrolled",IF(I757&lt;&gt;"","Admitted",IF(H757&lt;&gt;"","Applied",IF(G757&lt;&gt;"","Contacted","New"))))</f>
        <v>New</v>
      </c>
      <c r="M757" s="32" t="str">
        <f aca="false">IF(G757="","",G757-B757)</f>
        <v/>
      </c>
      <c r="N757" s="24" t="str">
        <f aca="false">IF(COUNTIF($A$2:A757,A757)&gt;1,"Duplicate ID",IF(C757="","Missing source",IF(OR(AND(G757&lt;&gt;"",G757&lt;B757),AND(H757&lt;&gt;"",H757&lt;B757),AND(I757&lt;&gt;"",I757&lt;H757),AND(J757&lt;&gt;"",J757&lt;I757)),"Date error","OK")))</f>
        <v>OK</v>
      </c>
    </row>
    <row r="758" customFormat="false" ht="15" hidden="false" customHeight="false" outlineLevel="0" collapsed="false">
      <c r="A758" s="24" t="s">
        <v>837</v>
      </c>
      <c r="B758" s="31" t="n">
        <v>46192</v>
      </c>
      <c r="C758" s="24" t="s">
        <v>26</v>
      </c>
      <c r="D758" s="24" t="s">
        <v>32</v>
      </c>
      <c r="E758" s="24" t="s">
        <v>89</v>
      </c>
      <c r="F758" s="24" t="s">
        <v>42</v>
      </c>
      <c r="G758" s="31" t="n">
        <v>46192</v>
      </c>
      <c r="H758" s="31" t="n">
        <v>46212</v>
      </c>
      <c r="I758" s="31" t="n">
        <v>46222</v>
      </c>
      <c r="J758" s="31" t="n">
        <v>46238</v>
      </c>
      <c r="K758" s="24" t="n">
        <v>1</v>
      </c>
      <c r="L758" s="24" t="str">
        <f aca="false">IF(J758&lt;&gt;"","Enrolled",IF(I758&lt;&gt;"","Admitted",IF(H758&lt;&gt;"","Applied",IF(G758&lt;&gt;"","Contacted","New"))))</f>
        <v>Enrolled</v>
      </c>
      <c r="M758" s="32" t="n">
        <f aca="false">IF(G758="","",G758-B758)</f>
        <v>0</v>
      </c>
      <c r="N758" s="24" t="str">
        <f aca="false">IF(COUNTIF($A$2:A758,A758)&gt;1,"Duplicate ID",IF(C758="","Missing source",IF(OR(AND(G758&lt;&gt;"",G758&lt;B758),AND(H758&lt;&gt;"",H758&lt;B758),AND(I758&lt;&gt;"",I758&lt;H758),AND(J758&lt;&gt;"",J758&lt;I758)),"Date error","OK")))</f>
        <v>OK</v>
      </c>
    </row>
    <row r="759" customFormat="false" ht="15" hidden="false" customHeight="false" outlineLevel="0" collapsed="false">
      <c r="A759" s="24" t="s">
        <v>838</v>
      </c>
      <c r="B759" s="31" t="n">
        <v>46192</v>
      </c>
      <c r="C759" s="24" t="s">
        <v>27</v>
      </c>
      <c r="D759" s="24" t="s">
        <v>35</v>
      </c>
      <c r="E759" s="24" t="s">
        <v>79</v>
      </c>
      <c r="F759" s="24" t="s">
        <v>43</v>
      </c>
      <c r="G759" s="31" t="n">
        <v>46192</v>
      </c>
      <c r="H759" s="24"/>
      <c r="I759" s="24"/>
      <c r="J759" s="24"/>
      <c r="K759" s="24" t="n">
        <v>1</v>
      </c>
      <c r="L759" s="24" t="str">
        <f aca="false">IF(J759&lt;&gt;"","Enrolled",IF(I759&lt;&gt;"","Admitted",IF(H759&lt;&gt;"","Applied",IF(G759&lt;&gt;"","Contacted","New"))))</f>
        <v>Contacted</v>
      </c>
      <c r="M759" s="32" t="n">
        <f aca="false">IF(G759="","",G759-B759)</f>
        <v>0</v>
      </c>
      <c r="N759" s="24" t="str">
        <f aca="false">IF(COUNTIF($A$2:A759,A759)&gt;1,"Duplicate ID",IF(C759="","Missing source",IF(OR(AND(G759&lt;&gt;"",G759&lt;B759),AND(H759&lt;&gt;"",H759&lt;B759),AND(I759&lt;&gt;"",I759&lt;H759),AND(J759&lt;&gt;"",J759&lt;I759)),"Date error","OK")))</f>
        <v>OK</v>
      </c>
    </row>
    <row r="760" customFormat="false" ht="15" hidden="false" customHeight="false" outlineLevel="0" collapsed="false">
      <c r="A760" s="24" t="s">
        <v>839</v>
      </c>
      <c r="B760" s="31" t="n">
        <v>46192</v>
      </c>
      <c r="C760" s="24" t="s">
        <v>22</v>
      </c>
      <c r="D760" s="24" t="s">
        <v>32</v>
      </c>
      <c r="E760" s="24" t="s">
        <v>89</v>
      </c>
      <c r="F760" s="24" t="s">
        <v>43</v>
      </c>
      <c r="G760" s="31" t="n">
        <v>46196</v>
      </c>
      <c r="H760" s="24"/>
      <c r="I760" s="24"/>
      <c r="J760" s="24"/>
      <c r="K760" s="24" t="n">
        <v>2</v>
      </c>
      <c r="L760" s="24" t="str">
        <f aca="false">IF(J760&lt;&gt;"","Enrolled",IF(I760&lt;&gt;"","Admitted",IF(H760&lt;&gt;"","Applied",IF(G760&lt;&gt;"","Contacted","New"))))</f>
        <v>Contacted</v>
      </c>
      <c r="M760" s="32" t="n">
        <f aca="false">IF(G760="","",G760-B760)</f>
        <v>4</v>
      </c>
      <c r="N760" s="24" t="str">
        <f aca="false">IF(COUNTIF($A$2:A760,A760)&gt;1,"Duplicate ID",IF(C760="","Missing source",IF(OR(AND(G760&lt;&gt;"",G760&lt;B760),AND(H760&lt;&gt;"",H760&lt;B760),AND(I760&lt;&gt;"",I760&lt;H760),AND(J760&lt;&gt;"",J760&lt;I760)),"Date error","OK")))</f>
        <v>OK</v>
      </c>
    </row>
    <row r="761" customFormat="false" ht="15" hidden="false" customHeight="false" outlineLevel="0" collapsed="false">
      <c r="A761" s="24" t="s">
        <v>840</v>
      </c>
      <c r="B761" s="31" t="n">
        <v>46192</v>
      </c>
      <c r="C761" s="24" t="s">
        <v>25</v>
      </c>
      <c r="D761" s="24" t="s">
        <v>33</v>
      </c>
      <c r="E761" s="24" t="s">
        <v>94</v>
      </c>
      <c r="F761" s="24" t="s">
        <v>44</v>
      </c>
      <c r="G761" s="24"/>
      <c r="H761" s="24"/>
      <c r="I761" s="24"/>
      <c r="J761" s="24"/>
      <c r="K761" s="24" t="n">
        <v>0</v>
      </c>
      <c r="L761" s="24" t="str">
        <f aca="false">IF(J761&lt;&gt;"","Enrolled",IF(I761&lt;&gt;"","Admitted",IF(H761&lt;&gt;"","Applied",IF(G761&lt;&gt;"","Contacted","New"))))</f>
        <v>New</v>
      </c>
      <c r="M761" s="32" t="str">
        <f aca="false">IF(G761="","",G761-B761)</f>
        <v/>
      </c>
      <c r="N761" s="24" t="str">
        <f aca="false">IF(COUNTIF($A$2:A761,A761)&gt;1,"Duplicate ID",IF(C761="","Missing source",IF(OR(AND(G761&lt;&gt;"",G761&lt;B761),AND(H761&lt;&gt;"",H761&lt;B761),AND(I761&lt;&gt;"",I761&lt;H761),AND(J761&lt;&gt;"",J761&lt;I761)),"Date error","OK")))</f>
        <v>OK</v>
      </c>
    </row>
    <row r="762" customFormat="false" ht="15" hidden="false" customHeight="false" outlineLevel="0" collapsed="false">
      <c r="A762" s="24" t="s">
        <v>841</v>
      </c>
      <c r="B762" s="31" t="n">
        <v>46192</v>
      </c>
      <c r="C762" s="24" t="s">
        <v>26</v>
      </c>
      <c r="D762" s="24" t="s">
        <v>35</v>
      </c>
      <c r="E762" s="24" t="s">
        <v>89</v>
      </c>
      <c r="F762" s="24" t="s">
        <v>44</v>
      </c>
      <c r="G762" s="31" t="n">
        <v>46194</v>
      </c>
      <c r="H762" s="24"/>
      <c r="I762" s="24"/>
      <c r="J762" s="24"/>
      <c r="K762" s="24" t="n">
        <v>6</v>
      </c>
      <c r="L762" s="24" t="str">
        <f aca="false">IF(J762&lt;&gt;"","Enrolled",IF(I762&lt;&gt;"","Admitted",IF(H762&lt;&gt;"","Applied",IF(G762&lt;&gt;"","Contacted","New"))))</f>
        <v>Contacted</v>
      </c>
      <c r="M762" s="32" t="n">
        <f aca="false">IF(G762="","",G762-B762)</f>
        <v>2</v>
      </c>
      <c r="N762" s="24" t="str">
        <f aca="false">IF(COUNTIF($A$2:A762,A762)&gt;1,"Duplicate ID",IF(C762="","Missing source",IF(OR(AND(G762&lt;&gt;"",G762&lt;B762),AND(H762&lt;&gt;"",H762&lt;B762),AND(I762&lt;&gt;"",I762&lt;H762),AND(J762&lt;&gt;"",J762&lt;I762)),"Date error","OK")))</f>
        <v>OK</v>
      </c>
    </row>
    <row r="763" customFormat="false" ht="15" hidden="false" customHeight="false" outlineLevel="0" collapsed="false">
      <c r="A763" s="24" t="s">
        <v>842</v>
      </c>
      <c r="B763" s="31" t="n">
        <v>46192</v>
      </c>
      <c r="C763" s="24" t="s">
        <v>24</v>
      </c>
      <c r="D763" s="24" t="s">
        <v>36</v>
      </c>
      <c r="E763" s="24" t="s">
        <v>89</v>
      </c>
      <c r="F763" s="24" t="s">
        <v>43</v>
      </c>
      <c r="G763" s="31" t="n">
        <v>46193</v>
      </c>
      <c r="H763" s="24"/>
      <c r="I763" s="24"/>
      <c r="J763" s="24"/>
      <c r="K763" s="24" t="n">
        <v>0</v>
      </c>
      <c r="L763" s="24" t="str">
        <f aca="false">IF(J763&lt;&gt;"","Enrolled",IF(I763&lt;&gt;"","Admitted",IF(H763&lt;&gt;"","Applied",IF(G763&lt;&gt;"","Contacted","New"))))</f>
        <v>Contacted</v>
      </c>
      <c r="M763" s="32" t="n">
        <f aca="false">IF(G763="","",G763-B763)</f>
        <v>1</v>
      </c>
      <c r="N763" s="24" t="str">
        <f aca="false">IF(COUNTIF($A$2:A763,A763)&gt;1,"Duplicate ID",IF(C763="","Missing source",IF(OR(AND(G763&lt;&gt;"",G763&lt;B763),AND(H763&lt;&gt;"",H763&lt;B763),AND(I763&lt;&gt;"",I763&lt;H763),AND(J763&lt;&gt;"",J763&lt;I763)),"Date error","OK")))</f>
        <v>OK</v>
      </c>
    </row>
    <row r="764" customFormat="false" ht="15" hidden="false" customHeight="false" outlineLevel="0" collapsed="false">
      <c r="A764" s="24" t="s">
        <v>843</v>
      </c>
      <c r="B764" s="31" t="n">
        <v>46193</v>
      </c>
      <c r="C764" s="24" t="s">
        <v>26</v>
      </c>
      <c r="D764" s="24" t="s">
        <v>35</v>
      </c>
      <c r="E764" s="24" t="s">
        <v>79</v>
      </c>
      <c r="F764" s="24" t="s">
        <v>45</v>
      </c>
      <c r="G764" s="31" t="n">
        <v>46194</v>
      </c>
      <c r="H764" s="24"/>
      <c r="I764" s="24"/>
      <c r="J764" s="24"/>
      <c r="K764" s="24" t="n">
        <v>2</v>
      </c>
      <c r="L764" s="24" t="str">
        <f aca="false">IF(J764&lt;&gt;"","Enrolled",IF(I764&lt;&gt;"","Admitted",IF(H764&lt;&gt;"","Applied",IF(G764&lt;&gt;"","Contacted","New"))))</f>
        <v>Contacted</v>
      </c>
      <c r="M764" s="32" t="n">
        <f aca="false">IF(G764="","",G764-B764)</f>
        <v>1</v>
      </c>
      <c r="N764" s="24" t="str">
        <f aca="false">IF(COUNTIF($A$2:A764,A764)&gt;1,"Duplicate ID",IF(C764="","Missing source",IF(OR(AND(G764&lt;&gt;"",G764&lt;B764),AND(H764&lt;&gt;"",H764&lt;B764),AND(I764&lt;&gt;"",I764&lt;H764),AND(J764&lt;&gt;"",J764&lt;I764)),"Date error","OK")))</f>
        <v>OK</v>
      </c>
    </row>
    <row r="765" customFormat="false" ht="15" hidden="false" customHeight="false" outlineLevel="0" collapsed="false">
      <c r="A765" s="24" t="s">
        <v>844</v>
      </c>
      <c r="B765" s="31" t="n">
        <v>46193</v>
      </c>
      <c r="C765" s="24" t="s">
        <v>26</v>
      </c>
      <c r="D765" s="24" t="s">
        <v>33</v>
      </c>
      <c r="E765" s="24" t="s">
        <v>94</v>
      </c>
      <c r="F765" s="24" t="s">
        <v>42</v>
      </c>
      <c r="G765" s="31" t="n">
        <v>46197</v>
      </c>
      <c r="H765" s="24"/>
      <c r="I765" s="24"/>
      <c r="J765" s="24"/>
      <c r="K765" s="24" t="n">
        <v>2</v>
      </c>
      <c r="L765" s="24" t="str">
        <f aca="false">IF(J765&lt;&gt;"","Enrolled",IF(I765&lt;&gt;"","Admitted",IF(H765&lt;&gt;"","Applied",IF(G765&lt;&gt;"","Contacted","New"))))</f>
        <v>Contacted</v>
      </c>
      <c r="M765" s="32" t="n">
        <f aca="false">IF(G765="","",G765-B765)</f>
        <v>4</v>
      </c>
      <c r="N765" s="24" t="str">
        <f aca="false">IF(COUNTIF($A$2:A765,A765)&gt;1,"Duplicate ID",IF(C765="","Missing source",IF(OR(AND(G765&lt;&gt;"",G765&lt;B765),AND(H765&lt;&gt;"",H765&lt;B765),AND(I765&lt;&gt;"",I765&lt;H765),AND(J765&lt;&gt;"",J765&lt;I765)),"Date error","OK")))</f>
        <v>OK</v>
      </c>
    </row>
    <row r="766" customFormat="false" ht="15" hidden="false" customHeight="false" outlineLevel="0" collapsed="false">
      <c r="A766" s="24" t="s">
        <v>845</v>
      </c>
      <c r="B766" s="31" t="n">
        <v>46193</v>
      </c>
      <c r="C766" s="24" t="s">
        <v>26</v>
      </c>
      <c r="D766" s="24" t="s">
        <v>34</v>
      </c>
      <c r="E766" s="24" t="s">
        <v>94</v>
      </c>
      <c r="F766" s="24" t="s">
        <v>43</v>
      </c>
      <c r="G766" s="31" t="n">
        <v>46194</v>
      </c>
      <c r="H766" s="31" t="n">
        <v>46209</v>
      </c>
      <c r="I766" s="31" t="n">
        <v>46219</v>
      </c>
      <c r="J766" s="31" t="n">
        <v>46244</v>
      </c>
      <c r="K766" s="24" t="n">
        <v>4</v>
      </c>
      <c r="L766" s="24" t="str">
        <f aca="false">IF(J766&lt;&gt;"","Enrolled",IF(I766&lt;&gt;"","Admitted",IF(H766&lt;&gt;"","Applied",IF(G766&lt;&gt;"","Contacted","New"))))</f>
        <v>Enrolled</v>
      </c>
      <c r="M766" s="32" t="n">
        <f aca="false">IF(G766="","",G766-B766)</f>
        <v>1</v>
      </c>
      <c r="N766" s="24" t="str">
        <f aca="false">IF(COUNTIF($A$2:A766,A766)&gt;1,"Duplicate ID",IF(C766="","Missing source",IF(OR(AND(G766&lt;&gt;"",G766&lt;B766),AND(H766&lt;&gt;"",H766&lt;B766),AND(I766&lt;&gt;"",I766&lt;H766),AND(J766&lt;&gt;"",J766&lt;I766)),"Date error","OK")))</f>
        <v>OK</v>
      </c>
    </row>
    <row r="767" customFormat="false" ht="15" hidden="false" customHeight="false" outlineLevel="0" collapsed="false">
      <c r="A767" s="24" t="s">
        <v>846</v>
      </c>
      <c r="B767" s="31" t="n">
        <v>46193</v>
      </c>
      <c r="C767" s="24" t="s">
        <v>22</v>
      </c>
      <c r="D767" s="24" t="s">
        <v>35</v>
      </c>
      <c r="E767" s="24" t="s">
        <v>81</v>
      </c>
      <c r="F767" s="24" t="s">
        <v>44</v>
      </c>
      <c r="G767" s="31" t="n">
        <v>46195</v>
      </c>
      <c r="H767" s="31" t="n">
        <v>46214</v>
      </c>
      <c r="I767" s="31" t="n">
        <v>46227</v>
      </c>
      <c r="J767" s="31" t="n">
        <v>46234</v>
      </c>
      <c r="K767" s="24" t="n">
        <v>3</v>
      </c>
      <c r="L767" s="24" t="str">
        <f aca="false">IF(J767&lt;&gt;"","Enrolled",IF(I767&lt;&gt;"","Admitted",IF(H767&lt;&gt;"","Applied",IF(G767&lt;&gt;"","Contacted","New"))))</f>
        <v>Enrolled</v>
      </c>
      <c r="M767" s="32" t="n">
        <f aca="false">IF(G767="","",G767-B767)</f>
        <v>2</v>
      </c>
      <c r="N767" s="24" t="str">
        <f aca="false">IF(COUNTIF($A$2:A767,A767)&gt;1,"Duplicate ID",IF(C767="","Missing source",IF(OR(AND(G767&lt;&gt;"",G767&lt;B767),AND(H767&lt;&gt;"",H767&lt;B767),AND(I767&lt;&gt;"",I767&lt;H767),AND(J767&lt;&gt;"",J767&lt;I767)),"Date error","OK")))</f>
        <v>OK</v>
      </c>
    </row>
    <row r="768" customFormat="false" ht="15" hidden="false" customHeight="false" outlineLevel="0" collapsed="false">
      <c r="A768" s="24" t="s">
        <v>847</v>
      </c>
      <c r="B768" s="31" t="n">
        <v>46193</v>
      </c>
      <c r="C768" s="24" t="s">
        <v>21</v>
      </c>
      <c r="D768" s="24" t="s">
        <v>33</v>
      </c>
      <c r="E768" s="24" t="s">
        <v>94</v>
      </c>
      <c r="F768" s="24" t="s">
        <v>43</v>
      </c>
      <c r="G768" s="31" t="n">
        <v>46200</v>
      </c>
      <c r="H768" s="24"/>
      <c r="I768" s="24"/>
      <c r="J768" s="24"/>
      <c r="K768" s="24" t="n">
        <v>4</v>
      </c>
      <c r="L768" s="24" t="str">
        <f aca="false">IF(J768&lt;&gt;"","Enrolled",IF(I768&lt;&gt;"","Admitted",IF(H768&lt;&gt;"","Applied",IF(G768&lt;&gt;"","Contacted","New"))))</f>
        <v>Contacted</v>
      </c>
      <c r="M768" s="32" t="n">
        <f aca="false">IF(G768="","",G768-B768)</f>
        <v>7</v>
      </c>
      <c r="N768" s="24" t="str">
        <f aca="false">IF(COUNTIF($A$2:A768,A768)&gt;1,"Duplicate ID",IF(C768="","Missing source",IF(OR(AND(G768&lt;&gt;"",G768&lt;B768),AND(H768&lt;&gt;"",H768&lt;B768),AND(I768&lt;&gt;"",I768&lt;H768),AND(J768&lt;&gt;"",J768&lt;I768)),"Date error","OK")))</f>
        <v>OK</v>
      </c>
    </row>
    <row r="769" customFormat="false" ht="15" hidden="false" customHeight="false" outlineLevel="0" collapsed="false">
      <c r="A769" s="24" t="s">
        <v>848</v>
      </c>
      <c r="B769" s="31" t="n">
        <v>46193</v>
      </c>
      <c r="C769" s="24" t="s">
        <v>25</v>
      </c>
      <c r="D769" s="24" t="s">
        <v>35</v>
      </c>
      <c r="E769" s="24" t="s">
        <v>89</v>
      </c>
      <c r="F769" s="24" t="s">
        <v>42</v>
      </c>
      <c r="G769" s="31" t="n">
        <v>46195</v>
      </c>
      <c r="H769" s="24"/>
      <c r="I769" s="24"/>
      <c r="J769" s="24"/>
      <c r="K769" s="24" t="n">
        <v>0</v>
      </c>
      <c r="L769" s="24" t="str">
        <f aca="false">IF(J769&lt;&gt;"","Enrolled",IF(I769&lt;&gt;"","Admitted",IF(H769&lt;&gt;"","Applied",IF(G769&lt;&gt;"","Contacted","New"))))</f>
        <v>Contacted</v>
      </c>
      <c r="M769" s="32" t="n">
        <f aca="false">IF(G769="","",G769-B769)</f>
        <v>2</v>
      </c>
      <c r="N769" s="24" t="str">
        <f aca="false">IF(COUNTIF($A$2:A769,A769)&gt;1,"Duplicate ID",IF(C769="","Missing source",IF(OR(AND(G769&lt;&gt;"",G769&lt;B769),AND(H769&lt;&gt;"",H769&lt;B769),AND(I769&lt;&gt;"",I769&lt;H769),AND(J769&lt;&gt;"",J769&lt;I769)),"Date error","OK")))</f>
        <v>OK</v>
      </c>
    </row>
    <row r="770" customFormat="false" ht="15" hidden="false" customHeight="false" outlineLevel="0" collapsed="false">
      <c r="A770" s="24" t="s">
        <v>849</v>
      </c>
      <c r="B770" s="31" t="n">
        <v>46194</v>
      </c>
      <c r="C770" s="24" t="s">
        <v>25</v>
      </c>
      <c r="D770" s="24" t="s">
        <v>35</v>
      </c>
      <c r="E770" s="24" t="s">
        <v>89</v>
      </c>
      <c r="F770" s="24" t="s">
        <v>43</v>
      </c>
      <c r="G770" s="31" t="n">
        <v>46203</v>
      </c>
      <c r="H770" s="24"/>
      <c r="I770" s="24"/>
      <c r="J770" s="24"/>
      <c r="K770" s="24" t="n">
        <v>6</v>
      </c>
      <c r="L770" s="24" t="str">
        <f aca="false">IF(J770&lt;&gt;"","Enrolled",IF(I770&lt;&gt;"","Admitted",IF(H770&lt;&gt;"","Applied",IF(G770&lt;&gt;"","Contacted","New"))))</f>
        <v>Contacted</v>
      </c>
      <c r="M770" s="32" t="n">
        <f aca="false">IF(G770="","",G770-B770)</f>
        <v>9</v>
      </c>
      <c r="N770" s="24" t="str">
        <f aca="false">IF(COUNTIF($A$2:A770,A770)&gt;1,"Duplicate ID",IF(C770="","Missing source",IF(OR(AND(G770&lt;&gt;"",G770&lt;B770),AND(H770&lt;&gt;"",H770&lt;B770),AND(I770&lt;&gt;"",I770&lt;H770),AND(J770&lt;&gt;"",J770&lt;I770)),"Date error","OK")))</f>
        <v>OK</v>
      </c>
    </row>
    <row r="771" customFormat="false" ht="15" hidden="false" customHeight="false" outlineLevel="0" collapsed="false">
      <c r="A771" s="24" t="s">
        <v>850</v>
      </c>
      <c r="B771" s="31" t="n">
        <v>46194</v>
      </c>
      <c r="C771" s="24" t="s">
        <v>27</v>
      </c>
      <c r="D771" s="24" t="s">
        <v>34</v>
      </c>
      <c r="E771" s="24" t="s">
        <v>89</v>
      </c>
      <c r="F771" s="24" t="s">
        <v>43</v>
      </c>
      <c r="G771" s="31" t="n">
        <v>46198</v>
      </c>
      <c r="H771" s="24"/>
      <c r="I771" s="24"/>
      <c r="J771" s="24"/>
      <c r="K771" s="24" t="n">
        <v>3</v>
      </c>
      <c r="L771" s="24" t="str">
        <f aca="false">IF(J771&lt;&gt;"","Enrolled",IF(I771&lt;&gt;"","Admitted",IF(H771&lt;&gt;"","Applied",IF(G771&lt;&gt;"","Contacted","New"))))</f>
        <v>Contacted</v>
      </c>
      <c r="M771" s="32" t="n">
        <f aca="false">IF(G771="","",G771-B771)</f>
        <v>4</v>
      </c>
      <c r="N771" s="24" t="str">
        <f aca="false">IF(COUNTIF($A$2:A771,A771)&gt;1,"Duplicate ID",IF(C771="","Missing source",IF(OR(AND(G771&lt;&gt;"",G771&lt;B771),AND(H771&lt;&gt;"",H771&lt;B771),AND(I771&lt;&gt;"",I771&lt;H771),AND(J771&lt;&gt;"",J771&lt;I771)),"Date error","OK")))</f>
        <v>OK</v>
      </c>
    </row>
    <row r="772" customFormat="false" ht="15" hidden="false" customHeight="false" outlineLevel="0" collapsed="false">
      <c r="A772" s="24" t="s">
        <v>851</v>
      </c>
      <c r="B772" s="31" t="n">
        <v>46194</v>
      </c>
      <c r="C772" s="24" t="s">
        <v>25</v>
      </c>
      <c r="D772" s="24" t="s">
        <v>36</v>
      </c>
      <c r="E772" s="24" t="s">
        <v>94</v>
      </c>
      <c r="F772" s="24" t="s">
        <v>45</v>
      </c>
      <c r="G772" s="31" t="n">
        <v>46194</v>
      </c>
      <c r="H772" s="24"/>
      <c r="I772" s="24"/>
      <c r="J772" s="24"/>
      <c r="K772" s="24" t="n">
        <v>5</v>
      </c>
      <c r="L772" s="24" t="str">
        <f aca="false">IF(J772&lt;&gt;"","Enrolled",IF(I772&lt;&gt;"","Admitted",IF(H772&lt;&gt;"","Applied",IF(G772&lt;&gt;"","Contacted","New"))))</f>
        <v>Contacted</v>
      </c>
      <c r="M772" s="32" t="n">
        <f aca="false">IF(G772="","",G772-B772)</f>
        <v>0</v>
      </c>
      <c r="N772" s="24" t="str">
        <f aca="false">IF(COUNTIF($A$2:A772,A772)&gt;1,"Duplicate ID",IF(C772="","Missing source",IF(OR(AND(G772&lt;&gt;"",G772&lt;B772),AND(H772&lt;&gt;"",H772&lt;B772),AND(I772&lt;&gt;"",I772&lt;H772),AND(J772&lt;&gt;"",J772&lt;I772)),"Date error","OK")))</f>
        <v>OK</v>
      </c>
    </row>
    <row r="773" customFormat="false" ht="15" hidden="false" customHeight="false" outlineLevel="0" collapsed="false">
      <c r="A773" s="24" t="s">
        <v>852</v>
      </c>
      <c r="B773" s="31" t="n">
        <v>46194</v>
      </c>
      <c r="C773" s="24" t="s">
        <v>27</v>
      </c>
      <c r="D773" s="24" t="s">
        <v>33</v>
      </c>
      <c r="E773" s="24" t="s">
        <v>89</v>
      </c>
      <c r="F773" s="24" t="s">
        <v>44</v>
      </c>
      <c r="G773" s="31" t="n">
        <v>46196</v>
      </c>
      <c r="H773" s="24"/>
      <c r="I773" s="24"/>
      <c r="J773" s="24"/>
      <c r="K773" s="24" t="n">
        <v>2</v>
      </c>
      <c r="L773" s="24" t="str">
        <f aca="false">IF(J773&lt;&gt;"","Enrolled",IF(I773&lt;&gt;"","Admitted",IF(H773&lt;&gt;"","Applied",IF(G773&lt;&gt;"","Contacted","New"))))</f>
        <v>Contacted</v>
      </c>
      <c r="M773" s="32" t="n">
        <f aca="false">IF(G773="","",G773-B773)</f>
        <v>2</v>
      </c>
      <c r="N773" s="24" t="str">
        <f aca="false">IF(COUNTIF($A$2:A773,A773)&gt;1,"Duplicate ID",IF(C773="","Missing source",IF(OR(AND(G773&lt;&gt;"",G773&lt;B773),AND(H773&lt;&gt;"",H773&lt;B773),AND(I773&lt;&gt;"",I773&lt;H773),AND(J773&lt;&gt;"",J773&lt;I773)),"Date error","OK")))</f>
        <v>OK</v>
      </c>
    </row>
    <row r="774" customFormat="false" ht="15" hidden="false" customHeight="false" outlineLevel="0" collapsed="false">
      <c r="A774" s="24" t="s">
        <v>853</v>
      </c>
      <c r="B774" s="31" t="n">
        <v>46195</v>
      </c>
      <c r="C774" s="24" t="s">
        <v>26</v>
      </c>
      <c r="D774" s="24" t="s">
        <v>36</v>
      </c>
      <c r="E774" s="24" t="s">
        <v>94</v>
      </c>
      <c r="F774" s="24" t="s">
        <v>42</v>
      </c>
      <c r="G774" s="31" t="n">
        <v>46195</v>
      </c>
      <c r="H774" s="31" t="n">
        <v>46206</v>
      </c>
      <c r="I774" s="31" t="n">
        <v>46221</v>
      </c>
      <c r="J774" s="31" t="n">
        <v>46242</v>
      </c>
      <c r="K774" s="24" t="n">
        <v>2</v>
      </c>
      <c r="L774" s="24" t="str">
        <f aca="false">IF(J774&lt;&gt;"","Enrolled",IF(I774&lt;&gt;"","Admitted",IF(H774&lt;&gt;"","Applied",IF(G774&lt;&gt;"","Contacted","New"))))</f>
        <v>Enrolled</v>
      </c>
      <c r="M774" s="32" t="n">
        <f aca="false">IF(G774="","",G774-B774)</f>
        <v>0</v>
      </c>
      <c r="N774" s="24" t="str">
        <f aca="false">IF(COUNTIF($A$2:A774,A774)&gt;1,"Duplicate ID",IF(C774="","Missing source",IF(OR(AND(G774&lt;&gt;"",G774&lt;B774),AND(H774&lt;&gt;"",H774&lt;B774),AND(I774&lt;&gt;"",I774&lt;H774),AND(J774&lt;&gt;"",J774&lt;I774)),"Date error","OK")))</f>
        <v>OK</v>
      </c>
    </row>
    <row r="775" customFormat="false" ht="15" hidden="false" customHeight="false" outlineLevel="0" collapsed="false">
      <c r="A775" s="24" t="s">
        <v>854</v>
      </c>
      <c r="B775" s="31" t="n">
        <v>46195</v>
      </c>
      <c r="C775" s="24" t="s">
        <v>25</v>
      </c>
      <c r="D775" s="24" t="s">
        <v>33</v>
      </c>
      <c r="E775" s="24" t="s">
        <v>84</v>
      </c>
      <c r="F775" s="24" t="s">
        <v>41</v>
      </c>
      <c r="G775" s="31" t="n">
        <v>46197</v>
      </c>
      <c r="H775" s="24"/>
      <c r="I775" s="24"/>
      <c r="J775" s="24"/>
      <c r="K775" s="24" t="n">
        <v>2</v>
      </c>
      <c r="L775" s="24" t="str">
        <f aca="false">IF(J775&lt;&gt;"","Enrolled",IF(I775&lt;&gt;"","Admitted",IF(H775&lt;&gt;"","Applied",IF(G775&lt;&gt;"","Contacted","New"))))</f>
        <v>Contacted</v>
      </c>
      <c r="M775" s="32" t="n">
        <f aca="false">IF(G775="","",G775-B775)</f>
        <v>2</v>
      </c>
      <c r="N775" s="24" t="str">
        <f aca="false">IF(COUNTIF($A$2:A775,A775)&gt;1,"Duplicate ID",IF(C775="","Missing source",IF(OR(AND(G775&lt;&gt;"",G775&lt;B775),AND(H775&lt;&gt;"",H775&lt;B775),AND(I775&lt;&gt;"",I775&lt;H775),AND(J775&lt;&gt;"",J775&lt;I775)),"Date error","OK")))</f>
        <v>OK</v>
      </c>
    </row>
    <row r="776" customFormat="false" ht="15" hidden="false" customHeight="false" outlineLevel="0" collapsed="false">
      <c r="A776" s="24" t="s">
        <v>855</v>
      </c>
      <c r="B776" s="31" t="n">
        <v>46195</v>
      </c>
      <c r="C776" s="24" t="s">
        <v>25</v>
      </c>
      <c r="D776" s="24" t="s">
        <v>32</v>
      </c>
      <c r="E776" s="24" t="s">
        <v>81</v>
      </c>
      <c r="F776" s="24" t="s">
        <v>41</v>
      </c>
      <c r="G776" s="31" t="n">
        <v>46196</v>
      </c>
      <c r="H776" s="24"/>
      <c r="I776" s="24"/>
      <c r="J776" s="24"/>
      <c r="K776" s="24" t="n">
        <v>2</v>
      </c>
      <c r="L776" s="24" t="str">
        <f aca="false">IF(J776&lt;&gt;"","Enrolled",IF(I776&lt;&gt;"","Admitted",IF(H776&lt;&gt;"","Applied",IF(G776&lt;&gt;"","Contacted","New"))))</f>
        <v>Contacted</v>
      </c>
      <c r="M776" s="32" t="n">
        <f aca="false">IF(G776="","",G776-B776)</f>
        <v>1</v>
      </c>
      <c r="N776" s="24" t="str">
        <f aca="false">IF(COUNTIF($A$2:A776,A776)&gt;1,"Duplicate ID",IF(C776="","Missing source",IF(OR(AND(G776&lt;&gt;"",G776&lt;B776),AND(H776&lt;&gt;"",H776&lt;B776),AND(I776&lt;&gt;"",I776&lt;H776),AND(J776&lt;&gt;"",J776&lt;I776)),"Date error","OK")))</f>
        <v>OK</v>
      </c>
    </row>
    <row r="777" customFormat="false" ht="15" hidden="false" customHeight="false" outlineLevel="0" collapsed="false">
      <c r="A777" s="24" t="s">
        <v>856</v>
      </c>
      <c r="B777" s="31" t="n">
        <v>46195</v>
      </c>
      <c r="C777" s="24" t="s">
        <v>25</v>
      </c>
      <c r="D777" s="24" t="s">
        <v>32</v>
      </c>
      <c r="E777" s="24" t="s">
        <v>94</v>
      </c>
      <c r="F777" s="24" t="s">
        <v>41</v>
      </c>
      <c r="G777" s="31" t="n">
        <v>46195</v>
      </c>
      <c r="H777" s="24"/>
      <c r="I777" s="24"/>
      <c r="J777" s="24"/>
      <c r="K777" s="24" t="n">
        <v>1</v>
      </c>
      <c r="L777" s="24" t="str">
        <f aca="false">IF(J777&lt;&gt;"","Enrolled",IF(I777&lt;&gt;"","Admitted",IF(H777&lt;&gt;"","Applied",IF(G777&lt;&gt;"","Contacted","New"))))</f>
        <v>Contacted</v>
      </c>
      <c r="M777" s="32" t="n">
        <f aca="false">IF(G777="","",G777-B777)</f>
        <v>0</v>
      </c>
      <c r="N777" s="24" t="str">
        <f aca="false">IF(COUNTIF($A$2:A777,A777)&gt;1,"Duplicate ID",IF(C777="","Missing source",IF(OR(AND(G777&lt;&gt;"",G777&lt;B777),AND(H777&lt;&gt;"",H777&lt;B777),AND(I777&lt;&gt;"",I777&lt;H777),AND(J777&lt;&gt;"",J777&lt;I777)),"Date error","OK")))</f>
        <v>OK</v>
      </c>
    </row>
    <row r="778" customFormat="false" ht="15" hidden="false" customHeight="false" outlineLevel="0" collapsed="false">
      <c r="A778" s="24" t="s">
        <v>857</v>
      </c>
      <c r="B778" s="31" t="n">
        <v>46195</v>
      </c>
      <c r="C778" s="24" t="s">
        <v>23</v>
      </c>
      <c r="D778" s="24" t="s">
        <v>33</v>
      </c>
      <c r="E778" s="24" t="s">
        <v>79</v>
      </c>
      <c r="F778" s="24" t="s">
        <v>41</v>
      </c>
      <c r="G778" s="31" t="n">
        <v>46197</v>
      </c>
      <c r="H778" s="24"/>
      <c r="I778" s="24"/>
      <c r="J778" s="24"/>
      <c r="K778" s="24" t="n">
        <v>4</v>
      </c>
      <c r="L778" s="24" t="str">
        <f aca="false">IF(J778&lt;&gt;"","Enrolled",IF(I778&lt;&gt;"","Admitted",IF(H778&lt;&gt;"","Applied",IF(G778&lt;&gt;"","Contacted","New"))))</f>
        <v>Contacted</v>
      </c>
      <c r="M778" s="32" t="n">
        <f aca="false">IF(G778="","",G778-B778)</f>
        <v>2</v>
      </c>
      <c r="N778" s="24" t="str">
        <f aca="false">IF(COUNTIF($A$2:A778,A778)&gt;1,"Duplicate ID",IF(C778="","Missing source",IF(OR(AND(G778&lt;&gt;"",G778&lt;B778),AND(H778&lt;&gt;"",H778&lt;B778),AND(I778&lt;&gt;"",I778&lt;H778),AND(J778&lt;&gt;"",J778&lt;I778)),"Date error","OK")))</f>
        <v>OK</v>
      </c>
    </row>
    <row r="779" customFormat="false" ht="15" hidden="false" customHeight="false" outlineLevel="0" collapsed="false">
      <c r="A779" s="24" t="s">
        <v>858</v>
      </c>
      <c r="B779" s="31" t="n">
        <v>46195</v>
      </c>
      <c r="C779" s="24" t="s">
        <v>25</v>
      </c>
      <c r="D779" s="24" t="s">
        <v>32</v>
      </c>
      <c r="E779" s="24" t="s">
        <v>94</v>
      </c>
      <c r="F779" s="24" t="s">
        <v>40</v>
      </c>
      <c r="G779" s="31" t="n">
        <v>46195</v>
      </c>
      <c r="H779" s="24"/>
      <c r="I779" s="24"/>
      <c r="J779" s="24"/>
      <c r="K779" s="24" t="n">
        <v>3</v>
      </c>
      <c r="L779" s="24" t="str">
        <f aca="false">IF(J779&lt;&gt;"","Enrolled",IF(I779&lt;&gt;"","Admitted",IF(H779&lt;&gt;"","Applied",IF(G779&lt;&gt;"","Contacted","New"))))</f>
        <v>Contacted</v>
      </c>
      <c r="M779" s="32" t="n">
        <f aca="false">IF(G779="","",G779-B779)</f>
        <v>0</v>
      </c>
      <c r="N779" s="24" t="str">
        <f aca="false">IF(COUNTIF($A$2:A779,A779)&gt;1,"Duplicate ID",IF(C779="","Missing source",IF(OR(AND(G779&lt;&gt;"",G779&lt;B779),AND(H779&lt;&gt;"",H779&lt;B779),AND(I779&lt;&gt;"",I779&lt;H779),AND(J779&lt;&gt;"",J779&lt;I779)),"Date error","OK")))</f>
        <v>OK</v>
      </c>
    </row>
    <row r="780" customFormat="false" ht="15" hidden="false" customHeight="false" outlineLevel="0" collapsed="false">
      <c r="A780" s="24" t="s">
        <v>859</v>
      </c>
      <c r="B780" s="31" t="n">
        <v>46195</v>
      </c>
      <c r="C780" s="24" t="s">
        <v>27</v>
      </c>
      <c r="D780" s="24" t="s">
        <v>36</v>
      </c>
      <c r="E780" s="24" t="s">
        <v>89</v>
      </c>
      <c r="F780" s="24" t="s">
        <v>42</v>
      </c>
      <c r="G780" s="31" t="n">
        <v>46196</v>
      </c>
      <c r="H780" s="24"/>
      <c r="I780" s="24"/>
      <c r="J780" s="24"/>
      <c r="K780" s="24" t="n">
        <v>1</v>
      </c>
      <c r="L780" s="24" t="str">
        <f aca="false">IF(J780&lt;&gt;"","Enrolled",IF(I780&lt;&gt;"","Admitted",IF(H780&lt;&gt;"","Applied",IF(G780&lt;&gt;"","Contacted","New"))))</f>
        <v>Contacted</v>
      </c>
      <c r="M780" s="32" t="n">
        <f aca="false">IF(G780="","",G780-B780)</f>
        <v>1</v>
      </c>
      <c r="N780" s="24" t="str">
        <f aca="false">IF(COUNTIF($A$2:A780,A780)&gt;1,"Duplicate ID",IF(C780="","Missing source",IF(OR(AND(G780&lt;&gt;"",G780&lt;B780),AND(H780&lt;&gt;"",H780&lt;B780),AND(I780&lt;&gt;"",I780&lt;H780),AND(J780&lt;&gt;"",J780&lt;I780)),"Date error","OK")))</f>
        <v>OK</v>
      </c>
    </row>
    <row r="781" customFormat="false" ht="15" hidden="false" customHeight="false" outlineLevel="0" collapsed="false">
      <c r="A781" s="24" t="s">
        <v>860</v>
      </c>
      <c r="B781" s="31" t="n">
        <v>46195</v>
      </c>
      <c r="C781" s="24" t="s">
        <v>26</v>
      </c>
      <c r="D781" s="24" t="s">
        <v>33</v>
      </c>
      <c r="E781" s="24" t="s">
        <v>89</v>
      </c>
      <c r="F781" s="24" t="s">
        <v>45</v>
      </c>
      <c r="G781" s="31" t="n">
        <v>46196</v>
      </c>
      <c r="H781" s="24"/>
      <c r="I781" s="24"/>
      <c r="J781" s="24"/>
      <c r="K781" s="24" t="n">
        <v>0</v>
      </c>
      <c r="L781" s="24" t="str">
        <f aca="false">IF(J781&lt;&gt;"","Enrolled",IF(I781&lt;&gt;"","Admitted",IF(H781&lt;&gt;"","Applied",IF(G781&lt;&gt;"","Contacted","New"))))</f>
        <v>Contacted</v>
      </c>
      <c r="M781" s="32" t="n">
        <f aca="false">IF(G781="","",G781-B781)</f>
        <v>1</v>
      </c>
      <c r="N781" s="24" t="str">
        <f aca="false">IF(COUNTIF($A$2:A781,A781)&gt;1,"Duplicate ID",IF(C781="","Missing source",IF(OR(AND(G781&lt;&gt;"",G781&lt;B781),AND(H781&lt;&gt;"",H781&lt;B781),AND(I781&lt;&gt;"",I781&lt;H781),AND(J781&lt;&gt;"",J781&lt;I781)),"Date error","OK")))</f>
        <v>OK</v>
      </c>
    </row>
    <row r="782" customFormat="false" ht="15" hidden="false" customHeight="false" outlineLevel="0" collapsed="false">
      <c r="A782" s="24" t="s">
        <v>861</v>
      </c>
      <c r="B782" s="31" t="n">
        <v>46195</v>
      </c>
      <c r="C782" s="24" t="s">
        <v>27</v>
      </c>
      <c r="D782" s="24" t="s">
        <v>35</v>
      </c>
      <c r="E782" s="24" t="s">
        <v>94</v>
      </c>
      <c r="F782" s="24" t="s">
        <v>44</v>
      </c>
      <c r="G782" s="31" t="n">
        <v>46205</v>
      </c>
      <c r="H782" s="24"/>
      <c r="I782" s="24"/>
      <c r="J782" s="24"/>
      <c r="K782" s="24" t="n">
        <v>3</v>
      </c>
      <c r="L782" s="24" t="str">
        <f aca="false">IF(J782&lt;&gt;"","Enrolled",IF(I782&lt;&gt;"","Admitted",IF(H782&lt;&gt;"","Applied",IF(G782&lt;&gt;"","Contacted","New"))))</f>
        <v>Contacted</v>
      </c>
      <c r="M782" s="32" t="n">
        <f aca="false">IF(G782="","",G782-B782)</f>
        <v>10</v>
      </c>
      <c r="N782" s="24" t="str">
        <f aca="false">IF(COUNTIF($A$2:A782,A782)&gt;1,"Duplicate ID",IF(C782="","Missing source",IF(OR(AND(G782&lt;&gt;"",G782&lt;B782),AND(H782&lt;&gt;"",H782&lt;B782),AND(I782&lt;&gt;"",I782&lt;H782),AND(J782&lt;&gt;"",J782&lt;I782)),"Date error","OK")))</f>
        <v>OK</v>
      </c>
    </row>
    <row r="783" customFormat="false" ht="15" hidden="false" customHeight="false" outlineLevel="0" collapsed="false">
      <c r="A783" s="24" t="s">
        <v>862</v>
      </c>
      <c r="B783" s="31" t="n">
        <v>46195</v>
      </c>
      <c r="C783" s="24" t="s">
        <v>26</v>
      </c>
      <c r="D783" s="24" t="s">
        <v>36</v>
      </c>
      <c r="E783" s="24" t="s">
        <v>84</v>
      </c>
      <c r="F783" s="24" t="s">
        <v>43</v>
      </c>
      <c r="G783" s="31" t="n">
        <v>46197</v>
      </c>
      <c r="H783" s="24"/>
      <c r="I783" s="24"/>
      <c r="J783" s="24"/>
      <c r="K783" s="24" t="n">
        <v>2</v>
      </c>
      <c r="L783" s="24" t="str">
        <f aca="false">IF(J783&lt;&gt;"","Enrolled",IF(I783&lt;&gt;"","Admitted",IF(H783&lt;&gt;"","Applied",IF(G783&lt;&gt;"","Contacted","New"))))</f>
        <v>Contacted</v>
      </c>
      <c r="M783" s="32" t="n">
        <f aca="false">IF(G783="","",G783-B783)</f>
        <v>2</v>
      </c>
      <c r="N783" s="24" t="str">
        <f aca="false">IF(COUNTIF($A$2:A783,A783)&gt;1,"Duplicate ID",IF(C783="","Missing source",IF(OR(AND(G783&lt;&gt;"",G783&lt;B783),AND(H783&lt;&gt;"",H783&lt;B783),AND(I783&lt;&gt;"",I783&lt;H783),AND(J783&lt;&gt;"",J783&lt;I783)),"Date error","OK")))</f>
        <v>OK</v>
      </c>
    </row>
    <row r="784" customFormat="false" ht="15" hidden="false" customHeight="false" outlineLevel="0" collapsed="false">
      <c r="A784" s="24" t="s">
        <v>863</v>
      </c>
      <c r="B784" s="31" t="n">
        <v>46195</v>
      </c>
      <c r="C784" s="24" t="s">
        <v>23</v>
      </c>
      <c r="D784" s="24" t="s">
        <v>36</v>
      </c>
      <c r="E784" s="24" t="s">
        <v>79</v>
      </c>
      <c r="F784" s="24" t="s">
        <v>41</v>
      </c>
      <c r="G784" s="31" t="n">
        <v>46197</v>
      </c>
      <c r="H784" s="24"/>
      <c r="I784" s="24"/>
      <c r="J784" s="24"/>
      <c r="K784" s="24" t="n">
        <v>2</v>
      </c>
      <c r="L784" s="24" t="str">
        <f aca="false">IF(J784&lt;&gt;"","Enrolled",IF(I784&lt;&gt;"","Admitted",IF(H784&lt;&gt;"","Applied",IF(G784&lt;&gt;"","Contacted","New"))))</f>
        <v>Contacted</v>
      </c>
      <c r="M784" s="32" t="n">
        <f aca="false">IF(G784="","",G784-B784)</f>
        <v>2</v>
      </c>
      <c r="N784" s="24" t="str">
        <f aca="false">IF(COUNTIF($A$2:A784,A784)&gt;1,"Duplicate ID",IF(C784="","Missing source",IF(OR(AND(G784&lt;&gt;"",G784&lt;B784),AND(H784&lt;&gt;"",H784&lt;B784),AND(I784&lt;&gt;"",I784&lt;H784),AND(J784&lt;&gt;"",J784&lt;I784)),"Date error","OK")))</f>
        <v>OK</v>
      </c>
    </row>
    <row r="785" customFormat="false" ht="15" hidden="false" customHeight="false" outlineLevel="0" collapsed="false">
      <c r="A785" s="24" t="s">
        <v>864</v>
      </c>
      <c r="B785" s="31" t="n">
        <v>46195</v>
      </c>
      <c r="C785" s="24" t="s">
        <v>26</v>
      </c>
      <c r="D785" s="24" t="s">
        <v>33</v>
      </c>
      <c r="E785" s="24" t="s">
        <v>79</v>
      </c>
      <c r="F785" s="24" t="s">
        <v>44</v>
      </c>
      <c r="G785" s="31" t="n">
        <v>46197</v>
      </c>
      <c r="H785" s="24"/>
      <c r="I785" s="24"/>
      <c r="J785" s="24"/>
      <c r="K785" s="24" t="n">
        <v>3</v>
      </c>
      <c r="L785" s="24" t="str">
        <f aca="false">IF(J785&lt;&gt;"","Enrolled",IF(I785&lt;&gt;"","Admitted",IF(H785&lt;&gt;"","Applied",IF(G785&lt;&gt;"","Contacted","New"))))</f>
        <v>Contacted</v>
      </c>
      <c r="M785" s="32" t="n">
        <f aca="false">IF(G785="","",G785-B785)</f>
        <v>2</v>
      </c>
      <c r="N785" s="24" t="str">
        <f aca="false">IF(COUNTIF($A$2:A785,A785)&gt;1,"Duplicate ID",IF(C785="","Missing source",IF(OR(AND(G785&lt;&gt;"",G785&lt;B785),AND(H785&lt;&gt;"",H785&lt;B785),AND(I785&lt;&gt;"",I785&lt;H785),AND(J785&lt;&gt;"",J785&lt;I785)),"Date error","OK")))</f>
        <v>OK</v>
      </c>
    </row>
    <row r="786" customFormat="false" ht="15" hidden="false" customHeight="false" outlineLevel="0" collapsed="false">
      <c r="A786" s="24" t="s">
        <v>865</v>
      </c>
      <c r="B786" s="31" t="n">
        <v>46195</v>
      </c>
      <c r="C786" s="24" t="s">
        <v>26</v>
      </c>
      <c r="D786" s="24" t="s">
        <v>36</v>
      </c>
      <c r="E786" s="24" t="s">
        <v>79</v>
      </c>
      <c r="F786" s="24" t="s">
        <v>43</v>
      </c>
      <c r="G786" s="31" t="n">
        <v>46195</v>
      </c>
      <c r="H786" s="31" t="n">
        <v>46200</v>
      </c>
      <c r="I786" s="31" t="n">
        <v>46212</v>
      </c>
      <c r="J786" s="24"/>
      <c r="K786" s="24" t="n">
        <v>2</v>
      </c>
      <c r="L786" s="24" t="str">
        <f aca="false">IF(J786&lt;&gt;"","Enrolled",IF(I786&lt;&gt;"","Admitted",IF(H786&lt;&gt;"","Applied",IF(G786&lt;&gt;"","Contacted","New"))))</f>
        <v>Admitted</v>
      </c>
      <c r="M786" s="32" t="n">
        <f aca="false">IF(G786="","",G786-B786)</f>
        <v>0</v>
      </c>
      <c r="N786" s="24" t="str">
        <f aca="false">IF(COUNTIF($A$2:A786,A786)&gt;1,"Duplicate ID",IF(C786="","Missing source",IF(OR(AND(G786&lt;&gt;"",G786&lt;B786),AND(H786&lt;&gt;"",H786&lt;B786),AND(I786&lt;&gt;"",I786&lt;H786),AND(J786&lt;&gt;"",J786&lt;I786)),"Date error","OK")))</f>
        <v>OK</v>
      </c>
    </row>
    <row r="787" customFormat="false" ht="15" hidden="false" customHeight="false" outlineLevel="0" collapsed="false">
      <c r="A787" s="24" t="s">
        <v>866</v>
      </c>
      <c r="B787" s="31" t="n">
        <v>46196</v>
      </c>
      <c r="C787" s="24" t="s">
        <v>23</v>
      </c>
      <c r="D787" s="24" t="s">
        <v>36</v>
      </c>
      <c r="E787" s="24" t="s">
        <v>79</v>
      </c>
      <c r="F787" s="24" t="s">
        <v>40</v>
      </c>
      <c r="G787" s="31" t="n">
        <v>46196</v>
      </c>
      <c r="H787" s="31" t="n">
        <v>46209</v>
      </c>
      <c r="I787" s="31" t="n">
        <v>46215</v>
      </c>
      <c r="J787" s="24"/>
      <c r="K787" s="24" t="n">
        <v>5</v>
      </c>
      <c r="L787" s="24" t="str">
        <f aca="false">IF(J787&lt;&gt;"","Enrolled",IF(I787&lt;&gt;"","Admitted",IF(H787&lt;&gt;"","Applied",IF(G787&lt;&gt;"","Contacted","New"))))</f>
        <v>Admitted</v>
      </c>
      <c r="M787" s="32" t="n">
        <f aca="false">IF(G787="","",G787-B787)</f>
        <v>0</v>
      </c>
      <c r="N787" s="24" t="str">
        <f aca="false">IF(COUNTIF($A$2:A787,A787)&gt;1,"Duplicate ID",IF(C787="","Missing source",IF(OR(AND(G787&lt;&gt;"",G787&lt;B787),AND(H787&lt;&gt;"",H787&lt;B787),AND(I787&lt;&gt;"",I787&lt;H787),AND(J787&lt;&gt;"",J787&lt;I787)),"Date error","OK")))</f>
        <v>OK</v>
      </c>
    </row>
    <row r="788" customFormat="false" ht="15" hidden="false" customHeight="false" outlineLevel="0" collapsed="false">
      <c r="A788" s="24" t="s">
        <v>867</v>
      </c>
      <c r="B788" s="31" t="n">
        <v>46196</v>
      </c>
      <c r="C788" s="24" t="s">
        <v>23</v>
      </c>
      <c r="D788" s="24" t="s">
        <v>33</v>
      </c>
      <c r="E788" s="24" t="s">
        <v>84</v>
      </c>
      <c r="F788" s="24" t="s">
        <v>43</v>
      </c>
      <c r="G788" s="31" t="n">
        <v>46198</v>
      </c>
      <c r="H788" s="31" t="n">
        <v>46214</v>
      </c>
      <c r="I788" s="24"/>
      <c r="J788" s="24"/>
      <c r="K788" s="24" t="n">
        <v>1</v>
      </c>
      <c r="L788" s="24" t="str">
        <f aca="false">IF(J788&lt;&gt;"","Enrolled",IF(I788&lt;&gt;"","Admitted",IF(H788&lt;&gt;"","Applied",IF(G788&lt;&gt;"","Contacted","New"))))</f>
        <v>Applied</v>
      </c>
      <c r="M788" s="32" t="n">
        <f aca="false">IF(G788="","",G788-B788)</f>
        <v>2</v>
      </c>
      <c r="N788" s="24" t="str">
        <f aca="false">IF(COUNTIF($A$2:A788,A788)&gt;1,"Duplicate ID",IF(C788="","Missing source",IF(OR(AND(G788&lt;&gt;"",G788&lt;B788),AND(H788&lt;&gt;"",H788&lt;B788),AND(I788&lt;&gt;"",I788&lt;H788),AND(J788&lt;&gt;"",J788&lt;I788)),"Date error","OK")))</f>
        <v>OK</v>
      </c>
    </row>
    <row r="789" customFormat="false" ht="15" hidden="false" customHeight="false" outlineLevel="0" collapsed="false">
      <c r="A789" s="24" t="s">
        <v>868</v>
      </c>
      <c r="B789" s="31" t="n">
        <v>46196</v>
      </c>
      <c r="C789" s="24" t="s">
        <v>26</v>
      </c>
      <c r="D789" s="24" t="s">
        <v>33</v>
      </c>
      <c r="E789" s="24" t="s">
        <v>94</v>
      </c>
      <c r="F789" s="24" t="s">
        <v>41</v>
      </c>
      <c r="G789" s="31" t="n">
        <v>46196</v>
      </c>
      <c r="H789" s="24"/>
      <c r="I789" s="24"/>
      <c r="J789" s="24"/>
      <c r="K789" s="24" t="n">
        <v>2</v>
      </c>
      <c r="L789" s="24" t="str">
        <f aca="false">IF(J789&lt;&gt;"","Enrolled",IF(I789&lt;&gt;"","Admitted",IF(H789&lt;&gt;"","Applied",IF(G789&lt;&gt;"","Contacted","New"))))</f>
        <v>Contacted</v>
      </c>
      <c r="M789" s="32" t="n">
        <f aca="false">IF(G789="","",G789-B789)</f>
        <v>0</v>
      </c>
      <c r="N789" s="24" t="str">
        <f aca="false">IF(COUNTIF($A$2:A789,A789)&gt;1,"Duplicate ID",IF(C789="","Missing source",IF(OR(AND(G789&lt;&gt;"",G789&lt;B789),AND(H789&lt;&gt;"",H789&lt;B789),AND(I789&lt;&gt;"",I789&lt;H789),AND(J789&lt;&gt;"",J789&lt;I789)),"Date error","OK")))</f>
        <v>OK</v>
      </c>
    </row>
    <row r="790" customFormat="false" ht="15" hidden="false" customHeight="false" outlineLevel="0" collapsed="false">
      <c r="A790" s="24" t="s">
        <v>869</v>
      </c>
      <c r="B790" s="31" t="n">
        <v>46196</v>
      </c>
      <c r="C790" s="24" t="s">
        <v>26</v>
      </c>
      <c r="D790" s="24" t="s">
        <v>32</v>
      </c>
      <c r="E790" s="24" t="s">
        <v>79</v>
      </c>
      <c r="F790" s="24" t="s">
        <v>43</v>
      </c>
      <c r="G790" s="31" t="n">
        <v>46196</v>
      </c>
      <c r="H790" s="24"/>
      <c r="I790" s="24"/>
      <c r="J790" s="24"/>
      <c r="K790" s="24" t="n">
        <v>1</v>
      </c>
      <c r="L790" s="24" t="str">
        <f aca="false">IF(J790&lt;&gt;"","Enrolled",IF(I790&lt;&gt;"","Admitted",IF(H790&lt;&gt;"","Applied",IF(G790&lt;&gt;"","Contacted","New"))))</f>
        <v>Contacted</v>
      </c>
      <c r="M790" s="32" t="n">
        <f aca="false">IF(G790="","",G790-B790)</f>
        <v>0</v>
      </c>
      <c r="N790" s="24" t="str">
        <f aca="false">IF(COUNTIF($A$2:A790,A790)&gt;1,"Duplicate ID",IF(C790="","Missing source",IF(OR(AND(G790&lt;&gt;"",G790&lt;B790),AND(H790&lt;&gt;"",H790&lt;B790),AND(I790&lt;&gt;"",I790&lt;H790),AND(J790&lt;&gt;"",J790&lt;I790)),"Date error","OK")))</f>
        <v>OK</v>
      </c>
    </row>
    <row r="791" customFormat="false" ht="15" hidden="false" customHeight="false" outlineLevel="0" collapsed="false">
      <c r="A791" s="24" t="s">
        <v>870</v>
      </c>
      <c r="B791" s="31" t="n">
        <v>46196</v>
      </c>
      <c r="C791" s="24" t="s">
        <v>27</v>
      </c>
      <c r="D791" s="24" t="s">
        <v>32</v>
      </c>
      <c r="E791" s="24" t="s">
        <v>79</v>
      </c>
      <c r="F791" s="24" t="s">
        <v>44</v>
      </c>
      <c r="G791" s="31" t="n">
        <v>46196</v>
      </c>
      <c r="H791" s="24"/>
      <c r="I791" s="24"/>
      <c r="J791" s="24"/>
      <c r="K791" s="24" t="n">
        <v>4</v>
      </c>
      <c r="L791" s="24" t="str">
        <f aca="false">IF(J791&lt;&gt;"","Enrolled",IF(I791&lt;&gt;"","Admitted",IF(H791&lt;&gt;"","Applied",IF(G791&lt;&gt;"","Contacted","New"))))</f>
        <v>Contacted</v>
      </c>
      <c r="M791" s="32" t="n">
        <f aca="false">IF(G791="","",G791-B791)</f>
        <v>0</v>
      </c>
      <c r="N791" s="24" t="str">
        <f aca="false">IF(COUNTIF($A$2:A791,A791)&gt;1,"Duplicate ID",IF(C791="","Missing source",IF(OR(AND(G791&lt;&gt;"",G791&lt;B791),AND(H791&lt;&gt;"",H791&lt;B791),AND(I791&lt;&gt;"",I791&lt;H791),AND(J791&lt;&gt;"",J791&lt;I791)),"Date error","OK")))</f>
        <v>OK</v>
      </c>
    </row>
    <row r="792" customFormat="false" ht="15" hidden="false" customHeight="false" outlineLevel="0" collapsed="false">
      <c r="A792" s="24" t="s">
        <v>871</v>
      </c>
      <c r="B792" s="31" t="n">
        <v>46196</v>
      </c>
      <c r="C792" s="24" t="s">
        <v>22</v>
      </c>
      <c r="D792" s="24" t="s">
        <v>36</v>
      </c>
      <c r="E792" s="24" t="s">
        <v>94</v>
      </c>
      <c r="F792" s="24" t="s">
        <v>45</v>
      </c>
      <c r="G792" s="31" t="n">
        <v>46202</v>
      </c>
      <c r="H792" s="31" t="n">
        <v>46215</v>
      </c>
      <c r="I792" s="31" t="n">
        <v>46224</v>
      </c>
      <c r="J792" s="31" t="n">
        <v>46253</v>
      </c>
      <c r="K792" s="24" t="n">
        <v>4</v>
      </c>
      <c r="L792" s="24" t="str">
        <f aca="false">IF(J792&lt;&gt;"","Enrolled",IF(I792&lt;&gt;"","Admitted",IF(H792&lt;&gt;"","Applied",IF(G792&lt;&gt;"","Contacted","New"))))</f>
        <v>Enrolled</v>
      </c>
      <c r="M792" s="32" t="n">
        <f aca="false">IF(G792="","",G792-B792)</f>
        <v>6</v>
      </c>
      <c r="N792" s="24" t="str">
        <f aca="false">IF(COUNTIF($A$2:A792,A792)&gt;1,"Duplicate ID",IF(C792="","Missing source",IF(OR(AND(G792&lt;&gt;"",G792&lt;B792),AND(H792&lt;&gt;"",H792&lt;B792),AND(I792&lt;&gt;"",I792&lt;H792),AND(J792&lt;&gt;"",J792&lt;I792)),"Date error","OK")))</f>
        <v>OK</v>
      </c>
    </row>
    <row r="793" customFormat="false" ht="15" hidden="false" customHeight="false" outlineLevel="0" collapsed="false">
      <c r="A793" s="24" t="s">
        <v>872</v>
      </c>
      <c r="B793" s="31" t="n">
        <v>46196</v>
      </c>
      <c r="C793" s="24" t="s">
        <v>26</v>
      </c>
      <c r="D793" s="24" t="s">
        <v>33</v>
      </c>
      <c r="E793" s="24" t="s">
        <v>94</v>
      </c>
      <c r="F793" s="24" t="s">
        <v>42</v>
      </c>
      <c r="G793" s="31" t="n">
        <v>46197</v>
      </c>
      <c r="H793" s="24"/>
      <c r="I793" s="24"/>
      <c r="J793" s="24"/>
      <c r="K793" s="24" t="n">
        <v>2</v>
      </c>
      <c r="L793" s="24" t="str">
        <f aca="false">IF(J793&lt;&gt;"","Enrolled",IF(I793&lt;&gt;"","Admitted",IF(H793&lt;&gt;"","Applied",IF(G793&lt;&gt;"","Contacted","New"))))</f>
        <v>Contacted</v>
      </c>
      <c r="M793" s="32" t="n">
        <f aca="false">IF(G793="","",G793-B793)</f>
        <v>1</v>
      </c>
      <c r="N793" s="24" t="str">
        <f aca="false">IF(COUNTIF($A$2:A793,A793)&gt;1,"Duplicate ID",IF(C793="","Missing source",IF(OR(AND(G793&lt;&gt;"",G793&lt;B793),AND(H793&lt;&gt;"",H793&lt;B793),AND(I793&lt;&gt;"",I793&lt;H793),AND(J793&lt;&gt;"",J793&lt;I793)),"Date error","OK")))</f>
        <v>OK</v>
      </c>
    </row>
    <row r="794" customFormat="false" ht="15" hidden="false" customHeight="false" outlineLevel="0" collapsed="false">
      <c r="A794" s="24" t="s">
        <v>873</v>
      </c>
      <c r="B794" s="31" t="n">
        <v>46196</v>
      </c>
      <c r="C794" s="24" t="s">
        <v>22</v>
      </c>
      <c r="D794" s="24" t="s">
        <v>32</v>
      </c>
      <c r="E794" s="24" t="s">
        <v>81</v>
      </c>
      <c r="F794" s="24" t="s">
        <v>45</v>
      </c>
      <c r="G794" s="31" t="n">
        <v>46197</v>
      </c>
      <c r="H794" s="31" t="n">
        <v>46202</v>
      </c>
      <c r="I794" s="24"/>
      <c r="J794" s="24"/>
      <c r="K794" s="24" t="n">
        <v>5</v>
      </c>
      <c r="L794" s="24" t="str">
        <f aca="false">IF(J794&lt;&gt;"","Enrolled",IF(I794&lt;&gt;"","Admitted",IF(H794&lt;&gt;"","Applied",IF(G794&lt;&gt;"","Contacted","New"))))</f>
        <v>Applied</v>
      </c>
      <c r="M794" s="32" t="n">
        <f aca="false">IF(G794="","",G794-B794)</f>
        <v>1</v>
      </c>
      <c r="N794" s="24" t="str">
        <f aca="false">IF(COUNTIF($A$2:A794,A794)&gt;1,"Duplicate ID",IF(C794="","Missing source",IF(OR(AND(G794&lt;&gt;"",G794&lt;B794),AND(H794&lt;&gt;"",H794&lt;B794),AND(I794&lt;&gt;"",I794&lt;H794),AND(J794&lt;&gt;"",J794&lt;I794)),"Date error","OK")))</f>
        <v>OK</v>
      </c>
    </row>
    <row r="795" customFormat="false" ht="15" hidden="false" customHeight="false" outlineLevel="0" collapsed="false">
      <c r="A795" s="24" t="s">
        <v>874</v>
      </c>
      <c r="B795" s="31" t="n">
        <v>46197</v>
      </c>
      <c r="C795" s="24" t="s">
        <v>27</v>
      </c>
      <c r="D795" s="24" t="s">
        <v>32</v>
      </c>
      <c r="E795" s="24" t="s">
        <v>94</v>
      </c>
      <c r="F795" s="24" t="s">
        <v>41</v>
      </c>
      <c r="G795" s="24"/>
      <c r="H795" s="24"/>
      <c r="I795" s="24"/>
      <c r="J795" s="24"/>
      <c r="K795" s="24" t="n">
        <v>0</v>
      </c>
      <c r="L795" s="24" t="str">
        <f aca="false">IF(J795&lt;&gt;"","Enrolled",IF(I795&lt;&gt;"","Admitted",IF(H795&lt;&gt;"","Applied",IF(G795&lt;&gt;"","Contacted","New"))))</f>
        <v>New</v>
      </c>
      <c r="M795" s="32" t="str">
        <f aca="false">IF(G795="","",G795-B795)</f>
        <v/>
      </c>
      <c r="N795" s="24" t="str">
        <f aca="false">IF(COUNTIF($A$2:A795,A795)&gt;1,"Duplicate ID",IF(C795="","Missing source",IF(OR(AND(G795&lt;&gt;"",G795&lt;B795),AND(H795&lt;&gt;"",H795&lt;B795),AND(I795&lt;&gt;"",I795&lt;H795),AND(J795&lt;&gt;"",J795&lt;I795)),"Date error","OK")))</f>
        <v>OK</v>
      </c>
    </row>
    <row r="796" customFormat="false" ht="15" hidden="false" customHeight="false" outlineLevel="0" collapsed="false">
      <c r="A796" s="24" t="s">
        <v>875</v>
      </c>
      <c r="B796" s="31" t="n">
        <v>46197</v>
      </c>
      <c r="C796" s="24" t="s">
        <v>26</v>
      </c>
      <c r="D796" s="24" t="s">
        <v>33</v>
      </c>
      <c r="E796" s="24" t="s">
        <v>84</v>
      </c>
      <c r="F796" s="24" t="s">
        <v>43</v>
      </c>
      <c r="G796" s="31" t="n">
        <v>46199</v>
      </c>
      <c r="H796" s="31" t="n">
        <v>46216</v>
      </c>
      <c r="I796" s="31" t="n">
        <v>46227</v>
      </c>
      <c r="J796" s="24"/>
      <c r="K796" s="24" t="n">
        <v>3</v>
      </c>
      <c r="L796" s="24" t="str">
        <f aca="false">IF(J796&lt;&gt;"","Enrolled",IF(I796&lt;&gt;"","Admitted",IF(H796&lt;&gt;"","Applied",IF(G796&lt;&gt;"","Contacted","New"))))</f>
        <v>Admitted</v>
      </c>
      <c r="M796" s="32" t="n">
        <f aca="false">IF(G796="","",G796-B796)</f>
        <v>2</v>
      </c>
      <c r="N796" s="24" t="str">
        <f aca="false">IF(COUNTIF($A$2:A796,A796)&gt;1,"Duplicate ID",IF(C796="","Missing source",IF(OR(AND(G796&lt;&gt;"",G796&lt;B796),AND(H796&lt;&gt;"",H796&lt;B796),AND(I796&lt;&gt;"",I796&lt;H796),AND(J796&lt;&gt;"",J796&lt;I796)),"Date error","OK")))</f>
        <v>OK</v>
      </c>
    </row>
    <row r="797" customFormat="false" ht="15" hidden="false" customHeight="false" outlineLevel="0" collapsed="false">
      <c r="A797" s="24" t="s">
        <v>876</v>
      </c>
      <c r="B797" s="31" t="n">
        <v>46197</v>
      </c>
      <c r="C797" s="24" t="s">
        <v>27</v>
      </c>
      <c r="D797" s="24" t="s">
        <v>36</v>
      </c>
      <c r="E797" s="24" t="s">
        <v>81</v>
      </c>
      <c r="F797" s="24" t="s">
        <v>43</v>
      </c>
      <c r="G797" s="31" t="n">
        <v>46203</v>
      </c>
      <c r="H797" s="24"/>
      <c r="I797" s="24"/>
      <c r="J797" s="24"/>
      <c r="K797" s="24" t="n">
        <v>4</v>
      </c>
      <c r="L797" s="24" t="str">
        <f aca="false">IF(J797&lt;&gt;"","Enrolled",IF(I797&lt;&gt;"","Admitted",IF(H797&lt;&gt;"","Applied",IF(G797&lt;&gt;"","Contacted","New"))))</f>
        <v>Contacted</v>
      </c>
      <c r="M797" s="32" t="n">
        <f aca="false">IF(G797="","",G797-B797)</f>
        <v>6</v>
      </c>
      <c r="N797" s="24" t="str">
        <f aca="false">IF(COUNTIF($A$2:A797,A797)&gt;1,"Duplicate ID",IF(C797="","Missing source",IF(OR(AND(G797&lt;&gt;"",G797&lt;B797),AND(H797&lt;&gt;"",H797&lt;B797),AND(I797&lt;&gt;"",I797&lt;H797),AND(J797&lt;&gt;"",J797&lt;I797)),"Date error","OK")))</f>
        <v>OK</v>
      </c>
    </row>
    <row r="798" customFormat="false" ht="15" hidden="false" customHeight="false" outlineLevel="0" collapsed="false">
      <c r="A798" s="24" t="s">
        <v>877</v>
      </c>
      <c r="B798" s="31" t="n">
        <v>46197</v>
      </c>
      <c r="C798" s="24" t="s">
        <v>27</v>
      </c>
      <c r="D798" s="24" t="s">
        <v>33</v>
      </c>
      <c r="E798" s="24" t="s">
        <v>89</v>
      </c>
      <c r="F798" s="24" t="s">
        <v>41</v>
      </c>
      <c r="G798" s="24"/>
      <c r="H798" s="24"/>
      <c r="I798" s="24"/>
      <c r="J798" s="24"/>
      <c r="K798" s="24" t="n">
        <v>0</v>
      </c>
      <c r="L798" s="24" t="str">
        <f aca="false">IF(J798&lt;&gt;"","Enrolled",IF(I798&lt;&gt;"","Admitted",IF(H798&lt;&gt;"","Applied",IF(G798&lt;&gt;"","Contacted","New"))))</f>
        <v>New</v>
      </c>
      <c r="M798" s="32" t="str">
        <f aca="false">IF(G798="","",G798-B798)</f>
        <v/>
      </c>
      <c r="N798" s="24" t="str">
        <f aca="false">IF(COUNTIF($A$2:A798,A798)&gt;1,"Duplicate ID",IF(C798="","Missing source",IF(OR(AND(G798&lt;&gt;"",G798&lt;B798),AND(H798&lt;&gt;"",H798&lt;B798),AND(I798&lt;&gt;"",I798&lt;H798),AND(J798&lt;&gt;"",J798&lt;I798)),"Date error","OK")))</f>
        <v>OK</v>
      </c>
    </row>
    <row r="799" customFormat="false" ht="15" hidden="false" customHeight="false" outlineLevel="0" collapsed="false">
      <c r="A799" s="24" t="s">
        <v>878</v>
      </c>
      <c r="B799" s="31" t="n">
        <v>46197</v>
      </c>
      <c r="C799" s="24" t="s">
        <v>26</v>
      </c>
      <c r="D799" s="24" t="s">
        <v>32</v>
      </c>
      <c r="E799" s="24" t="s">
        <v>89</v>
      </c>
      <c r="F799" s="24" t="s">
        <v>42</v>
      </c>
      <c r="G799" s="31" t="n">
        <v>46200</v>
      </c>
      <c r="H799" s="24"/>
      <c r="I799" s="24"/>
      <c r="J799" s="24"/>
      <c r="K799" s="24" t="n">
        <v>2</v>
      </c>
      <c r="L799" s="24" t="str">
        <f aca="false">IF(J799&lt;&gt;"","Enrolled",IF(I799&lt;&gt;"","Admitted",IF(H799&lt;&gt;"","Applied",IF(G799&lt;&gt;"","Contacted","New"))))</f>
        <v>Contacted</v>
      </c>
      <c r="M799" s="32" t="n">
        <f aca="false">IF(G799="","",G799-B799)</f>
        <v>3</v>
      </c>
      <c r="N799" s="24" t="str">
        <f aca="false">IF(COUNTIF($A$2:A799,A799)&gt;1,"Duplicate ID",IF(C799="","Missing source",IF(OR(AND(G799&lt;&gt;"",G799&lt;B799),AND(H799&lt;&gt;"",H799&lt;B799),AND(I799&lt;&gt;"",I799&lt;H799),AND(J799&lt;&gt;"",J799&lt;I799)),"Date error","OK")))</f>
        <v>OK</v>
      </c>
    </row>
    <row r="800" customFormat="false" ht="15" hidden="false" customHeight="false" outlineLevel="0" collapsed="false">
      <c r="A800" s="24" t="s">
        <v>879</v>
      </c>
      <c r="B800" s="31" t="n">
        <v>46197</v>
      </c>
      <c r="C800" s="24" t="s">
        <v>21</v>
      </c>
      <c r="D800" s="24" t="s">
        <v>34</v>
      </c>
      <c r="E800" s="24" t="s">
        <v>81</v>
      </c>
      <c r="F800" s="24" t="s">
        <v>45</v>
      </c>
      <c r="G800" s="31" t="n">
        <v>46197</v>
      </c>
      <c r="H800" s="24"/>
      <c r="I800" s="24"/>
      <c r="J800" s="24"/>
      <c r="K800" s="24" t="n">
        <v>8</v>
      </c>
      <c r="L800" s="24" t="str">
        <f aca="false">IF(J800&lt;&gt;"","Enrolled",IF(I800&lt;&gt;"","Admitted",IF(H800&lt;&gt;"","Applied",IF(G800&lt;&gt;"","Contacted","New"))))</f>
        <v>Contacted</v>
      </c>
      <c r="M800" s="32" t="n">
        <f aca="false">IF(G800="","",G800-B800)</f>
        <v>0</v>
      </c>
      <c r="N800" s="24" t="str">
        <f aca="false">IF(COUNTIF($A$2:A800,A800)&gt;1,"Duplicate ID",IF(C800="","Missing source",IF(OR(AND(G800&lt;&gt;"",G800&lt;B800),AND(H800&lt;&gt;"",H800&lt;B800),AND(I800&lt;&gt;"",I800&lt;H800),AND(J800&lt;&gt;"",J800&lt;I800)),"Date error","OK")))</f>
        <v>OK</v>
      </c>
    </row>
    <row r="801" customFormat="false" ht="15" hidden="false" customHeight="false" outlineLevel="0" collapsed="false">
      <c r="A801" s="24" t="s">
        <v>880</v>
      </c>
      <c r="B801" s="31" t="n">
        <v>46197</v>
      </c>
      <c r="C801" s="24" t="s">
        <v>25</v>
      </c>
      <c r="D801" s="24" t="s">
        <v>33</v>
      </c>
      <c r="E801" s="24" t="s">
        <v>89</v>
      </c>
      <c r="F801" s="24" t="s">
        <v>40</v>
      </c>
      <c r="G801" s="31" t="n">
        <v>46198</v>
      </c>
      <c r="H801" s="31" t="n">
        <v>46202</v>
      </c>
      <c r="I801" s="31" t="n">
        <v>46213</v>
      </c>
      <c r="J801" s="31" t="n">
        <v>46222</v>
      </c>
      <c r="K801" s="24" t="n">
        <v>1</v>
      </c>
      <c r="L801" s="24" t="str">
        <f aca="false">IF(J801&lt;&gt;"","Enrolled",IF(I801&lt;&gt;"","Admitted",IF(H801&lt;&gt;"","Applied",IF(G801&lt;&gt;"","Contacted","New"))))</f>
        <v>Enrolled</v>
      </c>
      <c r="M801" s="32" t="n">
        <f aca="false">IF(G801="","",G801-B801)</f>
        <v>1</v>
      </c>
      <c r="N801" s="24" t="str">
        <f aca="false">IF(COUNTIF($A$2:A801,A801)&gt;1,"Duplicate ID",IF(C801="","Missing source",IF(OR(AND(G801&lt;&gt;"",G801&lt;B801),AND(H801&lt;&gt;"",H801&lt;B801),AND(I801&lt;&gt;"",I801&lt;H801),AND(J801&lt;&gt;"",J801&lt;I801)),"Date error","OK")))</f>
        <v>OK</v>
      </c>
    </row>
    <row r="802" customFormat="false" ht="15" hidden="false" customHeight="false" outlineLevel="0" collapsed="false">
      <c r="A802" s="24" t="s">
        <v>881</v>
      </c>
      <c r="B802" s="31" t="n">
        <v>46197</v>
      </c>
      <c r="C802" s="24" t="s">
        <v>26</v>
      </c>
      <c r="D802" s="24" t="s">
        <v>36</v>
      </c>
      <c r="E802" s="24" t="s">
        <v>89</v>
      </c>
      <c r="F802" s="24" t="s">
        <v>41</v>
      </c>
      <c r="G802" s="31" t="n">
        <v>46197</v>
      </c>
      <c r="H802" s="24"/>
      <c r="I802" s="24"/>
      <c r="J802" s="24"/>
      <c r="K802" s="24" t="n">
        <v>2</v>
      </c>
      <c r="L802" s="24" t="str">
        <f aca="false">IF(J802&lt;&gt;"","Enrolled",IF(I802&lt;&gt;"","Admitted",IF(H802&lt;&gt;"","Applied",IF(G802&lt;&gt;"","Contacted","New"))))</f>
        <v>Contacted</v>
      </c>
      <c r="M802" s="32" t="n">
        <f aca="false">IF(G802="","",G802-B802)</f>
        <v>0</v>
      </c>
      <c r="N802" s="24" t="str">
        <f aca="false">IF(COUNTIF($A$2:A802,A802)&gt;1,"Duplicate ID",IF(C802="","Missing source",IF(OR(AND(G802&lt;&gt;"",G802&lt;B802),AND(H802&lt;&gt;"",H802&lt;B802),AND(I802&lt;&gt;"",I802&lt;H802),AND(J802&lt;&gt;"",J802&lt;I802)),"Date error","OK")))</f>
        <v>OK</v>
      </c>
    </row>
    <row r="803" customFormat="false" ht="15" hidden="false" customHeight="false" outlineLevel="0" collapsed="false">
      <c r="A803" s="24" t="s">
        <v>882</v>
      </c>
      <c r="B803" s="31" t="n">
        <v>46198</v>
      </c>
      <c r="C803" s="24" t="s">
        <v>23</v>
      </c>
      <c r="D803" s="24" t="s">
        <v>36</v>
      </c>
      <c r="E803" s="24" t="s">
        <v>94</v>
      </c>
      <c r="F803" s="24" t="s">
        <v>41</v>
      </c>
      <c r="G803" s="31" t="n">
        <v>46198</v>
      </c>
      <c r="H803" s="31" t="n">
        <v>46215</v>
      </c>
      <c r="I803" s="24"/>
      <c r="J803" s="24"/>
      <c r="K803" s="24" t="n">
        <v>3</v>
      </c>
      <c r="L803" s="24" t="str">
        <f aca="false">IF(J803&lt;&gt;"","Enrolled",IF(I803&lt;&gt;"","Admitted",IF(H803&lt;&gt;"","Applied",IF(G803&lt;&gt;"","Contacted","New"))))</f>
        <v>Applied</v>
      </c>
      <c r="M803" s="32" t="n">
        <f aca="false">IF(G803="","",G803-B803)</f>
        <v>0</v>
      </c>
      <c r="N803" s="24" t="str">
        <f aca="false">IF(COUNTIF($A$2:A803,A803)&gt;1,"Duplicate ID",IF(C803="","Missing source",IF(OR(AND(G803&lt;&gt;"",G803&lt;B803),AND(H803&lt;&gt;"",H803&lt;B803),AND(I803&lt;&gt;"",I803&lt;H803),AND(J803&lt;&gt;"",J803&lt;I803)),"Date error","OK")))</f>
        <v>OK</v>
      </c>
    </row>
    <row r="804" customFormat="false" ht="15" hidden="false" customHeight="false" outlineLevel="0" collapsed="false">
      <c r="A804" s="24" t="s">
        <v>883</v>
      </c>
      <c r="B804" s="31" t="n">
        <v>46198</v>
      </c>
      <c r="C804" s="24" t="s">
        <v>27</v>
      </c>
      <c r="D804" s="24" t="s">
        <v>33</v>
      </c>
      <c r="E804" s="24" t="s">
        <v>84</v>
      </c>
      <c r="F804" s="24" t="s">
        <v>45</v>
      </c>
      <c r="G804" s="31" t="n">
        <v>46201</v>
      </c>
      <c r="H804" s="31" t="n">
        <v>46225</v>
      </c>
      <c r="I804" s="31" t="n">
        <v>46230</v>
      </c>
      <c r="J804" s="31" t="n">
        <v>46264</v>
      </c>
      <c r="K804" s="24" t="n">
        <v>3</v>
      </c>
      <c r="L804" s="24" t="str">
        <f aca="false">IF(J804&lt;&gt;"","Enrolled",IF(I804&lt;&gt;"","Admitted",IF(H804&lt;&gt;"","Applied",IF(G804&lt;&gt;"","Contacted","New"))))</f>
        <v>Enrolled</v>
      </c>
      <c r="M804" s="32" t="n">
        <f aca="false">IF(G804="","",G804-B804)</f>
        <v>3</v>
      </c>
      <c r="N804" s="24" t="str">
        <f aca="false">IF(COUNTIF($A$2:A804,A804)&gt;1,"Duplicate ID",IF(C804="","Missing source",IF(OR(AND(G804&lt;&gt;"",G804&lt;B804),AND(H804&lt;&gt;"",H804&lt;B804),AND(I804&lt;&gt;"",I804&lt;H804),AND(J804&lt;&gt;"",J804&lt;I804)),"Date error","OK")))</f>
        <v>OK</v>
      </c>
    </row>
    <row r="805" customFormat="false" ht="15" hidden="false" customHeight="false" outlineLevel="0" collapsed="false">
      <c r="A805" s="24" t="s">
        <v>883</v>
      </c>
      <c r="B805" s="31" t="n">
        <v>46198</v>
      </c>
      <c r="C805" s="24" t="s">
        <v>27</v>
      </c>
      <c r="D805" s="24" t="s">
        <v>33</v>
      </c>
      <c r="E805" s="24" t="s">
        <v>84</v>
      </c>
      <c r="F805" s="24" t="s">
        <v>45</v>
      </c>
      <c r="G805" s="31" t="n">
        <v>46201</v>
      </c>
      <c r="H805" s="31" t="n">
        <v>46225</v>
      </c>
      <c r="I805" s="31" t="n">
        <v>46230</v>
      </c>
      <c r="J805" s="31" t="n">
        <v>46264</v>
      </c>
      <c r="K805" s="24" t="n">
        <v>3</v>
      </c>
      <c r="L805" s="24" t="str">
        <f aca="false">IF(J805&lt;&gt;"","Enrolled",IF(I805&lt;&gt;"","Admitted",IF(H805&lt;&gt;"","Applied",IF(G805&lt;&gt;"","Contacted","New"))))</f>
        <v>Enrolled</v>
      </c>
      <c r="M805" s="32" t="n">
        <f aca="false">IF(G805="","",G805-B805)</f>
        <v>3</v>
      </c>
      <c r="N805" s="24" t="str">
        <f aca="false">IF(COUNTIF($A$2:A805,A805)&gt;1,"Duplicate ID",IF(C805="","Missing source",IF(OR(AND(G805&lt;&gt;"",G805&lt;B805),AND(H805&lt;&gt;"",H805&lt;B805),AND(I805&lt;&gt;"",I805&lt;H805),AND(J805&lt;&gt;"",J805&lt;I805)),"Date error","OK")))</f>
        <v>Duplicate ID</v>
      </c>
    </row>
    <row r="806" customFormat="false" ht="15" hidden="false" customHeight="false" outlineLevel="0" collapsed="false">
      <c r="A806" s="24" t="s">
        <v>884</v>
      </c>
      <c r="B806" s="31" t="n">
        <v>46198</v>
      </c>
      <c r="C806" s="24" t="s">
        <v>23</v>
      </c>
      <c r="D806" s="24" t="s">
        <v>33</v>
      </c>
      <c r="E806" s="24" t="s">
        <v>89</v>
      </c>
      <c r="F806" s="24" t="s">
        <v>40</v>
      </c>
      <c r="G806" s="24"/>
      <c r="H806" s="24"/>
      <c r="I806" s="24"/>
      <c r="J806" s="24"/>
      <c r="K806" s="24" t="n">
        <v>0</v>
      </c>
      <c r="L806" s="24" t="str">
        <f aca="false">IF(J806&lt;&gt;"","Enrolled",IF(I806&lt;&gt;"","Admitted",IF(H806&lt;&gt;"","Applied",IF(G806&lt;&gt;"","Contacted","New"))))</f>
        <v>New</v>
      </c>
      <c r="M806" s="32" t="str">
        <f aca="false">IF(G806="","",G806-B806)</f>
        <v/>
      </c>
      <c r="N806" s="24" t="str">
        <f aca="false">IF(COUNTIF($A$2:A806,A806)&gt;1,"Duplicate ID",IF(C806="","Missing source",IF(OR(AND(G806&lt;&gt;"",G806&lt;B806),AND(H806&lt;&gt;"",H806&lt;B806),AND(I806&lt;&gt;"",I806&lt;H806),AND(J806&lt;&gt;"",J806&lt;I806)),"Date error","OK")))</f>
        <v>OK</v>
      </c>
    </row>
    <row r="807" customFormat="false" ht="15" hidden="false" customHeight="false" outlineLevel="0" collapsed="false">
      <c r="A807" s="24" t="s">
        <v>885</v>
      </c>
      <c r="B807" s="31" t="n">
        <v>46198</v>
      </c>
      <c r="C807" s="24" t="s">
        <v>24</v>
      </c>
      <c r="D807" s="24" t="s">
        <v>34</v>
      </c>
      <c r="E807" s="24" t="s">
        <v>94</v>
      </c>
      <c r="F807" s="24" t="s">
        <v>42</v>
      </c>
      <c r="G807" s="31" t="n">
        <v>46199</v>
      </c>
      <c r="H807" s="31" t="n">
        <v>46214</v>
      </c>
      <c r="I807" s="31" t="n">
        <v>46225</v>
      </c>
      <c r="J807" s="31" t="n">
        <v>46259</v>
      </c>
      <c r="K807" s="24" t="n">
        <v>1</v>
      </c>
      <c r="L807" s="24" t="str">
        <f aca="false">IF(J807&lt;&gt;"","Enrolled",IF(I807&lt;&gt;"","Admitted",IF(H807&lt;&gt;"","Applied",IF(G807&lt;&gt;"","Contacted","New"))))</f>
        <v>Enrolled</v>
      </c>
      <c r="M807" s="32" t="n">
        <f aca="false">IF(G807="","",G807-B807)</f>
        <v>1</v>
      </c>
      <c r="N807" s="24" t="str">
        <f aca="false">IF(COUNTIF($A$2:A807,A807)&gt;1,"Duplicate ID",IF(C807="","Missing source",IF(OR(AND(G807&lt;&gt;"",G807&lt;B807),AND(H807&lt;&gt;"",H807&lt;B807),AND(I807&lt;&gt;"",I807&lt;H807),AND(J807&lt;&gt;"",J807&lt;I807)),"Date error","OK")))</f>
        <v>OK</v>
      </c>
    </row>
    <row r="808" customFormat="false" ht="15" hidden="false" customHeight="false" outlineLevel="0" collapsed="false">
      <c r="A808" s="24" t="s">
        <v>886</v>
      </c>
      <c r="B808" s="31" t="n">
        <v>46199</v>
      </c>
      <c r="C808" s="24" t="s">
        <v>22</v>
      </c>
      <c r="D808" s="24" t="s">
        <v>33</v>
      </c>
      <c r="E808" s="24" t="s">
        <v>94</v>
      </c>
      <c r="F808" s="24" t="s">
        <v>41</v>
      </c>
      <c r="G808" s="31" t="n">
        <v>46202</v>
      </c>
      <c r="H808" s="24"/>
      <c r="I808" s="24"/>
      <c r="J808" s="24"/>
      <c r="K808" s="24" t="n">
        <v>5</v>
      </c>
      <c r="L808" s="24" t="str">
        <f aca="false">IF(J808&lt;&gt;"","Enrolled",IF(I808&lt;&gt;"","Admitted",IF(H808&lt;&gt;"","Applied",IF(G808&lt;&gt;"","Contacted","New"))))</f>
        <v>Contacted</v>
      </c>
      <c r="M808" s="32" t="n">
        <f aca="false">IF(G808="","",G808-B808)</f>
        <v>3</v>
      </c>
      <c r="N808" s="24" t="str">
        <f aca="false">IF(COUNTIF($A$2:A808,A808)&gt;1,"Duplicate ID",IF(C808="","Missing source",IF(OR(AND(G808&lt;&gt;"",G808&lt;B808),AND(H808&lt;&gt;"",H808&lt;B808),AND(I808&lt;&gt;"",I808&lt;H808),AND(J808&lt;&gt;"",J808&lt;I808)),"Date error","OK")))</f>
        <v>OK</v>
      </c>
    </row>
    <row r="809" customFormat="false" ht="15" hidden="false" customHeight="false" outlineLevel="0" collapsed="false">
      <c r="A809" s="24" t="s">
        <v>887</v>
      </c>
      <c r="B809" s="31" t="n">
        <v>46199</v>
      </c>
      <c r="C809" s="24" t="s">
        <v>26</v>
      </c>
      <c r="D809" s="24" t="s">
        <v>35</v>
      </c>
      <c r="E809" s="24" t="s">
        <v>79</v>
      </c>
      <c r="F809" s="24" t="s">
        <v>42</v>
      </c>
      <c r="G809" s="31" t="n">
        <v>46199</v>
      </c>
      <c r="H809" s="24"/>
      <c r="I809" s="24"/>
      <c r="J809" s="24"/>
      <c r="K809" s="24" t="n">
        <v>2</v>
      </c>
      <c r="L809" s="24" t="str">
        <f aca="false">IF(J809&lt;&gt;"","Enrolled",IF(I809&lt;&gt;"","Admitted",IF(H809&lt;&gt;"","Applied",IF(G809&lt;&gt;"","Contacted","New"))))</f>
        <v>Contacted</v>
      </c>
      <c r="M809" s="32" t="n">
        <f aca="false">IF(G809="","",G809-B809)</f>
        <v>0</v>
      </c>
      <c r="N809" s="24" t="str">
        <f aca="false">IF(COUNTIF($A$2:A809,A809)&gt;1,"Duplicate ID",IF(C809="","Missing source",IF(OR(AND(G809&lt;&gt;"",G809&lt;B809),AND(H809&lt;&gt;"",H809&lt;B809),AND(I809&lt;&gt;"",I809&lt;H809),AND(J809&lt;&gt;"",J809&lt;I809)),"Date error","OK")))</f>
        <v>OK</v>
      </c>
    </row>
    <row r="810" customFormat="false" ht="15" hidden="false" customHeight="false" outlineLevel="0" collapsed="false">
      <c r="A810" s="24" t="s">
        <v>888</v>
      </c>
      <c r="B810" s="31" t="n">
        <v>46199</v>
      </c>
      <c r="C810" s="24" t="s">
        <v>21</v>
      </c>
      <c r="D810" s="24" t="s">
        <v>33</v>
      </c>
      <c r="E810" s="24" t="s">
        <v>89</v>
      </c>
      <c r="F810" s="24" t="s">
        <v>44</v>
      </c>
      <c r="G810" s="31" t="n">
        <v>46202</v>
      </c>
      <c r="H810" s="31" t="n">
        <v>46216</v>
      </c>
      <c r="I810" s="31" t="n">
        <v>46225</v>
      </c>
      <c r="J810" s="24"/>
      <c r="K810" s="24" t="n">
        <v>3</v>
      </c>
      <c r="L810" s="24" t="str">
        <f aca="false">IF(J810&lt;&gt;"","Enrolled",IF(I810&lt;&gt;"","Admitted",IF(H810&lt;&gt;"","Applied",IF(G810&lt;&gt;"","Contacted","New"))))</f>
        <v>Admitted</v>
      </c>
      <c r="M810" s="32" t="n">
        <f aca="false">IF(G810="","",G810-B810)</f>
        <v>3</v>
      </c>
      <c r="N810" s="24" t="str">
        <f aca="false">IF(COUNTIF($A$2:A810,A810)&gt;1,"Duplicate ID",IF(C810="","Missing source",IF(OR(AND(G810&lt;&gt;"",G810&lt;B810),AND(H810&lt;&gt;"",H810&lt;B810),AND(I810&lt;&gt;"",I810&lt;H810),AND(J810&lt;&gt;"",J810&lt;I810)),"Date error","OK")))</f>
        <v>OK</v>
      </c>
    </row>
    <row r="811" customFormat="false" ht="15" hidden="false" customHeight="false" outlineLevel="0" collapsed="false">
      <c r="A811" s="24" t="s">
        <v>889</v>
      </c>
      <c r="B811" s="31" t="n">
        <v>46199</v>
      </c>
      <c r="C811" s="24" t="s">
        <v>22</v>
      </c>
      <c r="D811" s="24" t="s">
        <v>32</v>
      </c>
      <c r="E811" s="24" t="s">
        <v>89</v>
      </c>
      <c r="F811" s="24" t="s">
        <v>40</v>
      </c>
      <c r="G811" s="31" t="n">
        <v>46199</v>
      </c>
      <c r="H811" s="24"/>
      <c r="I811" s="24"/>
      <c r="J811" s="24"/>
      <c r="K811" s="24" t="n">
        <v>4</v>
      </c>
      <c r="L811" s="24" t="str">
        <f aca="false">IF(J811&lt;&gt;"","Enrolled",IF(I811&lt;&gt;"","Admitted",IF(H811&lt;&gt;"","Applied",IF(G811&lt;&gt;"","Contacted","New"))))</f>
        <v>Contacted</v>
      </c>
      <c r="M811" s="32" t="n">
        <f aca="false">IF(G811="","",G811-B811)</f>
        <v>0</v>
      </c>
      <c r="N811" s="24" t="str">
        <f aca="false">IF(COUNTIF($A$2:A811,A811)&gt;1,"Duplicate ID",IF(C811="","Missing source",IF(OR(AND(G811&lt;&gt;"",G811&lt;B811),AND(H811&lt;&gt;"",H811&lt;B811),AND(I811&lt;&gt;"",I811&lt;H811),AND(J811&lt;&gt;"",J811&lt;I811)),"Date error","OK")))</f>
        <v>OK</v>
      </c>
    </row>
    <row r="812" customFormat="false" ht="15" hidden="false" customHeight="false" outlineLevel="0" collapsed="false">
      <c r="A812" s="24" t="s">
        <v>890</v>
      </c>
      <c r="B812" s="31" t="n">
        <v>46199</v>
      </c>
      <c r="C812" s="24" t="s">
        <v>27</v>
      </c>
      <c r="D812" s="24" t="s">
        <v>33</v>
      </c>
      <c r="E812" s="24" t="s">
        <v>94</v>
      </c>
      <c r="F812" s="24" t="s">
        <v>40</v>
      </c>
      <c r="G812" s="31" t="n">
        <v>46199</v>
      </c>
      <c r="H812" s="24"/>
      <c r="I812" s="24"/>
      <c r="J812" s="24"/>
      <c r="K812" s="24" t="n">
        <v>5</v>
      </c>
      <c r="L812" s="24" t="str">
        <f aca="false">IF(J812&lt;&gt;"","Enrolled",IF(I812&lt;&gt;"","Admitted",IF(H812&lt;&gt;"","Applied",IF(G812&lt;&gt;"","Contacted","New"))))</f>
        <v>Contacted</v>
      </c>
      <c r="M812" s="32" t="n">
        <f aca="false">IF(G812="","",G812-B812)</f>
        <v>0</v>
      </c>
      <c r="N812" s="24" t="str">
        <f aca="false">IF(COUNTIF($A$2:A812,A812)&gt;1,"Duplicate ID",IF(C812="","Missing source",IF(OR(AND(G812&lt;&gt;"",G812&lt;B812),AND(H812&lt;&gt;"",H812&lt;B812),AND(I812&lt;&gt;"",I812&lt;H812),AND(J812&lt;&gt;"",J812&lt;I812)),"Date error","OK")))</f>
        <v>OK</v>
      </c>
    </row>
    <row r="813" customFormat="false" ht="15" hidden="false" customHeight="false" outlineLevel="0" collapsed="false">
      <c r="A813" s="24" t="s">
        <v>891</v>
      </c>
      <c r="B813" s="31" t="n">
        <v>46199</v>
      </c>
      <c r="C813" s="24" t="s">
        <v>23</v>
      </c>
      <c r="D813" s="24" t="s">
        <v>33</v>
      </c>
      <c r="E813" s="24" t="s">
        <v>89</v>
      </c>
      <c r="F813" s="24" t="s">
        <v>40</v>
      </c>
      <c r="G813" s="31" t="n">
        <v>46199</v>
      </c>
      <c r="H813" s="24"/>
      <c r="I813" s="24"/>
      <c r="J813" s="24"/>
      <c r="K813" s="24" t="n">
        <v>3</v>
      </c>
      <c r="L813" s="24" t="str">
        <f aca="false">IF(J813&lt;&gt;"","Enrolled",IF(I813&lt;&gt;"","Admitted",IF(H813&lt;&gt;"","Applied",IF(G813&lt;&gt;"","Contacted","New"))))</f>
        <v>Contacted</v>
      </c>
      <c r="M813" s="32" t="n">
        <f aca="false">IF(G813="","",G813-B813)</f>
        <v>0</v>
      </c>
      <c r="N813" s="24" t="str">
        <f aca="false">IF(COUNTIF($A$2:A813,A813)&gt;1,"Duplicate ID",IF(C813="","Missing source",IF(OR(AND(G813&lt;&gt;"",G813&lt;B813),AND(H813&lt;&gt;"",H813&lt;B813),AND(I813&lt;&gt;"",I813&lt;H813),AND(J813&lt;&gt;"",J813&lt;I813)),"Date error","OK")))</f>
        <v>OK</v>
      </c>
    </row>
    <row r="814" customFormat="false" ht="15" hidden="false" customHeight="false" outlineLevel="0" collapsed="false">
      <c r="A814" s="24" t="s">
        <v>892</v>
      </c>
      <c r="B814" s="31" t="n">
        <v>46199</v>
      </c>
      <c r="C814" s="24" t="s">
        <v>26</v>
      </c>
      <c r="D814" s="24" t="s">
        <v>32</v>
      </c>
      <c r="E814" s="24" t="s">
        <v>81</v>
      </c>
      <c r="F814" s="24" t="s">
        <v>44</v>
      </c>
      <c r="G814" s="31" t="n">
        <v>46199</v>
      </c>
      <c r="H814" s="24"/>
      <c r="I814" s="24"/>
      <c r="J814" s="24"/>
      <c r="K814" s="24" t="n">
        <v>5</v>
      </c>
      <c r="L814" s="24" t="str">
        <f aca="false">IF(J814&lt;&gt;"","Enrolled",IF(I814&lt;&gt;"","Admitted",IF(H814&lt;&gt;"","Applied",IF(G814&lt;&gt;"","Contacted","New"))))</f>
        <v>Contacted</v>
      </c>
      <c r="M814" s="32" t="n">
        <f aca="false">IF(G814="","",G814-B814)</f>
        <v>0</v>
      </c>
      <c r="N814" s="24" t="str">
        <f aca="false">IF(COUNTIF($A$2:A814,A814)&gt;1,"Duplicate ID",IF(C814="","Missing source",IF(OR(AND(G814&lt;&gt;"",G814&lt;B814),AND(H814&lt;&gt;"",H814&lt;B814),AND(I814&lt;&gt;"",I814&lt;H814),AND(J814&lt;&gt;"",J814&lt;I814)),"Date error","OK")))</f>
        <v>OK</v>
      </c>
    </row>
    <row r="815" customFormat="false" ht="15" hidden="false" customHeight="false" outlineLevel="0" collapsed="false">
      <c r="A815" s="24" t="s">
        <v>893</v>
      </c>
      <c r="B815" s="31" t="n">
        <v>46199</v>
      </c>
      <c r="C815" s="24" t="s">
        <v>21</v>
      </c>
      <c r="D815" s="24" t="s">
        <v>34</v>
      </c>
      <c r="E815" s="24" t="s">
        <v>84</v>
      </c>
      <c r="F815" s="24" t="s">
        <v>45</v>
      </c>
      <c r="G815" s="31" t="n">
        <v>46200</v>
      </c>
      <c r="H815" s="24"/>
      <c r="I815" s="24"/>
      <c r="J815" s="24"/>
      <c r="K815" s="24" t="n">
        <v>4</v>
      </c>
      <c r="L815" s="24" t="str">
        <f aca="false">IF(J815&lt;&gt;"","Enrolled",IF(I815&lt;&gt;"","Admitted",IF(H815&lt;&gt;"","Applied",IF(G815&lt;&gt;"","Contacted","New"))))</f>
        <v>Contacted</v>
      </c>
      <c r="M815" s="32" t="n">
        <f aca="false">IF(G815="","",G815-B815)</f>
        <v>1</v>
      </c>
      <c r="N815" s="24" t="str">
        <f aca="false">IF(COUNTIF($A$2:A815,A815)&gt;1,"Duplicate ID",IF(C815="","Missing source",IF(OR(AND(G815&lt;&gt;"",G815&lt;B815),AND(H815&lt;&gt;"",H815&lt;B815),AND(I815&lt;&gt;"",I815&lt;H815),AND(J815&lt;&gt;"",J815&lt;I815)),"Date error","OK")))</f>
        <v>OK</v>
      </c>
    </row>
    <row r="816" customFormat="false" ht="15" hidden="false" customHeight="false" outlineLevel="0" collapsed="false">
      <c r="A816" s="24" t="s">
        <v>894</v>
      </c>
      <c r="B816" s="31" t="n">
        <v>46200</v>
      </c>
      <c r="C816" s="24" t="s">
        <v>21</v>
      </c>
      <c r="D816" s="24" t="s">
        <v>36</v>
      </c>
      <c r="E816" s="24" t="s">
        <v>89</v>
      </c>
      <c r="F816" s="24" t="s">
        <v>43</v>
      </c>
      <c r="G816" s="31" t="n">
        <v>46201</v>
      </c>
      <c r="H816" s="31" t="n">
        <v>46219</v>
      </c>
      <c r="I816" s="31" t="n">
        <v>46227</v>
      </c>
      <c r="J816" s="31" t="n">
        <v>46256</v>
      </c>
      <c r="K816" s="24" t="n">
        <v>3</v>
      </c>
      <c r="L816" s="24" t="str">
        <f aca="false">IF(J816&lt;&gt;"","Enrolled",IF(I816&lt;&gt;"","Admitted",IF(H816&lt;&gt;"","Applied",IF(G816&lt;&gt;"","Contacted","New"))))</f>
        <v>Enrolled</v>
      </c>
      <c r="M816" s="32" t="n">
        <f aca="false">IF(G816="","",G816-B816)</f>
        <v>1</v>
      </c>
      <c r="N816" s="24" t="str">
        <f aca="false">IF(COUNTIF($A$2:A816,A816)&gt;1,"Duplicate ID",IF(C816="","Missing source",IF(OR(AND(G816&lt;&gt;"",G816&lt;B816),AND(H816&lt;&gt;"",H816&lt;B816),AND(I816&lt;&gt;"",I816&lt;H816),AND(J816&lt;&gt;"",J816&lt;I816)),"Date error","OK")))</f>
        <v>OK</v>
      </c>
    </row>
    <row r="817" customFormat="false" ht="15" hidden="false" customHeight="false" outlineLevel="0" collapsed="false">
      <c r="A817" s="24" t="s">
        <v>895</v>
      </c>
      <c r="B817" s="31" t="n">
        <v>46200</v>
      </c>
      <c r="C817" s="24" t="s">
        <v>24</v>
      </c>
      <c r="D817" s="24" t="s">
        <v>35</v>
      </c>
      <c r="E817" s="24" t="s">
        <v>79</v>
      </c>
      <c r="F817" s="24" t="s">
        <v>40</v>
      </c>
      <c r="G817" s="31" t="n">
        <v>46200</v>
      </c>
      <c r="H817" s="24"/>
      <c r="I817" s="24"/>
      <c r="J817" s="24"/>
      <c r="K817" s="24" t="n">
        <v>2</v>
      </c>
      <c r="L817" s="24" t="str">
        <f aca="false">IF(J817&lt;&gt;"","Enrolled",IF(I817&lt;&gt;"","Admitted",IF(H817&lt;&gt;"","Applied",IF(G817&lt;&gt;"","Contacted","New"))))</f>
        <v>Contacted</v>
      </c>
      <c r="M817" s="32" t="n">
        <f aca="false">IF(G817="","",G817-B817)</f>
        <v>0</v>
      </c>
      <c r="N817" s="24" t="str">
        <f aca="false">IF(COUNTIF($A$2:A817,A817)&gt;1,"Duplicate ID",IF(C817="","Missing source",IF(OR(AND(G817&lt;&gt;"",G817&lt;B817),AND(H817&lt;&gt;"",H817&lt;B817),AND(I817&lt;&gt;"",I817&lt;H817),AND(J817&lt;&gt;"",J817&lt;I817)),"Date error","OK")))</f>
        <v>OK</v>
      </c>
    </row>
    <row r="818" customFormat="false" ht="15" hidden="false" customHeight="false" outlineLevel="0" collapsed="false">
      <c r="A818" s="24" t="s">
        <v>896</v>
      </c>
      <c r="B818" s="31" t="n">
        <v>46200</v>
      </c>
      <c r="C818" s="24" t="s">
        <v>24</v>
      </c>
      <c r="D818" s="24" t="s">
        <v>32</v>
      </c>
      <c r="E818" s="24" t="s">
        <v>79</v>
      </c>
      <c r="F818" s="24" t="s">
        <v>42</v>
      </c>
      <c r="G818" s="31" t="n">
        <v>46200</v>
      </c>
      <c r="H818" s="24"/>
      <c r="I818" s="24"/>
      <c r="J818" s="24"/>
      <c r="K818" s="24" t="n">
        <v>1</v>
      </c>
      <c r="L818" s="24" t="str">
        <f aca="false">IF(J818&lt;&gt;"","Enrolled",IF(I818&lt;&gt;"","Admitted",IF(H818&lt;&gt;"","Applied",IF(G818&lt;&gt;"","Contacted","New"))))</f>
        <v>Contacted</v>
      </c>
      <c r="M818" s="32" t="n">
        <f aca="false">IF(G818="","",G818-B818)</f>
        <v>0</v>
      </c>
      <c r="N818" s="24" t="str">
        <f aca="false">IF(COUNTIF($A$2:A818,A818)&gt;1,"Duplicate ID",IF(C818="","Missing source",IF(OR(AND(G818&lt;&gt;"",G818&lt;B818),AND(H818&lt;&gt;"",H818&lt;B818),AND(I818&lt;&gt;"",I818&lt;H818),AND(J818&lt;&gt;"",J818&lt;I818)),"Date error","OK")))</f>
        <v>OK</v>
      </c>
    </row>
    <row r="819" customFormat="false" ht="15" hidden="false" customHeight="false" outlineLevel="0" collapsed="false">
      <c r="A819" s="24" t="s">
        <v>897</v>
      </c>
      <c r="B819" s="31" t="n">
        <v>46200</v>
      </c>
      <c r="C819" s="24" t="s">
        <v>25</v>
      </c>
      <c r="D819" s="24" t="s">
        <v>36</v>
      </c>
      <c r="E819" s="24" t="s">
        <v>94</v>
      </c>
      <c r="F819" s="24" t="s">
        <v>41</v>
      </c>
      <c r="G819" s="31" t="n">
        <v>46204</v>
      </c>
      <c r="H819" s="24"/>
      <c r="I819" s="24"/>
      <c r="J819" s="24"/>
      <c r="K819" s="24" t="n">
        <v>2</v>
      </c>
      <c r="L819" s="24" t="str">
        <f aca="false">IF(J819&lt;&gt;"","Enrolled",IF(I819&lt;&gt;"","Admitted",IF(H819&lt;&gt;"","Applied",IF(G819&lt;&gt;"","Contacted","New"))))</f>
        <v>Contacted</v>
      </c>
      <c r="M819" s="32" t="n">
        <f aca="false">IF(G819="","",G819-B819)</f>
        <v>4</v>
      </c>
      <c r="N819" s="24" t="str">
        <f aca="false">IF(COUNTIF($A$2:A819,A819)&gt;1,"Duplicate ID",IF(C819="","Missing source",IF(OR(AND(G819&lt;&gt;"",G819&lt;B819),AND(H819&lt;&gt;"",H819&lt;B819),AND(I819&lt;&gt;"",I819&lt;H819),AND(J819&lt;&gt;"",J819&lt;I819)),"Date error","OK")))</f>
        <v>OK</v>
      </c>
    </row>
    <row r="820" customFormat="false" ht="15" hidden="false" customHeight="false" outlineLevel="0" collapsed="false">
      <c r="A820" s="24" t="s">
        <v>898</v>
      </c>
      <c r="B820" s="31" t="n">
        <v>46200</v>
      </c>
      <c r="C820" s="24" t="s">
        <v>23</v>
      </c>
      <c r="D820" s="24" t="s">
        <v>35</v>
      </c>
      <c r="E820" s="24" t="s">
        <v>79</v>
      </c>
      <c r="F820" s="24" t="s">
        <v>41</v>
      </c>
      <c r="G820" s="31" t="n">
        <v>46203</v>
      </c>
      <c r="H820" s="24"/>
      <c r="I820" s="24"/>
      <c r="J820" s="24"/>
      <c r="K820" s="24" t="n">
        <v>5</v>
      </c>
      <c r="L820" s="24" t="str">
        <f aca="false">IF(J820&lt;&gt;"","Enrolled",IF(I820&lt;&gt;"","Admitted",IF(H820&lt;&gt;"","Applied",IF(G820&lt;&gt;"","Contacted","New"))))</f>
        <v>Contacted</v>
      </c>
      <c r="M820" s="32" t="n">
        <f aca="false">IF(G820="","",G820-B820)</f>
        <v>3</v>
      </c>
      <c r="N820" s="24" t="str">
        <f aca="false">IF(COUNTIF($A$2:A820,A820)&gt;1,"Duplicate ID",IF(C820="","Missing source",IF(OR(AND(G820&lt;&gt;"",G820&lt;B820),AND(H820&lt;&gt;"",H820&lt;B820),AND(I820&lt;&gt;"",I820&lt;H820),AND(J820&lt;&gt;"",J820&lt;I820)),"Date error","OK")))</f>
        <v>OK</v>
      </c>
    </row>
    <row r="821" customFormat="false" ht="15" hidden="false" customHeight="false" outlineLevel="0" collapsed="false">
      <c r="A821" s="24" t="s">
        <v>899</v>
      </c>
      <c r="B821" s="31" t="n">
        <v>46200</v>
      </c>
      <c r="C821" s="24" t="s">
        <v>21</v>
      </c>
      <c r="D821" s="24" t="s">
        <v>32</v>
      </c>
      <c r="E821" s="24" t="s">
        <v>94</v>
      </c>
      <c r="F821" s="24" t="s">
        <v>42</v>
      </c>
      <c r="G821" s="31" t="n">
        <v>46205</v>
      </c>
      <c r="H821" s="24"/>
      <c r="I821" s="24"/>
      <c r="J821" s="24"/>
      <c r="K821" s="24" t="n">
        <v>6</v>
      </c>
      <c r="L821" s="24" t="str">
        <f aca="false">IF(J821&lt;&gt;"","Enrolled",IF(I821&lt;&gt;"","Admitted",IF(H821&lt;&gt;"","Applied",IF(G821&lt;&gt;"","Contacted","New"))))</f>
        <v>Contacted</v>
      </c>
      <c r="M821" s="32" t="n">
        <f aca="false">IF(G821="","",G821-B821)</f>
        <v>5</v>
      </c>
      <c r="N821" s="24" t="str">
        <f aca="false">IF(COUNTIF($A$2:A821,A821)&gt;1,"Duplicate ID",IF(C821="","Missing source",IF(OR(AND(G821&lt;&gt;"",G821&lt;B821),AND(H821&lt;&gt;"",H821&lt;B821),AND(I821&lt;&gt;"",I821&lt;H821),AND(J821&lt;&gt;"",J821&lt;I821)),"Date error","OK")))</f>
        <v>OK</v>
      </c>
    </row>
    <row r="822" customFormat="false" ht="15" hidden="false" customHeight="false" outlineLevel="0" collapsed="false">
      <c r="A822" s="24" t="s">
        <v>900</v>
      </c>
      <c r="B822" s="31" t="n">
        <v>46200</v>
      </c>
      <c r="C822" s="24" t="s">
        <v>25</v>
      </c>
      <c r="D822" s="24" t="s">
        <v>32</v>
      </c>
      <c r="E822" s="24" t="s">
        <v>89</v>
      </c>
      <c r="F822" s="24" t="s">
        <v>43</v>
      </c>
      <c r="G822" s="31" t="n">
        <v>46206</v>
      </c>
      <c r="H822" s="24"/>
      <c r="I822" s="24"/>
      <c r="J822" s="24"/>
      <c r="K822" s="24" t="n">
        <v>1</v>
      </c>
      <c r="L822" s="24" t="str">
        <f aca="false">IF(J822&lt;&gt;"","Enrolled",IF(I822&lt;&gt;"","Admitted",IF(H822&lt;&gt;"","Applied",IF(G822&lt;&gt;"","Contacted","New"))))</f>
        <v>Contacted</v>
      </c>
      <c r="M822" s="32" t="n">
        <f aca="false">IF(G822="","",G822-B822)</f>
        <v>6</v>
      </c>
      <c r="N822" s="24" t="str">
        <f aca="false">IF(COUNTIF($A$2:A822,A822)&gt;1,"Duplicate ID",IF(C822="","Missing source",IF(OR(AND(G822&lt;&gt;"",G822&lt;B822),AND(H822&lt;&gt;"",H822&lt;B822),AND(I822&lt;&gt;"",I822&lt;H822),AND(J822&lt;&gt;"",J822&lt;I822)),"Date error","OK")))</f>
        <v>OK</v>
      </c>
    </row>
    <row r="823" customFormat="false" ht="15" hidden="false" customHeight="false" outlineLevel="0" collapsed="false">
      <c r="A823" s="24" t="s">
        <v>901</v>
      </c>
      <c r="B823" s="31" t="n">
        <v>46200</v>
      </c>
      <c r="C823" s="24" t="s">
        <v>25</v>
      </c>
      <c r="D823" s="24" t="s">
        <v>36</v>
      </c>
      <c r="E823" s="24" t="s">
        <v>89</v>
      </c>
      <c r="F823" s="24" t="s">
        <v>42</v>
      </c>
      <c r="G823" s="31" t="n">
        <v>46200</v>
      </c>
      <c r="H823" s="24"/>
      <c r="I823" s="24"/>
      <c r="J823" s="24"/>
      <c r="K823" s="24" t="n">
        <v>0</v>
      </c>
      <c r="L823" s="24" t="str">
        <f aca="false">IF(J823&lt;&gt;"","Enrolled",IF(I823&lt;&gt;"","Admitted",IF(H823&lt;&gt;"","Applied",IF(G823&lt;&gt;"","Contacted","New"))))</f>
        <v>Contacted</v>
      </c>
      <c r="M823" s="32" t="n">
        <f aca="false">IF(G823="","",G823-B823)</f>
        <v>0</v>
      </c>
      <c r="N823" s="24" t="str">
        <f aca="false">IF(COUNTIF($A$2:A823,A823)&gt;1,"Duplicate ID",IF(C823="","Missing source",IF(OR(AND(G823&lt;&gt;"",G823&lt;B823),AND(H823&lt;&gt;"",H823&lt;B823),AND(I823&lt;&gt;"",I823&lt;H823),AND(J823&lt;&gt;"",J823&lt;I823)),"Date error","OK")))</f>
        <v>OK</v>
      </c>
    </row>
    <row r="824" customFormat="false" ht="15" hidden="false" customHeight="false" outlineLevel="0" collapsed="false">
      <c r="A824" s="24" t="s">
        <v>902</v>
      </c>
      <c r="B824" s="31" t="n">
        <v>46200</v>
      </c>
      <c r="C824" s="24" t="s">
        <v>26</v>
      </c>
      <c r="D824" s="24" t="s">
        <v>36</v>
      </c>
      <c r="E824" s="24" t="s">
        <v>94</v>
      </c>
      <c r="F824" s="24" t="s">
        <v>42</v>
      </c>
      <c r="G824" s="31" t="n">
        <v>46201</v>
      </c>
      <c r="H824" s="31" t="n">
        <v>46212</v>
      </c>
      <c r="I824" s="31" t="n">
        <v>46219</v>
      </c>
      <c r="J824" s="31" t="n">
        <v>46254</v>
      </c>
      <c r="K824" s="24" t="n">
        <v>2</v>
      </c>
      <c r="L824" s="24" t="str">
        <f aca="false">IF(J824&lt;&gt;"","Enrolled",IF(I824&lt;&gt;"","Admitted",IF(H824&lt;&gt;"","Applied",IF(G824&lt;&gt;"","Contacted","New"))))</f>
        <v>Enrolled</v>
      </c>
      <c r="M824" s="32" t="n">
        <f aca="false">IF(G824="","",G824-B824)</f>
        <v>1</v>
      </c>
      <c r="N824" s="24" t="str">
        <f aca="false">IF(COUNTIF($A$2:A824,A824)&gt;1,"Duplicate ID",IF(C824="","Missing source",IF(OR(AND(G824&lt;&gt;"",G824&lt;B824),AND(H824&lt;&gt;"",H824&lt;B824),AND(I824&lt;&gt;"",I824&lt;H824),AND(J824&lt;&gt;"",J824&lt;I824)),"Date error","OK")))</f>
        <v>OK</v>
      </c>
    </row>
    <row r="825" customFormat="false" ht="15" hidden="false" customHeight="false" outlineLevel="0" collapsed="false">
      <c r="A825" s="24" t="s">
        <v>903</v>
      </c>
      <c r="B825" s="31" t="n">
        <v>46200</v>
      </c>
      <c r="C825" s="24" t="s">
        <v>24</v>
      </c>
      <c r="D825" s="24" t="s">
        <v>32</v>
      </c>
      <c r="E825" s="24" t="s">
        <v>89</v>
      </c>
      <c r="F825" s="24" t="s">
        <v>44</v>
      </c>
      <c r="G825" s="31" t="n">
        <v>46209</v>
      </c>
      <c r="H825" s="24"/>
      <c r="I825" s="24"/>
      <c r="J825" s="24"/>
      <c r="K825" s="24" t="n">
        <v>1</v>
      </c>
      <c r="L825" s="24" t="str">
        <f aca="false">IF(J825&lt;&gt;"","Enrolled",IF(I825&lt;&gt;"","Admitted",IF(H825&lt;&gt;"","Applied",IF(G825&lt;&gt;"","Contacted","New"))))</f>
        <v>Contacted</v>
      </c>
      <c r="M825" s="32" t="n">
        <f aca="false">IF(G825="","",G825-B825)</f>
        <v>9</v>
      </c>
      <c r="N825" s="24" t="str">
        <f aca="false">IF(COUNTIF($A$2:A825,A825)&gt;1,"Duplicate ID",IF(C825="","Missing source",IF(OR(AND(G825&lt;&gt;"",G825&lt;B825),AND(H825&lt;&gt;"",H825&lt;B825),AND(I825&lt;&gt;"",I825&lt;H825),AND(J825&lt;&gt;"",J825&lt;I825)),"Date error","OK")))</f>
        <v>OK</v>
      </c>
    </row>
    <row r="826" customFormat="false" ht="15" hidden="false" customHeight="false" outlineLevel="0" collapsed="false">
      <c r="A826" s="24" t="s">
        <v>904</v>
      </c>
      <c r="B826" s="31" t="n">
        <v>46201</v>
      </c>
      <c r="C826" s="24" t="s">
        <v>23</v>
      </c>
      <c r="D826" s="24" t="s">
        <v>32</v>
      </c>
      <c r="E826" s="24" t="s">
        <v>89</v>
      </c>
      <c r="F826" s="24" t="s">
        <v>40</v>
      </c>
      <c r="G826" s="31" t="n">
        <v>46201</v>
      </c>
      <c r="H826" s="24"/>
      <c r="I826" s="24"/>
      <c r="J826" s="24"/>
      <c r="K826" s="24" t="n">
        <v>2</v>
      </c>
      <c r="L826" s="24" t="str">
        <f aca="false">IF(J826&lt;&gt;"","Enrolled",IF(I826&lt;&gt;"","Admitted",IF(H826&lt;&gt;"","Applied",IF(G826&lt;&gt;"","Contacted","New"))))</f>
        <v>Contacted</v>
      </c>
      <c r="M826" s="32" t="n">
        <f aca="false">IF(G826="","",G826-B826)</f>
        <v>0</v>
      </c>
      <c r="N826" s="24" t="str">
        <f aca="false">IF(COUNTIF($A$2:A826,A826)&gt;1,"Duplicate ID",IF(C826="","Missing source",IF(OR(AND(G826&lt;&gt;"",G826&lt;B826),AND(H826&lt;&gt;"",H826&lt;B826),AND(I826&lt;&gt;"",I826&lt;H826),AND(J826&lt;&gt;"",J826&lt;I826)),"Date error","OK")))</f>
        <v>OK</v>
      </c>
    </row>
    <row r="827" customFormat="false" ht="15" hidden="false" customHeight="false" outlineLevel="0" collapsed="false">
      <c r="A827" s="24" t="s">
        <v>905</v>
      </c>
      <c r="B827" s="31" t="n">
        <v>46201</v>
      </c>
      <c r="C827" s="24" t="s">
        <v>27</v>
      </c>
      <c r="D827" s="24" t="s">
        <v>35</v>
      </c>
      <c r="E827" s="24" t="s">
        <v>94</v>
      </c>
      <c r="F827" s="24" t="s">
        <v>43</v>
      </c>
      <c r="G827" s="31" t="n">
        <v>46204</v>
      </c>
      <c r="H827" s="24"/>
      <c r="I827" s="24"/>
      <c r="J827" s="24"/>
      <c r="K827" s="24" t="n">
        <v>3</v>
      </c>
      <c r="L827" s="24" t="str">
        <f aca="false">IF(J827&lt;&gt;"","Enrolled",IF(I827&lt;&gt;"","Admitted",IF(H827&lt;&gt;"","Applied",IF(G827&lt;&gt;"","Contacted","New"))))</f>
        <v>Contacted</v>
      </c>
      <c r="M827" s="32" t="n">
        <f aca="false">IF(G827="","",G827-B827)</f>
        <v>3</v>
      </c>
      <c r="N827" s="24" t="str">
        <f aca="false">IF(COUNTIF($A$2:A827,A827)&gt;1,"Duplicate ID",IF(C827="","Missing source",IF(OR(AND(G827&lt;&gt;"",G827&lt;B827),AND(H827&lt;&gt;"",H827&lt;B827),AND(I827&lt;&gt;"",I827&lt;H827),AND(J827&lt;&gt;"",J827&lt;I827)),"Date error","OK")))</f>
        <v>OK</v>
      </c>
    </row>
    <row r="828" customFormat="false" ht="15" hidden="false" customHeight="false" outlineLevel="0" collapsed="false">
      <c r="A828" s="24" t="s">
        <v>906</v>
      </c>
      <c r="B828" s="31" t="n">
        <v>46201</v>
      </c>
      <c r="C828" s="24" t="s">
        <v>27</v>
      </c>
      <c r="D828" s="24" t="s">
        <v>34</v>
      </c>
      <c r="E828" s="24" t="s">
        <v>89</v>
      </c>
      <c r="F828" s="24" t="s">
        <v>41</v>
      </c>
      <c r="G828" s="24"/>
      <c r="H828" s="24"/>
      <c r="I828" s="24"/>
      <c r="J828" s="24"/>
      <c r="K828" s="24" t="n">
        <v>0</v>
      </c>
      <c r="L828" s="24" t="str">
        <f aca="false">IF(J828&lt;&gt;"","Enrolled",IF(I828&lt;&gt;"","Admitted",IF(H828&lt;&gt;"","Applied",IF(G828&lt;&gt;"","Contacted","New"))))</f>
        <v>New</v>
      </c>
      <c r="M828" s="32" t="str">
        <f aca="false">IF(G828="","",G828-B828)</f>
        <v/>
      </c>
      <c r="N828" s="24" t="str">
        <f aca="false">IF(COUNTIF($A$2:A828,A828)&gt;1,"Duplicate ID",IF(C828="","Missing source",IF(OR(AND(G828&lt;&gt;"",G828&lt;B828),AND(H828&lt;&gt;"",H828&lt;B828),AND(I828&lt;&gt;"",I828&lt;H828),AND(J828&lt;&gt;"",J828&lt;I828)),"Date error","OK")))</f>
        <v>OK</v>
      </c>
    </row>
    <row r="829" customFormat="false" ht="15" hidden="false" customHeight="false" outlineLevel="0" collapsed="false">
      <c r="A829" s="24" t="s">
        <v>907</v>
      </c>
      <c r="B829" s="31" t="n">
        <v>46201</v>
      </c>
      <c r="C829" s="24" t="s">
        <v>23</v>
      </c>
      <c r="D829" s="24" t="s">
        <v>32</v>
      </c>
      <c r="E829" s="24" t="s">
        <v>89</v>
      </c>
      <c r="F829" s="24" t="s">
        <v>42</v>
      </c>
      <c r="G829" s="31" t="n">
        <v>46203</v>
      </c>
      <c r="H829" s="31" t="n">
        <v>46212</v>
      </c>
      <c r="I829" s="31" t="n">
        <v>46221</v>
      </c>
      <c r="J829" s="31" t="n">
        <v>46240</v>
      </c>
      <c r="K829" s="24" t="n">
        <v>3</v>
      </c>
      <c r="L829" s="24" t="str">
        <f aca="false">IF(J829&lt;&gt;"","Enrolled",IF(I829&lt;&gt;"","Admitted",IF(H829&lt;&gt;"","Applied",IF(G829&lt;&gt;"","Contacted","New"))))</f>
        <v>Enrolled</v>
      </c>
      <c r="M829" s="32" t="n">
        <f aca="false">IF(G829="","",G829-B829)</f>
        <v>2</v>
      </c>
      <c r="N829" s="24" t="str">
        <f aca="false">IF(COUNTIF($A$2:A829,A829)&gt;1,"Duplicate ID",IF(C829="","Missing source",IF(OR(AND(G829&lt;&gt;"",G829&lt;B829),AND(H829&lt;&gt;"",H829&lt;B829),AND(I829&lt;&gt;"",I829&lt;H829),AND(J829&lt;&gt;"",J829&lt;I829)),"Date error","OK")))</f>
        <v>OK</v>
      </c>
    </row>
    <row r="830" customFormat="false" ht="15" hidden="false" customHeight="false" outlineLevel="0" collapsed="false">
      <c r="A830" s="24" t="s">
        <v>908</v>
      </c>
      <c r="B830" s="31" t="n">
        <v>46201</v>
      </c>
      <c r="C830" s="24" t="s">
        <v>26</v>
      </c>
      <c r="D830" s="24" t="s">
        <v>34</v>
      </c>
      <c r="E830" s="24" t="s">
        <v>89</v>
      </c>
      <c r="F830" s="24" t="s">
        <v>40</v>
      </c>
      <c r="G830" s="31" t="n">
        <v>46201</v>
      </c>
      <c r="H830" s="24"/>
      <c r="I830" s="24"/>
      <c r="J830" s="24"/>
      <c r="K830" s="24" t="n">
        <v>1</v>
      </c>
      <c r="L830" s="24" t="str">
        <f aca="false">IF(J830&lt;&gt;"","Enrolled",IF(I830&lt;&gt;"","Admitted",IF(H830&lt;&gt;"","Applied",IF(G830&lt;&gt;"","Contacted","New"))))</f>
        <v>Contacted</v>
      </c>
      <c r="M830" s="32" t="n">
        <f aca="false">IF(G830="","",G830-B830)</f>
        <v>0</v>
      </c>
      <c r="N830" s="24" t="str">
        <f aca="false">IF(COUNTIF($A$2:A830,A830)&gt;1,"Duplicate ID",IF(C830="","Missing source",IF(OR(AND(G830&lt;&gt;"",G830&lt;B830),AND(H830&lt;&gt;"",H830&lt;B830),AND(I830&lt;&gt;"",I830&lt;H830),AND(J830&lt;&gt;"",J830&lt;I830)),"Date error","OK")))</f>
        <v>OK</v>
      </c>
    </row>
    <row r="831" customFormat="false" ht="15" hidden="false" customHeight="false" outlineLevel="0" collapsed="false">
      <c r="A831" s="24" t="s">
        <v>909</v>
      </c>
      <c r="B831" s="31" t="n">
        <v>46201</v>
      </c>
      <c r="C831" s="24" t="s">
        <v>26</v>
      </c>
      <c r="D831" s="24" t="s">
        <v>36</v>
      </c>
      <c r="E831" s="24" t="s">
        <v>89</v>
      </c>
      <c r="F831" s="24" t="s">
        <v>41</v>
      </c>
      <c r="G831" s="31" t="n">
        <v>46202</v>
      </c>
      <c r="H831" s="24"/>
      <c r="I831" s="24"/>
      <c r="J831" s="24"/>
      <c r="K831" s="24" t="n">
        <v>0</v>
      </c>
      <c r="L831" s="24" t="str">
        <f aca="false">IF(J831&lt;&gt;"","Enrolled",IF(I831&lt;&gt;"","Admitted",IF(H831&lt;&gt;"","Applied",IF(G831&lt;&gt;"","Contacted","New"))))</f>
        <v>Contacted</v>
      </c>
      <c r="M831" s="32" t="n">
        <f aca="false">IF(G831="","",G831-B831)</f>
        <v>1</v>
      </c>
      <c r="N831" s="24" t="str">
        <f aca="false">IF(COUNTIF($A$2:A831,A831)&gt;1,"Duplicate ID",IF(C831="","Missing source",IF(OR(AND(G831&lt;&gt;"",G831&lt;B831),AND(H831&lt;&gt;"",H831&lt;B831),AND(I831&lt;&gt;"",I831&lt;H831),AND(J831&lt;&gt;"",J831&lt;I831)),"Date error","OK")))</f>
        <v>OK</v>
      </c>
    </row>
    <row r="832" customFormat="false" ht="15" hidden="false" customHeight="false" outlineLevel="0" collapsed="false">
      <c r="A832" s="24" t="s">
        <v>910</v>
      </c>
      <c r="B832" s="31" t="n">
        <v>46201</v>
      </c>
      <c r="C832" s="24" t="s">
        <v>24</v>
      </c>
      <c r="D832" s="24" t="s">
        <v>32</v>
      </c>
      <c r="E832" s="24" t="s">
        <v>84</v>
      </c>
      <c r="F832" s="24" t="s">
        <v>41</v>
      </c>
      <c r="G832" s="31" t="n">
        <v>46201</v>
      </c>
      <c r="H832" s="24"/>
      <c r="I832" s="24"/>
      <c r="J832" s="24"/>
      <c r="K832" s="24" t="n">
        <v>1</v>
      </c>
      <c r="L832" s="24" t="str">
        <f aca="false">IF(J832&lt;&gt;"","Enrolled",IF(I832&lt;&gt;"","Admitted",IF(H832&lt;&gt;"","Applied",IF(G832&lt;&gt;"","Contacted","New"))))</f>
        <v>Contacted</v>
      </c>
      <c r="M832" s="32" t="n">
        <f aca="false">IF(G832="","",G832-B832)</f>
        <v>0</v>
      </c>
      <c r="N832" s="24" t="str">
        <f aca="false">IF(COUNTIF($A$2:A832,A832)&gt;1,"Duplicate ID",IF(C832="","Missing source",IF(OR(AND(G832&lt;&gt;"",G832&lt;B832),AND(H832&lt;&gt;"",H832&lt;B832),AND(I832&lt;&gt;"",I832&lt;H832),AND(J832&lt;&gt;"",J832&lt;I832)),"Date error","OK")))</f>
        <v>OK</v>
      </c>
    </row>
    <row r="833" customFormat="false" ht="15" hidden="false" customHeight="false" outlineLevel="0" collapsed="false">
      <c r="A833" s="24" t="s">
        <v>911</v>
      </c>
      <c r="B833" s="31" t="n">
        <v>46201</v>
      </c>
      <c r="C833" s="24" t="s">
        <v>23</v>
      </c>
      <c r="D833" s="24" t="s">
        <v>32</v>
      </c>
      <c r="E833" s="24" t="s">
        <v>94</v>
      </c>
      <c r="F833" s="24" t="s">
        <v>42</v>
      </c>
      <c r="G833" s="31" t="n">
        <v>46204</v>
      </c>
      <c r="H833" s="24"/>
      <c r="I833" s="24"/>
      <c r="J833" s="24"/>
      <c r="K833" s="24" t="n">
        <v>2</v>
      </c>
      <c r="L833" s="24" t="str">
        <f aca="false">IF(J833&lt;&gt;"","Enrolled",IF(I833&lt;&gt;"","Admitted",IF(H833&lt;&gt;"","Applied",IF(G833&lt;&gt;"","Contacted","New"))))</f>
        <v>Contacted</v>
      </c>
      <c r="M833" s="32" t="n">
        <f aca="false">IF(G833="","",G833-B833)</f>
        <v>3</v>
      </c>
      <c r="N833" s="24" t="str">
        <f aca="false">IF(COUNTIF($A$2:A833,A833)&gt;1,"Duplicate ID",IF(C833="","Missing source",IF(OR(AND(G833&lt;&gt;"",G833&lt;B833),AND(H833&lt;&gt;"",H833&lt;B833),AND(I833&lt;&gt;"",I833&lt;H833),AND(J833&lt;&gt;"",J833&lt;I833)),"Date error","OK")))</f>
        <v>OK</v>
      </c>
    </row>
    <row r="834" customFormat="false" ht="15" hidden="false" customHeight="false" outlineLevel="0" collapsed="false">
      <c r="A834" s="24" t="s">
        <v>912</v>
      </c>
      <c r="B834" s="31" t="n">
        <v>46201</v>
      </c>
      <c r="C834" s="24" t="s">
        <v>26</v>
      </c>
      <c r="D834" s="24" t="s">
        <v>36</v>
      </c>
      <c r="E834" s="24" t="s">
        <v>81</v>
      </c>
      <c r="F834" s="24" t="s">
        <v>42</v>
      </c>
      <c r="G834" s="31" t="n">
        <v>46202</v>
      </c>
      <c r="H834" s="24"/>
      <c r="I834" s="24"/>
      <c r="J834" s="24"/>
      <c r="K834" s="24" t="n">
        <v>1</v>
      </c>
      <c r="L834" s="24" t="str">
        <f aca="false">IF(J834&lt;&gt;"","Enrolled",IF(I834&lt;&gt;"","Admitted",IF(H834&lt;&gt;"","Applied",IF(G834&lt;&gt;"","Contacted","New"))))</f>
        <v>Contacted</v>
      </c>
      <c r="M834" s="32" t="n">
        <f aca="false">IF(G834="","",G834-B834)</f>
        <v>1</v>
      </c>
      <c r="N834" s="24" t="str">
        <f aca="false">IF(COUNTIF($A$2:A834,A834)&gt;1,"Duplicate ID",IF(C834="","Missing source",IF(OR(AND(G834&lt;&gt;"",G834&lt;B834),AND(H834&lt;&gt;"",H834&lt;B834),AND(I834&lt;&gt;"",I834&lt;H834),AND(J834&lt;&gt;"",J834&lt;I834)),"Date error","OK")))</f>
        <v>OK</v>
      </c>
    </row>
    <row r="835" customFormat="false" ht="15" hidden="false" customHeight="false" outlineLevel="0" collapsed="false">
      <c r="A835" s="24" t="s">
        <v>913</v>
      </c>
      <c r="B835" s="31" t="n">
        <v>46201</v>
      </c>
      <c r="C835" s="24" t="s">
        <v>26</v>
      </c>
      <c r="D835" s="24" t="s">
        <v>33</v>
      </c>
      <c r="E835" s="24" t="s">
        <v>89</v>
      </c>
      <c r="F835" s="24" t="s">
        <v>45</v>
      </c>
      <c r="G835" s="31" t="n">
        <v>46204</v>
      </c>
      <c r="H835" s="24"/>
      <c r="I835" s="24"/>
      <c r="J835" s="24"/>
      <c r="K835" s="24" t="n">
        <v>3</v>
      </c>
      <c r="L835" s="24" t="str">
        <f aca="false">IF(J835&lt;&gt;"","Enrolled",IF(I835&lt;&gt;"","Admitted",IF(H835&lt;&gt;"","Applied",IF(G835&lt;&gt;"","Contacted","New"))))</f>
        <v>Contacted</v>
      </c>
      <c r="M835" s="32" t="n">
        <f aca="false">IF(G835="","",G835-B835)</f>
        <v>3</v>
      </c>
      <c r="N835" s="24" t="str">
        <f aca="false">IF(COUNTIF($A$2:A835,A835)&gt;1,"Duplicate ID",IF(C835="","Missing source",IF(OR(AND(G835&lt;&gt;"",G835&lt;B835),AND(H835&lt;&gt;"",H835&lt;B835),AND(I835&lt;&gt;"",I835&lt;H835),AND(J835&lt;&gt;"",J835&lt;I835)),"Date error","OK")))</f>
        <v>OK</v>
      </c>
    </row>
    <row r="836" customFormat="false" ht="15" hidden="false" customHeight="false" outlineLevel="0" collapsed="false">
      <c r="A836" s="24" t="s">
        <v>914</v>
      </c>
      <c r="B836" s="31" t="n">
        <v>46202</v>
      </c>
      <c r="C836" s="24" t="s">
        <v>26</v>
      </c>
      <c r="D836" s="24" t="s">
        <v>35</v>
      </c>
      <c r="E836" s="24" t="s">
        <v>89</v>
      </c>
      <c r="F836" s="24" t="s">
        <v>43</v>
      </c>
      <c r="G836" s="31" t="n">
        <v>46202</v>
      </c>
      <c r="H836" s="24"/>
      <c r="I836" s="24"/>
      <c r="J836" s="24"/>
      <c r="K836" s="24" t="n">
        <v>2</v>
      </c>
      <c r="L836" s="24" t="str">
        <f aca="false">IF(J836&lt;&gt;"","Enrolled",IF(I836&lt;&gt;"","Admitted",IF(H836&lt;&gt;"","Applied",IF(G836&lt;&gt;"","Contacted","New"))))</f>
        <v>Contacted</v>
      </c>
      <c r="M836" s="32" t="n">
        <f aca="false">IF(G836="","",G836-B836)</f>
        <v>0</v>
      </c>
      <c r="N836" s="24" t="str">
        <f aca="false">IF(COUNTIF($A$2:A836,A836)&gt;1,"Duplicate ID",IF(C836="","Missing source",IF(OR(AND(G836&lt;&gt;"",G836&lt;B836),AND(H836&lt;&gt;"",H836&lt;B836),AND(I836&lt;&gt;"",I836&lt;H836),AND(J836&lt;&gt;"",J836&lt;I836)),"Date error","OK")))</f>
        <v>OK</v>
      </c>
    </row>
    <row r="837" customFormat="false" ht="15" hidden="false" customHeight="false" outlineLevel="0" collapsed="false">
      <c r="A837" s="24" t="s">
        <v>915</v>
      </c>
      <c r="B837" s="31" t="n">
        <v>46202</v>
      </c>
      <c r="C837" s="24" t="s">
        <v>26</v>
      </c>
      <c r="D837" s="24" t="s">
        <v>33</v>
      </c>
      <c r="E837" s="24" t="s">
        <v>89</v>
      </c>
      <c r="F837" s="24" t="s">
        <v>44</v>
      </c>
      <c r="G837" s="31" t="n">
        <v>46203</v>
      </c>
      <c r="H837" s="24"/>
      <c r="I837" s="24"/>
      <c r="J837" s="24"/>
      <c r="K837" s="24" t="n">
        <v>5</v>
      </c>
      <c r="L837" s="24" t="str">
        <f aca="false">IF(J837&lt;&gt;"","Enrolled",IF(I837&lt;&gt;"","Admitted",IF(H837&lt;&gt;"","Applied",IF(G837&lt;&gt;"","Contacted","New"))))</f>
        <v>Contacted</v>
      </c>
      <c r="M837" s="32" t="n">
        <f aca="false">IF(G837="","",G837-B837)</f>
        <v>1</v>
      </c>
      <c r="N837" s="24" t="str">
        <f aca="false">IF(COUNTIF($A$2:A837,A837)&gt;1,"Duplicate ID",IF(C837="","Missing source",IF(OR(AND(G837&lt;&gt;"",G837&lt;B837),AND(H837&lt;&gt;"",H837&lt;B837),AND(I837&lt;&gt;"",I837&lt;H837),AND(J837&lt;&gt;"",J837&lt;I837)),"Date error","OK")))</f>
        <v>OK</v>
      </c>
    </row>
    <row r="838" customFormat="false" ht="15" hidden="false" customHeight="false" outlineLevel="0" collapsed="false">
      <c r="A838" s="24" t="s">
        <v>916</v>
      </c>
      <c r="B838" s="31" t="n">
        <v>46202</v>
      </c>
      <c r="C838" s="24" t="s">
        <v>26</v>
      </c>
      <c r="D838" s="24" t="s">
        <v>36</v>
      </c>
      <c r="E838" s="24" t="s">
        <v>94</v>
      </c>
      <c r="F838" s="24" t="s">
        <v>45</v>
      </c>
      <c r="G838" s="31" t="n">
        <v>46203</v>
      </c>
      <c r="H838" s="31" t="n">
        <v>46224</v>
      </c>
      <c r="I838" s="24"/>
      <c r="J838" s="24"/>
      <c r="K838" s="24" t="n">
        <v>3</v>
      </c>
      <c r="L838" s="24" t="str">
        <f aca="false">IF(J838&lt;&gt;"","Enrolled",IF(I838&lt;&gt;"","Admitted",IF(H838&lt;&gt;"","Applied",IF(G838&lt;&gt;"","Contacted","New"))))</f>
        <v>Applied</v>
      </c>
      <c r="M838" s="32" t="n">
        <f aca="false">IF(G838="","",G838-B838)</f>
        <v>1</v>
      </c>
      <c r="N838" s="24" t="str">
        <f aca="false">IF(COUNTIF($A$2:A838,A838)&gt;1,"Duplicate ID",IF(C838="","Missing source",IF(OR(AND(G838&lt;&gt;"",G838&lt;B838),AND(H838&lt;&gt;"",H838&lt;B838),AND(I838&lt;&gt;"",I838&lt;H838),AND(J838&lt;&gt;"",J838&lt;I838)),"Date error","OK")))</f>
        <v>OK</v>
      </c>
    </row>
    <row r="839" customFormat="false" ht="15" hidden="false" customHeight="false" outlineLevel="0" collapsed="false">
      <c r="A839" s="24" t="s">
        <v>917</v>
      </c>
      <c r="B839" s="31" t="n">
        <v>46202</v>
      </c>
      <c r="C839" s="24" t="s">
        <v>25</v>
      </c>
      <c r="D839" s="24" t="s">
        <v>33</v>
      </c>
      <c r="E839" s="24" t="s">
        <v>94</v>
      </c>
      <c r="F839" s="24" t="s">
        <v>45</v>
      </c>
      <c r="G839" s="31" t="n">
        <v>46204</v>
      </c>
      <c r="H839" s="24"/>
      <c r="I839" s="24"/>
      <c r="J839" s="24"/>
      <c r="K839" s="24" t="n">
        <v>1</v>
      </c>
      <c r="L839" s="24" t="str">
        <f aca="false">IF(J839&lt;&gt;"","Enrolled",IF(I839&lt;&gt;"","Admitted",IF(H839&lt;&gt;"","Applied",IF(G839&lt;&gt;"","Contacted","New"))))</f>
        <v>Contacted</v>
      </c>
      <c r="M839" s="32" t="n">
        <f aca="false">IF(G839="","",G839-B839)</f>
        <v>2</v>
      </c>
      <c r="N839" s="24" t="str">
        <f aca="false">IF(COUNTIF($A$2:A839,A839)&gt;1,"Duplicate ID",IF(C839="","Missing source",IF(OR(AND(G839&lt;&gt;"",G839&lt;B839),AND(H839&lt;&gt;"",H839&lt;B839),AND(I839&lt;&gt;"",I839&lt;H839),AND(J839&lt;&gt;"",J839&lt;I839)),"Date error","OK")))</f>
        <v>OK</v>
      </c>
    </row>
    <row r="840" customFormat="false" ht="15" hidden="false" customHeight="false" outlineLevel="0" collapsed="false">
      <c r="A840" s="24" t="s">
        <v>918</v>
      </c>
      <c r="B840" s="31" t="n">
        <v>46202</v>
      </c>
      <c r="C840" s="24" t="s">
        <v>25</v>
      </c>
      <c r="D840" s="24" t="s">
        <v>33</v>
      </c>
      <c r="E840" s="24" t="s">
        <v>94</v>
      </c>
      <c r="F840" s="24" t="s">
        <v>40</v>
      </c>
      <c r="G840" s="24"/>
      <c r="H840" s="24"/>
      <c r="I840" s="24"/>
      <c r="J840" s="24"/>
      <c r="K840" s="24" t="n">
        <v>0</v>
      </c>
      <c r="L840" s="24" t="str">
        <f aca="false">IF(J840&lt;&gt;"","Enrolled",IF(I840&lt;&gt;"","Admitted",IF(H840&lt;&gt;"","Applied",IF(G840&lt;&gt;"","Contacted","New"))))</f>
        <v>New</v>
      </c>
      <c r="M840" s="32" t="str">
        <f aca="false">IF(G840="","",G840-B840)</f>
        <v/>
      </c>
      <c r="N840" s="24" t="str">
        <f aca="false">IF(COUNTIF($A$2:A840,A840)&gt;1,"Duplicate ID",IF(C840="","Missing source",IF(OR(AND(G840&lt;&gt;"",G840&lt;B840),AND(H840&lt;&gt;"",H840&lt;B840),AND(I840&lt;&gt;"",I840&lt;H840),AND(J840&lt;&gt;"",J840&lt;I840)),"Date error","OK")))</f>
        <v>OK</v>
      </c>
    </row>
    <row r="841" customFormat="false" ht="15" hidden="false" customHeight="false" outlineLevel="0" collapsed="false">
      <c r="A841" s="24" t="s">
        <v>919</v>
      </c>
      <c r="B841" s="31" t="n">
        <v>46202</v>
      </c>
      <c r="C841" s="24" t="s">
        <v>23</v>
      </c>
      <c r="D841" s="24" t="s">
        <v>33</v>
      </c>
      <c r="E841" s="24" t="s">
        <v>81</v>
      </c>
      <c r="F841" s="24" t="s">
        <v>41</v>
      </c>
      <c r="G841" s="31" t="n">
        <v>46203</v>
      </c>
      <c r="H841" s="24"/>
      <c r="I841" s="24"/>
      <c r="J841" s="24"/>
      <c r="K841" s="24" t="n">
        <v>2</v>
      </c>
      <c r="L841" s="24" t="str">
        <f aca="false">IF(J841&lt;&gt;"","Enrolled",IF(I841&lt;&gt;"","Admitted",IF(H841&lt;&gt;"","Applied",IF(G841&lt;&gt;"","Contacted","New"))))</f>
        <v>Contacted</v>
      </c>
      <c r="M841" s="32" t="n">
        <f aca="false">IF(G841="","",G841-B841)</f>
        <v>1</v>
      </c>
      <c r="N841" s="24" t="str">
        <f aca="false">IF(COUNTIF($A$2:A841,A841)&gt;1,"Duplicate ID",IF(C841="","Missing source",IF(OR(AND(G841&lt;&gt;"",G841&lt;B841),AND(H841&lt;&gt;"",H841&lt;B841),AND(I841&lt;&gt;"",I841&lt;H841),AND(J841&lt;&gt;"",J841&lt;I841)),"Date error","OK")))</f>
        <v>OK</v>
      </c>
    </row>
    <row r="842" customFormat="false" ht="15" hidden="false" customHeight="false" outlineLevel="0" collapsed="false">
      <c r="A842" s="24" t="s">
        <v>920</v>
      </c>
      <c r="B842" s="31" t="n">
        <v>46202</v>
      </c>
      <c r="C842" s="24" t="s">
        <v>22</v>
      </c>
      <c r="D842" s="24" t="s">
        <v>34</v>
      </c>
      <c r="E842" s="24" t="s">
        <v>89</v>
      </c>
      <c r="F842" s="24" t="s">
        <v>41</v>
      </c>
      <c r="G842" s="31" t="n">
        <v>46204</v>
      </c>
      <c r="H842" s="31" t="n">
        <v>46215</v>
      </c>
      <c r="I842" s="31" t="n">
        <v>46230</v>
      </c>
      <c r="J842" s="31" t="n">
        <v>46263</v>
      </c>
      <c r="K842" s="24" t="n">
        <v>2</v>
      </c>
      <c r="L842" s="24" t="str">
        <f aca="false">IF(J842&lt;&gt;"","Enrolled",IF(I842&lt;&gt;"","Admitted",IF(H842&lt;&gt;"","Applied",IF(G842&lt;&gt;"","Contacted","New"))))</f>
        <v>Enrolled</v>
      </c>
      <c r="M842" s="32" t="n">
        <f aca="false">IF(G842="","",G842-B842)</f>
        <v>2</v>
      </c>
      <c r="N842" s="24" t="str">
        <f aca="false">IF(COUNTIF($A$2:A842,A842)&gt;1,"Duplicate ID",IF(C842="","Missing source",IF(OR(AND(G842&lt;&gt;"",G842&lt;B842),AND(H842&lt;&gt;"",H842&lt;B842),AND(I842&lt;&gt;"",I842&lt;H842),AND(J842&lt;&gt;"",J842&lt;I842)),"Date error","OK")))</f>
        <v>OK</v>
      </c>
    </row>
    <row r="843" customFormat="false" ht="15" hidden="false" customHeight="false" outlineLevel="0" collapsed="false">
      <c r="A843" s="24" t="s">
        <v>921</v>
      </c>
      <c r="B843" s="31" t="n">
        <v>46202</v>
      </c>
      <c r="C843" s="24" t="s">
        <v>25</v>
      </c>
      <c r="D843" s="24" t="s">
        <v>36</v>
      </c>
      <c r="E843" s="24" t="s">
        <v>94</v>
      </c>
      <c r="F843" s="24" t="s">
        <v>45</v>
      </c>
      <c r="G843" s="31" t="n">
        <v>46203</v>
      </c>
      <c r="H843" s="24"/>
      <c r="I843" s="24"/>
      <c r="J843" s="24"/>
      <c r="K843" s="24" t="n">
        <v>3</v>
      </c>
      <c r="L843" s="24" t="str">
        <f aca="false">IF(J843&lt;&gt;"","Enrolled",IF(I843&lt;&gt;"","Admitted",IF(H843&lt;&gt;"","Applied",IF(G843&lt;&gt;"","Contacted","New"))))</f>
        <v>Contacted</v>
      </c>
      <c r="M843" s="32" t="n">
        <f aca="false">IF(G843="","",G843-B843)</f>
        <v>1</v>
      </c>
      <c r="N843" s="24" t="str">
        <f aca="false">IF(COUNTIF($A$2:A843,A843)&gt;1,"Duplicate ID",IF(C843="","Missing source",IF(OR(AND(G843&lt;&gt;"",G843&lt;B843),AND(H843&lt;&gt;"",H843&lt;B843),AND(I843&lt;&gt;"",I843&lt;H843),AND(J843&lt;&gt;"",J843&lt;I843)),"Date error","OK")))</f>
        <v>OK</v>
      </c>
    </row>
    <row r="844" customFormat="false" ht="15" hidden="false" customHeight="false" outlineLevel="0" collapsed="false">
      <c r="A844" s="24" t="s">
        <v>922</v>
      </c>
      <c r="B844" s="31" t="n">
        <v>46203</v>
      </c>
      <c r="C844" s="24" t="s">
        <v>23</v>
      </c>
      <c r="D844" s="24" t="s">
        <v>34</v>
      </c>
      <c r="E844" s="24" t="s">
        <v>81</v>
      </c>
      <c r="F844" s="24" t="s">
        <v>44</v>
      </c>
      <c r="G844" s="31" t="n">
        <v>46210</v>
      </c>
      <c r="H844" s="24"/>
      <c r="I844" s="24"/>
      <c r="J844" s="24"/>
      <c r="K844" s="24" t="n">
        <v>8</v>
      </c>
      <c r="L844" s="24" t="str">
        <f aca="false">IF(J844&lt;&gt;"","Enrolled",IF(I844&lt;&gt;"","Admitted",IF(H844&lt;&gt;"","Applied",IF(G844&lt;&gt;"","Contacted","New"))))</f>
        <v>Contacted</v>
      </c>
      <c r="M844" s="32" t="n">
        <f aca="false">IF(G844="","",G844-B844)</f>
        <v>7</v>
      </c>
      <c r="N844" s="24" t="str">
        <f aca="false">IF(COUNTIF($A$2:A844,A844)&gt;1,"Duplicate ID",IF(C844="","Missing source",IF(OR(AND(G844&lt;&gt;"",G844&lt;B844),AND(H844&lt;&gt;"",H844&lt;B844),AND(I844&lt;&gt;"",I844&lt;H844),AND(J844&lt;&gt;"",J844&lt;I844)),"Date error","OK")))</f>
        <v>OK</v>
      </c>
    </row>
    <row r="845" customFormat="false" ht="15" hidden="false" customHeight="false" outlineLevel="0" collapsed="false">
      <c r="A845" s="24" t="s">
        <v>923</v>
      </c>
      <c r="B845" s="31" t="n">
        <v>46203</v>
      </c>
      <c r="C845" s="24" t="s">
        <v>26</v>
      </c>
      <c r="D845" s="24" t="s">
        <v>32</v>
      </c>
      <c r="E845" s="24" t="s">
        <v>79</v>
      </c>
      <c r="F845" s="24" t="s">
        <v>45</v>
      </c>
      <c r="G845" s="31" t="n">
        <v>46204</v>
      </c>
      <c r="H845" s="24"/>
      <c r="I845" s="24"/>
      <c r="J845" s="24"/>
      <c r="K845" s="24" t="n">
        <v>3</v>
      </c>
      <c r="L845" s="24" t="str">
        <f aca="false">IF(J845&lt;&gt;"","Enrolled",IF(I845&lt;&gt;"","Admitted",IF(H845&lt;&gt;"","Applied",IF(G845&lt;&gt;"","Contacted","New"))))</f>
        <v>Contacted</v>
      </c>
      <c r="M845" s="32" t="n">
        <f aca="false">IF(G845="","",G845-B845)</f>
        <v>1</v>
      </c>
      <c r="N845" s="24" t="str">
        <f aca="false">IF(COUNTIF($A$2:A845,A845)&gt;1,"Duplicate ID",IF(C845="","Missing source",IF(OR(AND(G845&lt;&gt;"",G845&lt;B845),AND(H845&lt;&gt;"",H845&lt;B845),AND(I845&lt;&gt;"",I845&lt;H845),AND(J845&lt;&gt;"",J845&lt;I845)),"Date error","OK")))</f>
        <v>OK</v>
      </c>
    </row>
    <row r="846" customFormat="false" ht="15" hidden="false" customHeight="false" outlineLevel="0" collapsed="false">
      <c r="A846" s="24" t="s">
        <v>924</v>
      </c>
      <c r="B846" s="31" t="n">
        <v>46203</v>
      </c>
      <c r="C846" s="24" t="s">
        <v>26</v>
      </c>
      <c r="D846" s="24" t="s">
        <v>34</v>
      </c>
      <c r="E846" s="24" t="s">
        <v>89</v>
      </c>
      <c r="F846" s="24" t="s">
        <v>43</v>
      </c>
      <c r="G846" s="24"/>
      <c r="H846" s="24"/>
      <c r="I846" s="24"/>
      <c r="J846" s="24"/>
      <c r="K846" s="24" t="n">
        <v>0</v>
      </c>
      <c r="L846" s="24" t="str">
        <f aca="false">IF(J846&lt;&gt;"","Enrolled",IF(I846&lt;&gt;"","Admitted",IF(H846&lt;&gt;"","Applied",IF(G846&lt;&gt;"","Contacted","New"))))</f>
        <v>New</v>
      </c>
      <c r="M846" s="32" t="str">
        <f aca="false">IF(G846="","",G846-B846)</f>
        <v/>
      </c>
      <c r="N846" s="24" t="str">
        <f aca="false">IF(COUNTIF($A$2:A846,A846)&gt;1,"Duplicate ID",IF(C846="","Missing source",IF(OR(AND(G846&lt;&gt;"",G846&lt;B846),AND(H846&lt;&gt;"",H846&lt;B846),AND(I846&lt;&gt;"",I846&lt;H846),AND(J846&lt;&gt;"",J846&lt;I846)),"Date error","OK")))</f>
        <v>OK</v>
      </c>
    </row>
    <row r="847" customFormat="false" ht="15" hidden="false" customHeight="false" outlineLevel="0" collapsed="false">
      <c r="A847" s="24" t="s">
        <v>925</v>
      </c>
      <c r="B847" s="31" t="n">
        <v>46203</v>
      </c>
      <c r="C847" s="24" t="s">
        <v>26</v>
      </c>
      <c r="D847" s="24" t="s">
        <v>33</v>
      </c>
      <c r="E847" s="24" t="s">
        <v>79</v>
      </c>
      <c r="F847" s="24" t="s">
        <v>43</v>
      </c>
      <c r="G847" s="24"/>
      <c r="H847" s="24"/>
      <c r="I847" s="24"/>
      <c r="J847" s="24"/>
      <c r="K847" s="24" t="n">
        <v>0</v>
      </c>
      <c r="L847" s="24" t="str">
        <f aca="false">IF(J847&lt;&gt;"","Enrolled",IF(I847&lt;&gt;"","Admitted",IF(H847&lt;&gt;"","Applied",IF(G847&lt;&gt;"","Contacted","New"))))</f>
        <v>New</v>
      </c>
      <c r="M847" s="32" t="str">
        <f aca="false">IF(G847="","",G847-B847)</f>
        <v/>
      </c>
      <c r="N847" s="24" t="str">
        <f aca="false">IF(COUNTIF($A$2:A847,A847)&gt;1,"Duplicate ID",IF(C847="","Missing source",IF(OR(AND(G847&lt;&gt;"",G847&lt;B847),AND(H847&lt;&gt;"",H847&lt;B847),AND(I847&lt;&gt;"",I847&lt;H847),AND(J847&lt;&gt;"",J847&lt;I847)),"Date error","OK")))</f>
        <v>OK</v>
      </c>
    </row>
    <row r="848" customFormat="false" ht="15" hidden="false" customHeight="false" outlineLevel="0" collapsed="false">
      <c r="A848" s="24" t="s">
        <v>926</v>
      </c>
      <c r="B848" s="31" t="n">
        <v>46203</v>
      </c>
      <c r="C848" s="24" t="s">
        <v>22</v>
      </c>
      <c r="D848" s="24" t="s">
        <v>33</v>
      </c>
      <c r="E848" s="24" t="s">
        <v>89</v>
      </c>
      <c r="F848" s="24" t="s">
        <v>43</v>
      </c>
      <c r="G848" s="31" t="n">
        <v>46213</v>
      </c>
      <c r="H848" s="24"/>
      <c r="I848" s="24"/>
      <c r="J848" s="24"/>
      <c r="K848" s="24" t="n">
        <v>3</v>
      </c>
      <c r="L848" s="24" t="str">
        <f aca="false">IF(J848&lt;&gt;"","Enrolled",IF(I848&lt;&gt;"","Admitted",IF(H848&lt;&gt;"","Applied",IF(G848&lt;&gt;"","Contacted","New"))))</f>
        <v>Contacted</v>
      </c>
      <c r="M848" s="32" t="n">
        <f aca="false">IF(G848="","",G848-B848)</f>
        <v>10</v>
      </c>
      <c r="N848" s="24" t="str">
        <f aca="false">IF(COUNTIF($A$2:A848,A848)&gt;1,"Duplicate ID",IF(C848="","Missing source",IF(OR(AND(G848&lt;&gt;"",G848&lt;B848),AND(H848&lt;&gt;"",H848&lt;B848),AND(I848&lt;&gt;"",I848&lt;H848),AND(J848&lt;&gt;"",J848&lt;I848)),"Date error","OK")))</f>
        <v>OK</v>
      </c>
    </row>
    <row r="849" customFormat="false" ht="15" hidden="false" customHeight="false" outlineLevel="0" collapsed="false">
      <c r="A849" s="24" t="s">
        <v>927</v>
      </c>
      <c r="B849" s="31" t="n">
        <v>46203</v>
      </c>
      <c r="C849" s="24" t="s">
        <v>25</v>
      </c>
      <c r="D849" s="24" t="s">
        <v>32</v>
      </c>
      <c r="E849" s="24" t="s">
        <v>79</v>
      </c>
      <c r="F849" s="24" t="s">
        <v>45</v>
      </c>
      <c r="G849" s="31" t="n">
        <v>46208</v>
      </c>
      <c r="H849" s="24"/>
      <c r="I849" s="24"/>
      <c r="J849" s="24"/>
      <c r="K849" s="24" t="n">
        <v>1</v>
      </c>
      <c r="L849" s="24" t="str">
        <f aca="false">IF(J849&lt;&gt;"","Enrolled",IF(I849&lt;&gt;"","Admitted",IF(H849&lt;&gt;"","Applied",IF(G849&lt;&gt;"","Contacted","New"))))</f>
        <v>Contacted</v>
      </c>
      <c r="M849" s="32" t="n">
        <f aca="false">IF(G849="","",G849-B849)</f>
        <v>5</v>
      </c>
      <c r="N849" s="24" t="str">
        <f aca="false">IF(COUNTIF($A$2:A849,A849)&gt;1,"Duplicate ID",IF(C849="","Missing source",IF(OR(AND(G849&lt;&gt;"",G849&lt;B849),AND(H849&lt;&gt;"",H849&lt;B849),AND(I849&lt;&gt;"",I849&lt;H849),AND(J849&lt;&gt;"",J849&lt;I849)),"Date error","OK")))</f>
        <v>OK</v>
      </c>
    </row>
    <row r="850" customFormat="false" ht="15" hidden="false" customHeight="false" outlineLevel="0" collapsed="false">
      <c r="A850" s="24" t="s">
        <v>928</v>
      </c>
      <c r="B850" s="31" t="n">
        <v>46203</v>
      </c>
      <c r="C850" s="24" t="s">
        <v>27</v>
      </c>
      <c r="D850" s="24" t="s">
        <v>33</v>
      </c>
      <c r="E850" s="24" t="s">
        <v>94</v>
      </c>
      <c r="F850" s="24" t="s">
        <v>41</v>
      </c>
      <c r="G850" s="31" t="n">
        <v>46203</v>
      </c>
      <c r="H850" s="31" t="n">
        <v>46209</v>
      </c>
      <c r="I850" s="31" t="n">
        <v>46221</v>
      </c>
      <c r="J850" s="31" t="n">
        <v>46247</v>
      </c>
      <c r="K850" s="24" t="n">
        <v>0</v>
      </c>
      <c r="L850" s="24" t="str">
        <f aca="false">IF(J850&lt;&gt;"","Enrolled",IF(I850&lt;&gt;"","Admitted",IF(H850&lt;&gt;"","Applied",IF(G850&lt;&gt;"","Contacted","New"))))</f>
        <v>Enrolled</v>
      </c>
      <c r="M850" s="32" t="n">
        <f aca="false">IF(G850="","",G850-B850)</f>
        <v>0</v>
      </c>
      <c r="N850" s="24" t="str">
        <f aca="false">IF(COUNTIF($A$2:A850,A850)&gt;1,"Duplicate ID",IF(C850="","Missing source",IF(OR(AND(G850&lt;&gt;"",G850&lt;B850),AND(H850&lt;&gt;"",H850&lt;B850),AND(I850&lt;&gt;"",I850&lt;H850),AND(J850&lt;&gt;"",J850&lt;I850)),"Date error","OK")))</f>
        <v>OK</v>
      </c>
    </row>
    <row r="851" customFormat="false" ht="15" hidden="false" customHeight="false" outlineLevel="0" collapsed="false">
      <c r="A851" s="24" t="s">
        <v>929</v>
      </c>
      <c r="B851" s="31" t="n">
        <v>46203</v>
      </c>
      <c r="C851" s="24" t="s">
        <v>26</v>
      </c>
      <c r="D851" s="24" t="s">
        <v>32</v>
      </c>
      <c r="E851" s="24" t="s">
        <v>79</v>
      </c>
      <c r="F851" s="24" t="s">
        <v>45</v>
      </c>
      <c r="G851" s="24"/>
      <c r="H851" s="24"/>
      <c r="I851" s="24"/>
      <c r="J851" s="24"/>
      <c r="K851" s="24" t="n">
        <v>0</v>
      </c>
      <c r="L851" s="24" t="str">
        <f aca="false">IF(J851&lt;&gt;"","Enrolled",IF(I851&lt;&gt;"","Admitted",IF(H851&lt;&gt;"","Applied",IF(G851&lt;&gt;"","Contacted","New"))))</f>
        <v>New</v>
      </c>
      <c r="M851" s="32" t="str">
        <f aca="false">IF(G851="","",G851-B851)</f>
        <v/>
      </c>
      <c r="N851" s="24" t="str">
        <f aca="false">IF(COUNTIF($A$2:A851,A851)&gt;1,"Duplicate ID",IF(C851="","Missing source",IF(OR(AND(G851&lt;&gt;"",G851&lt;B851),AND(H851&lt;&gt;"",H851&lt;B851),AND(I851&lt;&gt;"",I851&lt;H851),AND(J851&lt;&gt;"",J851&lt;I851)),"Date error","OK")))</f>
        <v>OK</v>
      </c>
    </row>
    <row r="852" customFormat="false" ht="15" hidden="false" customHeight="false" outlineLevel="0" collapsed="false">
      <c r="A852" s="24" t="s">
        <v>930</v>
      </c>
      <c r="B852" s="31" t="n">
        <v>46203</v>
      </c>
      <c r="C852" s="24" t="s">
        <v>27</v>
      </c>
      <c r="D852" s="24" t="s">
        <v>35</v>
      </c>
      <c r="E852" s="24" t="s">
        <v>84</v>
      </c>
      <c r="F852" s="24" t="s">
        <v>43</v>
      </c>
      <c r="G852" s="31" t="n">
        <v>46203</v>
      </c>
      <c r="H852" s="24"/>
      <c r="I852" s="24"/>
      <c r="J852" s="24"/>
      <c r="K852" s="24" t="n">
        <v>1</v>
      </c>
      <c r="L852" s="24" t="str">
        <f aca="false">IF(J852&lt;&gt;"","Enrolled",IF(I852&lt;&gt;"","Admitted",IF(H852&lt;&gt;"","Applied",IF(G852&lt;&gt;"","Contacted","New"))))</f>
        <v>Contacted</v>
      </c>
      <c r="M852" s="32" t="n">
        <f aca="false">IF(G852="","",G852-B852)</f>
        <v>0</v>
      </c>
      <c r="N852" s="24" t="str">
        <f aca="false">IF(COUNTIF($A$2:A852,A852)&gt;1,"Duplicate ID",IF(C852="","Missing source",IF(OR(AND(G852&lt;&gt;"",G852&lt;B852),AND(H852&lt;&gt;"",H852&lt;B852),AND(I852&lt;&gt;"",I852&lt;H852),AND(J852&lt;&gt;"",J852&lt;I852)),"Date error","OK")))</f>
        <v>OK</v>
      </c>
    </row>
    <row r="853" customFormat="false" ht="15" hidden="false" customHeight="false" outlineLevel="0" collapsed="false">
      <c r="A853" s="24" t="s">
        <v>931</v>
      </c>
      <c r="B853" s="31" t="n">
        <v>46203</v>
      </c>
      <c r="C853" s="24" t="s">
        <v>22</v>
      </c>
      <c r="D853" s="24" t="s">
        <v>33</v>
      </c>
      <c r="E853" s="24" t="s">
        <v>89</v>
      </c>
      <c r="F853" s="24" t="s">
        <v>45</v>
      </c>
      <c r="G853" s="31" t="n">
        <v>46205</v>
      </c>
      <c r="H853" s="24"/>
      <c r="I853" s="24"/>
      <c r="J853" s="24"/>
      <c r="K853" s="24" t="n">
        <v>5</v>
      </c>
      <c r="L853" s="24" t="str">
        <f aca="false">IF(J853&lt;&gt;"","Enrolled",IF(I853&lt;&gt;"","Admitted",IF(H853&lt;&gt;"","Applied",IF(G853&lt;&gt;"","Contacted","New"))))</f>
        <v>Contacted</v>
      </c>
      <c r="M853" s="32" t="n">
        <f aca="false">IF(G853="","",G853-B853)</f>
        <v>2</v>
      </c>
      <c r="N853" s="24" t="str">
        <f aca="false">IF(COUNTIF($A$2:A853,A853)&gt;1,"Duplicate ID",IF(C853="","Missing source",IF(OR(AND(G853&lt;&gt;"",G853&lt;B853),AND(H853&lt;&gt;"",H853&lt;B853),AND(I853&lt;&gt;"",I853&lt;H853),AND(J853&lt;&gt;"",J853&lt;I853)),"Date error","OK")))</f>
        <v>OK</v>
      </c>
    </row>
    <row r="854" customFormat="false" ht="15" hidden="false" customHeight="false" outlineLevel="0" collapsed="false">
      <c r="A854" s="24" t="s">
        <v>932</v>
      </c>
      <c r="B854" s="31" t="n">
        <v>46203</v>
      </c>
      <c r="C854" s="24" t="s">
        <v>26</v>
      </c>
      <c r="D854" s="24" t="s">
        <v>35</v>
      </c>
      <c r="E854" s="24" t="s">
        <v>81</v>
      </c>
      <c r="F854" s="24" t="s">
        <v>45</v>
      </c>
      <c r="G854" s="31" t="n">
        <v>46203</v>
      </c>
      <c r="H854" s="24"/>
      <c r="I854" s="24"/>
      <c r="J854" s="24"/>
      <c r="K854" s="24" t="n">
        <v>1</v>
      </c>
      <c r="L854" s="24" t="str">
        <f aca="false">IF(J854&lt;&gt;"","Enrolled",IF(I854&lt;&gt;"","Admitted",IF(H854&lt;&gt;"","Applied",IF(G854&lt;&gt;"","Contacted","New"))))</f>
        <v>Contacted</v>
      </c>
      <c r="M854" s="32" t="n">
        <f aca="false">IF(G854="","",G854-B854)</f>
        <v>0</v>
      </c>
      <c r="N854" s="24" t="str">
        <f aca="false">IF(COUNTIF($A$2:A854,A854)&gt;1,"Duplicate ID",IF(C854="","Missing source",IF(OR(AND(G854&lt;&gt;"",G854&lt;B854),AND(H854&lt;&gt;"",H854&lt;B854),AND(I854&lt;&gt;"",I854&lt;H854),AND(J854&lt;&gt;"",J854&lt;I854)),"Date error","OK")))</f>
        <v>OK</v>
      </c>
    </row>
    <row r="855" customFormat="false" ht="15" hidden="false" customHeight="false" outlineLevel="0" collapsed="false">
      <c r="A855" s="24" t="s">
        <v>933</v>
      </c>
      <c r="B855" s="31" t="n">
        <v>46203</v>
      </c>
      <c r="C855" s="24" t="s">
        <v>24</v>
      </c>
      <c r="D855" s="24" t="s">
        <v>36</v>
      </c>
      <c r="E855" s="24" t="s">
        <v>79</v>
      </c>
      <c r="F855" s="24" t="s">
        <v>40</v>
      </c>
      <c r="G855" s="31" t="n">
        <v>46204</v>
      </c>
      <c r="H855" s="24"/>
      <c r="I855" s="24"/>
      <c r="J855" s="24"/>
      <c r="K855" s="24" t="n">
        <v>2</v>
      </c>
      <c r="L855" s="24" t="str">
        <f aca="false">IF(J855&lt;&gt;"","Enrolled",IF(I855&lt;&gt;"","Admitted",IF(H855&lt;&gt;"","Applied",IF(G855&lt;&gt;"","Contacted","New"))))</f>
        <v>Contacted</v>
      </c>
      <c r="M855" s="32" t="n">
        <f aca="false">IF(G855="","",G855-B855)</f>
        <v>1</v>
      </c>
      <c r="N855" s="24" t="str">
        <f aca="false">IF(COUNTIF($A$2:A855,A855)&gt;1,"Duplicate ID",IF(C855="","Missing source",IF(OR(AND(G855&lt;&gt;"",G855&lt;B855),AND(H855&lt;&gt;"",H855&lt;B855),AND(I855&lt;&gt;"",I855&lt;H855),AND(J855&lt;&gt;"",J855&lt;I855)),"Date error","OK")))</f>
        <v>OK</v>
      </c>
    </row>
    <row r="856" customFormat="false" ht="15" hidden="false" customHeight="false" outlineLevel="0" collapsed="false">
      <c r="A856" s="24" t="s">
        <v>934</v>
      </c>
      <c r="B856" s="31" t="n">
        <v>46203</v>
      </c>
      <c r="C856" s="24" t="s">
        <v>26</v>
      </c>
      <c r="D856" s="24" t="s">
        <v>33</v>
      </c>
      <c r="E856" s="24" t="s">
        <v>89</v>
      </c>
      <c r="F856" s="24" t="s">
        <v>45</v>
      </c>
      <c r="G856" s="31" t="n">
        <v>46209</v>
      </c>
      <c r="H856" s="24"/>
      <c r="I856" s="24"/>
      <c r="J856" s="24"/>
      <c r="K856" s="24" t="n">
        <v>1</v>
      </c>
      <c r="L856" s="24" t="str">
        <f aca="false">IF(J856&lt;&gt;"","Enrolled",IF(I856&lt;&gt;"","Admitted",IF(H856&lt;&gt;"","Applied",IF(G856&lt;&gt;"","Contacted","New"))))</f>
        <v>Contacted</v>
      </c>
      <c r="M856" s="32" t="n">
        <f aca="false">IF(G856="","",G856-B856)</f>
        <v>6</v>
      </c>
      <c r="N856" s="24" t="str">
        <f aca="false">IF(COUNTIF($A$2:A856,A856)&gt;1,"Duplicate ID",IF(C856="","Missing source",IF(OR(AND(G856&lt;&gt;"",G856&lt;B856),AND(H856&lt;&gt;"",H856&lt;B856),AND(I856&lt;&gt;"",I856&lt;H856),AND(J856&lt;&gt;"",J856&lt;I856)),"Date error","OK")))</f>
        <v>OK</v>
      </c>
    </row>
    <row r="857" customFormat="false" ht="15" hidden="false" customHeight="false" outlineLevel="0" collapsed="false">
      <c r="A857" s="24" t="s">
        <v>935</v>
      </c>
      <c r="B857" s="31" t="n">
        <v>46203</v>
      </c>
      <c r="C857" s="24" t="s">
        <v>26</v>
      </c>
      <c r="D857" s="24" t="s">
        <v>34</v>
      </c>
      <c r="E857" s="24" t="s">
        <v>89</v>
      </c>
      <c r="F857" s="24" t="s">
        <v>45</v>
      </c>
      <c r="G857" s="31" t="n">
        <v>46208</v>
      </c>
      <c r="H857" s="24"/>
      <c r="I857" s="24"/>
      <c r="J857" s="24"/>
      <c r="K857" s="24" t="n">
        <v>0</v>
      </c>
      <c r="L857" s="24" t="str">
        <f aca="false">IF(J857&lt;&gt;"","Enrolled",IF(I857&lt;&gt;"","Admitted",IF(H857&lt;&gt;"","Applied",IF(G857&lt;&gt;"","Contacted","New"))))</f>
        <v>Contacted</v>
      </c>
      <c r="M857" s="32" t="n">
        <f aca="false">IF(G857="","",G857-B857)</f>
        <v>5</v>
      </c>
      <c r="N857" s="24" t="str">
        <f aca="false">IF(COUNTIF($A$2:A857,A857)&gt;1,"Duplicate ID",IF(C857="","Missing source",IF(OR(AND(G857&lt;&gt;"",G857&lt;B857),AND(H857&lt;&gt;"",H857&lt;B857),AND(I857&lt;&gt;"",I857&lt;H857),AND(J857&lt;&gt;"",J857&lt;I857)),"Date error","OK")))</f>
        <v>OK</v>
      </c>
    </row>
    <row r="858" customFormat="false" ht="15" hidden="false" customHeight="false" outlineLevel="0" collapsed="false">
      <c r="A858" s="24" t="s">
        <v>936</v>
      </c>
      <c r="B858" s="31" t="n">
        <v>46203</v>
      </c>
      <c r="C858" s="24" t="s">
        <v>23</v>
      </c>
      <c r="D858" s="24" t="s">
        <v>35</v>
      </c>
      <c r="E858" s="24" t="s">
        <v>81</v>
      </c>
      <c r="F858" s="24" t="s">
        <v>44</v>
      </c>
      <c r="G858" s="31" t="n">
        <v>46204</v>
      </c>
      <c r="H858" s="24"/>
      <c r="I858" s="24"/>
      <c r="J858" s="24"/>
      <c r="K858" s="24" t="n">
        <v>1</v>
      </c>
      <c r="L858" s="24" t="str">
        <f aca="false">IF(J858&lt;&gt;"","Enrolled",IF(I858&lt;&gt;"","Admitted",IF(H858&lt;&gt;"","Applied",IF(G858&lt;&gt;"","Contacted","New"))))</f>
        <v>Contacted</v>
      </c>
      <c r="M858" s="32" t="n">
        <f aca="false">IF(G858="","",G858-B858)</f>
        <v>1</v>
      </c>
      <c r="N858" s="24" t="str">
        <f aca="false">IF(COUNTIF($A$2:A858,A858)&gt;1,"Duplicate ID",IF(C858="","Missing source",IF(OR(AND(G858&lt;&gt;"",G858&lt;B858),AND(H858&lt;&gt;"",H858&lt;B858),AND(I858&lt;&gt;"",I858&lt;H858),AND(J858&lt;&gt;"",J858&lt;I858)),"Date error","OK")))</f>
        <v>OK</v>
      </c>
    </row>
    <row r="859" customFormat="false" ht="15" hidden="false" customHeight="false" outlineLevel="0" collapsed="false">
      <c r="A859" s="24" t="s">
        <v>937</v>
      </c>
      <c r="B859" s="31" t="n">
        <v>46203</v>
      </c>
      <c r="C859" s="24" t="s">
        <v>26</v>
      </c>
      <c r="D859" s="24" t="s">
        <v>33</v>
      </c>
      <c r="E859" s="24" t="s">
        <v>81</v>
      </c>
      <c r="F859" s="24" t="s">
        <v>43</v>
      </c>
      <c r="G859" s="31" t="n">
        <v>46204</v>
      </c>
      <c r="H859" s="31" t="n">
        <v>46226</v>
      </c>
      <c r="I859" s="31" t="n">
        <v>46235</v>
      </c>
      <c r="J859" s="31" t="n">
        <v>46245</v>
      </c>
      <c r="K859" s="24" t="n">
        <v>3</v>
      </c>
      <c r="L859" s="24" t="str">
        <f aca="false">IF(J859&lt;&gt;"","Enrolled",IF(I859&lt;&gt;"","Admitted",IF(H859&lt;&gt;"","Applied",IF(G859&lt;&gt;"","Contacted","New"))))</f>
        <v>Enrolled</v>
      </c>
      <c r="M859" s="32" t="n">
        <f aca="false">IF(G859="","",G859-B859)</f>
        <v>1</v>
      </c>
      <c r="N859" s="24" t="str">
        <f aca="false">IF(COUNTIF($A$2:A859,A859)&gt;1,"Duplicate ID",IF(C859="","Missing source",IF(OR(AND(G859&lt;&gt;"",G859&lt;B859),AND(H859&lt;&gt;"",H859&lt;B859),AND(I859&lt;&gt;"",I859&lt;H859),AND(J859&lt;&gt;"",J859&lt;I859)),"Date error","OK")))</f>
        <v>OK</v>
      </c>
    </row>
    <row r="860" customFormat="false" ht="15" hidden="false" customHeight="false" outlineLevel="0" collapsed="false">
      <c r="A860" s="24" t="s">
        <v>938</v>
      </c>
      <c r="B860" s="31" t="n">
        <v>46203</v>
      </c>
      <c r="C860" s="24" t="s">
        <v>27</v>
      </c>
      <c r="D860" s="24" t="s">
        <v>32</v>
      </c>
      <c r="E860" s="24" t="s">
        <v>79</v>
      </c>
      <c r="F860" s="24" t="s">
        <v>40</v>
      </c>
      <c r="G860" s="31" t="n">
        <v>46203</v>
      </c>
      <c r="H860" s="24"/>
      <c r="I860" s="24"/>
      <c r="J860" s="24"/>
      <c r="K860" s="24" t="n">
        <v>1</v>
      </c>
      <c r="L860" s="24" t="str">
        <f aca="false">IF(J860&lt;&gt;"","Enrolled",IF(I860&lt;&gt;"","Admitted",IF(H860&lt;&gt;"","Applied",IF(G860&lt;&gt;"","Contacted","New"))))</f>
        <v>Contacted</v>
      </c>
      <c r="M860" s="32" t="n">
        <f aca="false">IF(G860="","",G860-B860)</f>
        <v>0</v>
      </c>
      <c r="N860" s="24" t="str">
        <f aca="false">IF(COUNTIF($A$2:A860,A860)&gt;1,"Duplicate ID",IF(C860="","Missing source",IF(OR(AND(G860&lt;&gt;"",G860&lt;B860),AND(H860&lt;&gt;"",H860&lt;B860),AND(I860&lt;&gt;"",I860&lt;H860),AND(J860&lt;&gt;"",J860&lt;I860)),"Date error","OK")))</f>
        <v>OK</v>
      </c>
    </row>
    <row r="861" customFormat="false" ht="15" hidden="false" customHeight="false" outlineLevel="0" collapsed="false">
      <c r="A861" s="24" t="s">
        <v>939</v>
      </c>
      <c r="B861" s="31" t="n">
        <v>46203</v>
      </c>
      <c r="C861" s="24" t="s">
        <v>24</v>
      </c>
      <c r="D861" s="24" t="s">
        <v>36</v>
      </c>
      <c r="E861" s="24" t="s">
        <v>81</v>
      </c>
      <c r="F861" s="24" t="s">
        <v>40</v>
      </c>
      <c r="G861" s="31" t="n">
        <v>46203</v>
      </c>
      <c r="H861" s="24"/>
      <c r="I861" s="24"/>
      <c r="J861" s="24"/>
      <c r="K861" s="24" t="n">
        <v>1</v>
      </c>
      <c r="L861" s="24" t="str">
        <f aca="false">IF(J861&lt;&gt;"","Enrolled",IF(I861&lt;&gt;"","Admitted",IF(H861&lt;&gt;"","Applied",IF(G861&lt;&gt;"","Contacted","New"))))</f>
        <v>Contacted</v>
      </c>
      <c r="M861" s="32" t="n">
        <f aca="false">IF(G861="","",G861-B861)</f>
        <v>0</v>
      </c>
      <c r="N861" s="24" t="str">
        <f aca="false">IF(COUNTIF($A$2:A861,A861)&gt;1,"Duplicate ID",IF(C861="","Missing source",IF(OR(AND(G861&lt;&gt;"",G861&lt;B861),AND(H861&lt;&gt;"",H861&lt;B861),AND(I861&lt;&gt;"",I861&lt;H861),AND(J861&lt;&gt;"",J861&lt;I861)),"Date error","OK")))</f>
        <v>OK</v>
      </c>
    </row>
    <row r="862" customFormat="false" ht="15" hidden="false" customHeight="false" outlineLevel="0" collapsed="false">
      <c r="A862" s="24" t="s">
        <v>940</v>
      </c>
      <c r="B862" s="31" t="n">
        <v>46203</v>
      </c>
      <c r="C862" s="24" t="s">
        <v>25</v>
      </c>
      <c r="D862" s="24" t="s">
        <v>36</v>
      </c>
      <c r="E862" s="24" t="s">
        <v>79</v>
      </c>
      <c r="F862" s="24" t="s">
        <v>40</v>
      </c>
      <c r="G862" s="31" t="n">
        <v>46203</v>
      </c>
      <c r="H862" s="24"/>
      <c r="I862" s="24"/>
      <c r="J862" s="24"/>
      <c r="K862" s="24" t="n">
        <v>4</v>
      </c>
      <c r="L862" s="24" t="str">
        <f aca="false">IF(J862&lt;&gt;"","Enrolled",IF(I862&lt;&gt;"","Admitted",IF(H862&lt;&gt;"","Applied",IF(G862&lt;&gt;"","Contacted","New"))))</f>
        <v>Contacted</v>
      </c>
      <c r="M862" s="32" t="n">
        <f aca="false">IF(G862="","",G862-B862)</f>
        <v>0</v>
      </c>
      <c r="N862" s="24" t="str">
        <f aca="false">IF(COUNTIF($A$2:A862,A862)&gt;1,"Duplicate ID",IF(C862="","Missing source",IF(OR(AND(G862&lt;&gt;"",G862&lt;B862),AND(H862&lt;&gt;"",H862&lt;B862),AND(I862&lt;&gt;"",I862&lt;H862),AND(J862&lt;&gt;"",J862&lt;I862)),"Date error","OK")))</f>
        <v>OK</v>
      </c>
    </row>
    <row r="863" customFormat="false" ht="15" hidden="false" customHeight="false" outlineLevel="0" collapsed="false">
      <c r="A863" s="24" t="s">
        <v>941</v>
      </c>
      <c r="B863" s="31" t="n">
        <v>46203</v>
      </c>
      <c r="C863" s="24" t="s">
        <v>27</v>
      </c>
      <c r="D863" s="24" t="s">
        <v>35</v>
      </c>
      <c r="E863" s="24" t="s">
        <v>79</v>
      </c>
      <c r="F863" s="24" t="s">
        <v>44</v>
      </c>
      <c r="G863" s="31" t="n">
        <v>46205</v>
      </c>
      <c r="H863" s="24"/>
      <c r="I863" s="24"/>
      <c r="J863" s="24"/>
      <c r="K863" s="24" t="n">
        <v>4</v>
      </c>
      <c r="L863" s="24" t="str">
        <f aca="false">IF(J863&lt;&gt;"","Enrolled",IF(I863&lt;&gt;"","Admitted",IF(H863&lt;&gt;"","Applied",IF(G863&lt;&gt;"","Contacted","New"))))</f>
        <v>Contacted</v>
      </c>
      <c r="M863" s="32" t="n">
        <f aca="false">IF(G863="","",G863-B863)</f>
        <v>2</v>
      </c>
      <c r="N863" s="24" t="str">
        <f aca="false">IF(COUNTIF($A$2:A863,A863)&gt;1,"Duplicate ID",IF(C863="","Missing source",IF(OR(AND(G863&lt;&gt;"",G863&lt;B863),AND(H863&lt;&gt;"",H863&lt;B863),AND(I863&lt;&gt;"",I863&lt;H863),AND(J863&lt;&gt;"",J863&lt;I863)),"Date error","OK")))</f>
        <v>OK</v>
      </c>
    </row>
    <row r="864" customFormat="false" ht="15" hidden="false" customHeight="false" outlineLevel="0" collapsed="false">
      <c r="A864" s="24" t="s">
        <v>942</v>
      </c>
      <c r="B864" s="31" t="n">
        <v>46203</v>
      </c>
      <c r="C864" s="24" t="s">
        <v>22</v>
      </c>
      <c r="D864" s="24" t="s">
        <v>33</v>
      </c>
      <c r="E864" s="24" t="s">
        <v>81</v>
      </c>
      <c r="F864" s="24" t="s">
        <v>43</v>
      </c>
      <c r="G864" s="31" t="n">
        <v>46204</v>
      </c>
      <c r="H864" s="24"/>
      <c r="I864" s="24"/>
      <c r="J864" s="24"/>
      <c r="K864" s="24" t="n">
        <v>7</v>
      </c>
      <c r="L864" s="24" t="str">
        <f aca="false">IF(J864&lt;&gt;"","Enrolled",IF(I864&lt;&gt;"","Admitted",IF(H864&lt;&gt;"","Applied",IF(G864&lt;&gt;"","Contacted","New"))))</f>
        <v>Contacted</v>
      </c>
      <c r="M864" s="32" t="n">
        <f aca="false">IF(G864="","",G864-B864)</f>
        <v>1</v>
      </c>
      <c r="N864" s="24" t="str">
        <f aca="false">IF(COUNTIF($A$2:A864,A864)&gt;1,"Duplicate ID",IF(C864="","Missing source",IF(OR(AND(G864&lt;&gt;"",G864&lt;B864),AND(H864&lt;&gt;"",H864&lt;B864),AND(I864&lt;&gt;"",I864&lt;H864),AND(J864&lt;&gt;"",J864&lt;I864)),"Date error","OK")))</f>
        <v>OK</v>
      </c>
    </row>
    <row r="865" customFormat="false" ht="15" hidden="false" customHeight="false" outlineLevel="0" collapsed="false">
      <c r="A865" s="24" t="s">
        <v>943</v>
      </c>
      <c r="B865" s="31" t="n">
        <v>46203</v>
      </c>
      <c r="C865" s="24" t="s">
        <v>22</v>
      </c>
      <c r="D865" s="24" t="s">
        <v>36</v>
      </c>
      <c r="E865" s="24" t="s">
        <v>79</v>
      </c>
      <c r="F865" s="24" t="s">
        <v>40</v>
      </c>
      <c r="G865" s="31" t="n">
        <v>46203</v>
      </c>
      <c r="H865" s="31" t="n">
        <v>46206</v>
      </c>
      <c r="I865" s="31" t="n">
        <v>46214</v>
      </c>
      <c r="J865" s="24"/>
      <c r="K865" s="24" t="n">
        <v>2</v>
      </c>
      <c r="L865" s="24" t="str">
        <f aca="false">IF(J865&lt;&gt;"","Enrolled",IF(I865&lt;&gt;"","Admitted",IF(H865&lt;&gt;"","Applied",IF(G865&lt;&gt;"","Contacted","New"))))</f>
        <v>Admitted</v>
      </c>
      <c r="M865" s="32" t="n">
        <f aca="false">IF(G865="","",G865-B865)</f>
        <v>0</v>
      </c>
      <c r="N865" s="24" t="str">
        <f aca="false">IF(COUNTIF($A$2:A865,A865)&gt;1,"Duplicate ID",IF(C865="","Missing source",IF(OR(AND(G865&lt;&gt;"",G865&lt;B865),AND(H865&lt;&gt;"",H865&lt;B865),AND(I865&lt;&gt;"",I865&lt;H865),AND(J865&lt;&gt;"",J865&lt;I865)),"Date error","OK")))</f>
        <v>OK</v>
      </c>
    </row>
    <row r="866" customFormat="false" ht="15" hidden="false" customHeight="false" outlineLevel="0" collapsed="false">
      <c r="A866" s="24" t="s">
        <v>944</v>
      </c>
      <c r="B866" s="31" t="n">
        <v>46204</v>
      </c>
      <c r="C866" s="24" t="s">
        <v>26</v>
      </c>
      <c r="D866" s="24" t="s">
        <v>35</v>
      </c>
      <c r="E866" s="24" t="s">
        <v>89</v>
      </c>
      <c r="F866" s="24" t="s">
        <v>44</v>
      </c>
      <c r="G866" s="24"/>
      <c r="H866" s="24"/>
      <c r="I866" s="24"/>
      <c r="J866" s="24"/>
      <c r="K866" s="24" t="n">
        <v>0</v>
      </c>
      <c r="L866" s="24" t="str">
        <f aca="false">IF(J866&lt;&gt;"","Enrolled",IF(I866&lt;&gt;"","Admitted",IF(H866&lt;&gt;"","Applied",IF(G866&lt;&gt;"","Contacted","New"))))</f>
        <v>New</v>
      </c>
      <c r="M866" s="32" t="str">
        <f aca="false">IF(G866="","",G866-B866)</f>
        <v/>
      </c>
      <c r="N866" s="24" t="str">
        <f aca="false">IF(COUNTIF($A$2:A866,A866)&gt;1,"Duplicate ID",IF(C866="","Missing source",IF(OR(AND(G866&lt;&gt;"",G866&lt;B866),AND(H866&lt;&gt;"",H866&lt;B866),AND(I866&lt;&gt;"",I866&lt;H866),AND(J866&lt;&gt;"",J866&lt;I866)),"Date error","OK")))</f>
        <v>OK</v>
      </c>
    </row>
    <row r="867" customFormat="false" ht="15" hidden="false" customHeight="false" outlineLevel="0" collapsed="false">
      <c r="A867" s="24" t="s">
        <v>945</v>
      </c>
      <c r="B867" s="31" t="n">
        <v>46204</v>
      </c>
      <c r="C867" s="24" t="s">
        <v>21</v>
      </c>
      <c r="D867" s="24" t="s">
        <v>33</v>
      </c>
      <c r="E867" s="24" t="s">
        <v>94</v>
      </c>
      <c r="F867" s="24" t="s">
        <v>45</v>
      </c>
      <c r="G867" s="31" t="n">
        <v>46204</v>
      </c>
      <c r="H867" s="31" t="n">
        <v>46229</v>
      </c>
      <c r="I867" s="31" t="n">
        <v>46243</v>
      </c>
      <c r="J867" s="24"/>
      <c r="K867" s="24" t="n">
        <v>4</v>
      </c>
      <c r="L867" s="24" t="str">
        <f aca="false">IF(J867&lt;&gt;"","Enrolled",IF(I867&lt;&gt;"","Admitted",IF(H867&lt;&gt;"","Applied",IF(G867&lt;&gt;"","Contacted","New"))))</f>
        <v>Admitted</v>
      </c>
      <c r="M867" s="32" t="n">
        <f aca="false">IF(G867="","",G867-B867)</f>
        <v>0</v>
      </c>
      <c r="N867" s="24" t="str">
        <f aca="false">IF(COUNTIF($A$2:A867,A867)&gt;1,"Duplicate ID",IF(C867="","Missing source",IF(OR(AND(G867&lt;&gt;"",G867&lt;B867),AND(H867&lt;&gt;"",H867&lt;B867),AND(I867&lt;&gt;"",I867&lt;H867),AND(J867&lt;&gt;"",J867&lt;I867)),"Date error","OK")))</f>
        <v>OK</v>
      </c>
    </row>
    <row r="868" customFormat="false" ht="15" hidden="false" customHeight="false" outlineLevel="0" collapsed="false">
      <c r="A868" s="24" t="s">
        <v>946</v>
      </c>
      <c r="B868" s="31" t="n">
        <v>46204</v>
      </c>
      <c r="C868" s="24" t="s">
        <v>26</v>
      </c>
      <c r="D868" s="24" t="s">
        <v>36</v>
      </c>
      <c r="E868" s="24" t="s">
        <v>89</v>
      </c>
      <c r="F868" s="24" t="s">
        <v>41</v>
      </c>
      <c r="G868" s="24"/>
      <c r="H868" s="24"/>
      <c r="I868" s="24"/>
      <c r="J868" s="24"/>
      <c r="K868" s="24" t="n">
        <v>0</v>
      </c>
      <c r="L868" s="24" t="str">
        <f aca="false">IF(J868&lt;&gt;"","Enrolled",IF(I868&lt;&gt;"","Admitted",IF(H868&lt;&gt;"","Applied",IF(G868&lt;&gt;"","Contacted","New"))))</f>
        <v>New</v>
      </c>
      <c r="M868" s="32" t="str">
        <f aca="false">IF(G868="","",G868-B868)</f>
        <v/>
      </c>
      <c r="N868" s="24" t="str">
        <f aca="false">IF(COUNTIF($A$2:A868,A868)&gt;1,"Duplicate ID",IF(C868="","Missing source",IF(OR(AND(G868&lt;&gt;"",G868&lt;B868),AND(H868&lt;&gt;"",H868&lt;B868),AND(I868&lt;&gt;"",I868&lt;H868),AND(J868&lt;&gt;"",J868&lt;I868)),"Date error","OK")))</f>
        <v>OK</v>
      </c>
    </row>
    <row r="869" customFormat="false" ht="15" hidden="false" customHeight="false" outlineLevel="0" collapsed="false">
      <c r="A869" s="24" t="s">
        <v>947</v>
      </c>
      <c r="B869" s="31" t="n">
        <v>46204</v>
      </c>
      <c r="C869" s="24" t="s">
        <v>26</v>
      </c>
      <c r="D869" s="24" t="s">
        <v>33</v>
      </c>
      <c r="E869" s="24" t="s">
        <v>84</v>
      </c>
      <c r="F869" s="24" t="s">
        <v>44</v>
      </c>
      <c r="G869" s="31" t="n">
        <v>46212</v>
      </c>
      <c r="H869" s="24"/>
      <c r="I869" s="24"/>
      <c r="J869" s="24"/>
      <c r="K869" s="24" t="n">
        <v>1</v>
      </c>
      <c r="L869" s="24" t="str">
        <f aca="false">IF(J869&lt;&gt;"","Enrolled",IF(I869&lt;&gt;"","Admitted",IF(H869&lt;&gt;"","Applied",IF(G869&lt;&gt;"","Contacted","New"))))</f>
        <v>Contacted</v>
      </c>
      <c r="M869" s="32" t="n">
        <f aca="false">IF(G869="","",G869-B869)</f>
        <v>8</v>
      </c>
      <c r="N869" s="24" t="str">
        <f aca="false">IF(COUNTIF($A$2:A869,A869)&gt;1,"Duplicate ID",IF(C869="","Missing source",IF(OR(AND(G869&lt;&gt;"",G869&lt;B869),AND(H869&lt;&gt;"",H869&lt;B869),AND(I869&lt;&gt;"",I869&lt;H869),AND(J869&lt;&gt;"",J869&lt;I869)),"Date error","OK")))</f>
        <v>OK</v>
      </c>
    </row>
    <row r="870" customFormat="false" ht="15" hidden="false" customHeight="false" outlineLevel="0" collapsed="false">
      <c r="A870" s="24" t="s">
        <v>948</v>
      </c>
      <c r="B870" s="31" t="n">
        <v>46204</v>
      </c>
      <c r="C870" s="24" t="s">
        <v>27</v>
      </c>
      <c r="D870" s="24" t="s">
        <v>34</v>
      </c>
      <c r="E870" s="24" t="s">
        <v>94</v>
      </c>
      <c r="F870" s="24" t="s">
        <v>43</v>
      </c>
      <c r="G870" s="31" t="n">
        <v>46205</v>
      </c>
      <c r="H870" s="31" t="n">
        <v>46219</v>
      </c>
      <c r="I870" s="24"/>
      <c r="J870" s="24"/>
      <c r="K870" s="24" t="n">
        <v>0</v>
      </c>
      <c r="L870" s="24" t="str">
        <f aca="false">IF(J870&lt;&gt;"","Enrolled",IF(I870&lt;&gt;"","Admitted",IF(H870&lt;&gt;"","Applied",IF(G870&lt;&gt;"","Contacted","New"))))</f>
        <v>Applied</v>
      </c>
      <c r="M870" s="32" t="n">
        <f aca="false">IF(G870="","",G870-B870)</f>
        <v>1</v>
      </c>
      <c r="N870" s="24" t="str">
        <f aca="false">IF(COUNTIF($A$2:A870,A870)&gt;1,"Duplicate ID",IF(C870="","Missing source",IF(OR(AND(G870&lt;&gt;"",G870&lt;B870),AND(H870&lt;&gt;"",H870&lt;B870),AND(I870&lt;&gt;"",I870&lt;H870),AND(J870&lt;&gt;"",J870&lt;I870)),"Date error","OK")))</f>
        <v>OK</v>
      </c>
    </row>
    <row r="871" customFormat="false" ht="15" hidden="false" customHeight="false" outlineLevel="0" collapsed="false">
      <c r="A871" s="24" t="s">
        <v>949</v>
      </c>
      <c r="B871" s="31" t="n">
        <v>46204</v>
      </c>
      <c r="C871" s="24" t="s">
        <v>26</v>
      </c>
      <c r="D871" s="24" t="s">
        <v>32</v>
      </c>
      <c r="E871" s="24" t="s">
        <v>89</v>
      </c>
      <c r="F871" s="24" t="s">
        <v>43</v>
      </c>
      <c r="G871" s="31" t="n">
        <v>46204</v>
      </c>
      <c r="H871" s="24"/>
      <c r="I871" s="24"/>
      <c r="J871" s="24"/>
      <c r="K871" s="24" t="n">
        <v>1</v>
      </c>
      <c r="L871" s="24" t="str">
        <f aca="false">IF(J871&lt;&gt;"","Enrolled",IF(I871&lt;&gt;"","Admitted",IF(H871&lt;&gt;"","Applied",IF(G871&lt;&gt;"","Contacted","New"))))</f>
        <v>Contacted</v>
      </c>
      <c r="M871" s="32" t="n">
        <f aca="false">IF(G871="","",G871-B871)</f>
        <v>0</v>
      </c>
      <c r="N871" s="24" t="str">
        <f aca="false">IF(COUNTIF($A$2:A871,A871)&gt;1,"Duplicate ID",IF(C871="","Missing source",IF(OR(AND(G871&lt;&gt;"",G871&lt;B871),AND(H871&lt;&gt;"",H871&lt;B871),AND(I871&lt;&gt;"",I871&lt;H871),AND(J871&lt;&gt;"",J871&lt;I871)),"Date error","OK")))</f>
        <v>OK</v>
      </c>
    </row>
    <row r="872" customFormat="false" ht="15" hidden="false" customHeight="false" outlineLevel="0" collapsed="false">
      <c r="A872" s="24" t="s">
        <v>950</v>
      </c>
      <c r="B872" s="31" t="n">
        <v>46204</v>
      </c>
      <c r="C872" s="24" t="s">
        <v>27</v>
      </c>
      <c r="D872" s="24" t="s">
        <v>33</v>
      </c>
      <c r="E872" s="24" t="s">
        <v>89</v>
      </c>
      <c r="F872" s="24" t="s">
        <v>45</v>
      </c>
      <c r="G872" s="31" t="n">
        <v>46204</v>
      </c>
      <c r="H872" s="24"/>
      <c r="I872" s="24"/>
      <c r="J872" s="24"/>
      <c r="K872" s="24" t="n">
        <v>5</v>
      </c>
      <c r="L872" s="24" t="str">
        <f aca="false">IF(J872&lt;&gt;"","Enrolled",IF(I872&lt;&gt;"","Admitted",IF(H872&lt;&gt;"","Applied",IF(G872&lt;&gt;"","Contacted","New"))))</f>
        <v>Contacted</v>
      </c>
      <c r="M872" s="32" t="n">
        <f aca="false">IF(G872="","",G872-B872)</f>
        <v>0</v>
      </c>
      <c r="N872" s="24" t="str">
        <f aca="false">IF(COUNTIF($A$2:A872,A872)&gt;1,"Duplicate ID",IF(C872="","Missing source",IF(OR(AND(G872&lt;&gt;"",G872&lt;B872),AND(H872&lt;&gt;"",H872&lt;B872),AND(I872&lt;&gt;"",I872&lt;H872),AND(J872&lt;&gt;"",J872&lt;I872)),"Date error","OK")))</f>
        <v>OK</v>
      </c>
    </row>
    <row r="873" customFormat="false" ht="15" hidden="false" customHeight="false" outlineLevel="0" collapsed="false">
      <c r="A873" s="24" t="s">
        <v>951</v>
      </c>
      <c r="B873" s="31" t="n">
        <v>46204</v>
      </c>
      <c r="C873" s="24" t="s">
        <v>25</v>
      </c>
      <c r="D873" s="24" t="s">
        <v>35</v>
      </c>
      <c r="E873" s="24" t="s">
        <v>89</v>
      </c>
      <c r="F873" s="24" t="s">
        <v>44</v>
      </c>
      <c r="G873" s="31" t="n">
        <v>46207</v>
      </c>
      <c r="H873" s="24"/>
      <c r="I873" s="24"/>
      <c r="J873" s="24"/>
      <c r="K873" s="24" t="n">
        <v>3</v>
      </c>
      <c r="L873" s="24" t="str">
        <f aca="false">IF(J873&lt;&gt;"","Enrolled",IF(I873&lt;&gt;"","Admitted",IF(H873&lt;&gt;"","Applied",IF(G873&lt;&gt;"","Contacted","New"))))</f>
        <v>Contacted</v>
      </c>
      <c r="M873" s="32" t="n">
        <f aca="false">IF(G873="","",G873-B873)</f>
        <v>3</v>
      </c>
      <c r="N873" s="24" t="str">
        <f aca="false">IF(COUNTIF($A$2:A873,A873)&gt;1,"Duplicate ID",IF(C873="","Missing source",IF(OR(AND(G873&lt;&gt;"",G873&lt;B873),AND(H873&lt;&gt;"",H873&lt;B873),AND(I873&lt;&gt;"",I873&lt;H873),AND(J873&lt;&gt;"",J873&lt;I873)),"Date error","OK")))</f>
        <v>OK</v>
      </c>
    </row>
    <row r="874" customFormat="false" ht="15" hidden="false" customHeight="false" outlineLevel="0" collapsed="false">
      <c r="A874" s="24" t="s">
        <v>952</v>
      </c>
      <c r="B874" s="31" t="n">
        <v>46204</v>
      </c>
      <c r="C874" s="24" t="s">
        <v>24</v>
      </c>
      <c r="D874" s="24" t="s">
        <v>32</v>
      </c>
      <c r="E874" s="24" t="s">
        <v>79</v>
      </c>
      <c r="F874" s="24" t="s">
        <v>44</v>
      </c>
      <c r="G874" s="31" t="n">
        <v>46209</v>
      </c>
      <c r="H874" s="24"/>
      <c r="I874" s="24"/>
      <c r="J874" s="24"/>
      <c r="K874" s="24" t="n">
        <v>1</v>
      </c>
      <c r="L874" s="24" t="str">
        <f aca="false">IF(J874&lt;&gt;"","Enrolled",IF(I874&lt;&gt;"","Admitted",IF(H874&lt;&gt;"","Applied",IF(G874&lt;&gt;"","Contacted","New"))))</f>
        <v>Contacted</v>
      </c>
      <c r="M874" s="32" t="n">
        <f aca="false">IF(G874="","",G874-B874)</f>
        <v>5</v>
      </c>
      <c r="N874" s="24" t="str">
        <f aca="false">IF(COUNTIF($A$2:A874,A874)&gt;1,"Duplicate ID",IF(C874="","Missing source",IF(OR(AND(G874&lt;&gt;"",G874&lt;B874),AND(H874&lt;&gt;"",H874&lt;B874),AND(I874&lt;&gt;"",I874&lt;H874),AND(J874&lt;&gt;"",J874&lt;I874)),"Date error","OK")))</f>
        <v>OK</v>
      </c>
    </row>
    <row r="875" customFormat="false" ht="15" hidden="false" customHeight="false" outlineLevel="0" collapsed="false">
      <c r="A875" s="24" t="s">
        <v>953</v>
      </c>
      <c r="B875" s="31" t="n">
        <v>46205</v>
      </c>
      <c r="C875" s="24" t="s">
        <v>22</v>
      </c>
      <c r="D875" s="24" t="s">
        <v>33</v>
      </c>
      <c r="E875" s="24" t="s">
        <v>89</v>
      </c>
      <c r="F875" s="24" t="s">
        <v>44</v>
      </c>
      <c r="G875" s="31" t="n">
        <v>46206</v>
      </c>
      <c r="H875" s="24"/>
      <c r="I875" s="24"/>
      <c r="J875" s="24"/>
      <c r="K875" s="24" t="n">
        <v>3</v>
      </c>
      <c r="L875" s="24" t="str">
        <f aca="false">IF(J875&lt;&gt;"","Enrolled",IF(I875&lt;&gt;"","Admitted",IF(H875&lt;&gt;"","Applied",IF(G875&lt;&gt;"","Contacted","New"))))</f>
        <v>Contacted</v>
      </c>
      <c r="M875" s="32" t="n">
        <f aca="false">IF(G875="","",G875-B875)</f>
        <v>1</v>
      </c>
      <c r="N875" s="24" t="str">
        <f aca="false">IF(COUNTIF($A$2:A875,A875)&gt;1,"Duplicate ID",IF(C875="","Missing source",IF(OR(AND(G875&lt;&gt;"",G875&lt;B875),AND(H875&lt;&gt;"",H875&lt;B875),AND(I875&lt;&gt;"",I875&lt;H875),AND(J875&lt;&gt;"",J875&lt;I875)),"Date error","OK")))</f>
        <v>OK</v>
      </c>
    </row>
    <row r="876" customFormat="false" ht="15" hidden="false" customHeight="false" outlineLevel="0" collapsed="false">
      <c r="A876" s="24" t="s">
        <v>954</v>
      </c>
      <c r="B876" s="31" t="n">
        <v>46205</v>
      </c>
      <c r="C876" s="24" t="s">
        <v>26</v>
      </c>
      <c r="D876" s="24" t="s">
        <v>34</v>
      </c>
      <c r="E876" s="24" t="s">
        <v>79</v>
      </c>
      <c r="F876" s="24" t="s">
        <v>45</v>
      </c>
      <c r="G876" s="31" t="n">
        <v>46210</v>
      </c>
      <c r="H876" s="24"/>
      <c r="I876" s="24"/>
      <c r="J876" s="24"/>
      <c r="K876" s="24" t="n">
        <v>2</v>
      </c>
      <c r="L876" s="24" t="str">
        <f aca="false">IF(J876&lt;&gt;"","Enrolled",IF(I876&lt;&gt;"","Admitted",IF(H876&lt;&gt;"","Applied",IF(G876&lt;&gt;"","Contacted","New"))))</f>
        <v>Contacted</v>
      </c>
      <c r="M876" s="32" t="n">
        <f aca="false">IF(G876="","",G876-B876)</f>
        <v>5</v>
      </c>
      <c r="N876" s="24" t="str">
        <f aca="false">IF(COUNTIF($A$2:A876,A876)&gt;1,"Duplicate ID",IF(C876="","Missing source",IF(OR(AND(G876&lt;&gt;"",G876&lt;B876),AND(H876&lt;&gt;"",H876&lt;B876),AND(I876&lt;&gt;"",I876&lt;H876),AND(J876&lt;&gt;"",J876&lt;I876)),"Date error","OK")))</f>
        <v>OK</v>
      </c>
    </row>
    <row r="877" customFormat="false" ht="15" hidden="false" customHeight="false" outlineLevel="0" collapsed="false">
      <c r="A877" s="24" t="s">
        <v>955</v>
      </c>
      <c r="B877" s="31" t="n">
        <v>46205</v>
      </c>
      <c r="C877" s="24" t="s">
        <v>25</v>
      </c>
      <c r="D877" s="24" t="s">
        <v>33</v>
      </c>
      <c r="E877" s="24" t="s">
        <v>94</v>
      </c>
      <c r="F877" s="24" t="s">
        <v>42</v>
      </c>
      <c r="G877" s="31" t="n">
        <v>46205</v>
      </c>
      <c r="H877" s="24"/>
      <c r="I877" s="24"/>
      <c r="J877" s="24"/>
      <c r="K877" s="24" t="n">
        <v>5</v>
      </c>
      <c r="L877" s="24" t="str">
        <f aca="false">IF(J877&lt;&gt;"","Enrolled",IF(I877&lt;&gt;"","Admitted",IF(H877&lt;&gt;"","Applied",IF(G877&lt;&gt;"","Contacted","New"))))</f>
        <v>Contacted</v>
      </c>
      <c r="M877" s="32" t="n">
        <f aca="false">IF(G877="","",G877-B877)</f>
        <v>0</v>
      </c>
      <c r="N877" s="24" t="str">
        <f aca="false">IF(COUNTIF($A$2:A877,A877)&gt;1,"Duplicate ID",IF(C877="","Missing source",IF(OR(AND(G877&lt;&gt;"",G877&lt;B877),AND(H877&lt;&gt;"",H877&lt;B877),AND(I877&lt;&gt;"",I877&lt;H877),AND(J877&lt;&gt;"",J877&lt;I877)),"Date error","OK")))</f>
        <v>OK</v>
      </c>
    </row>
    <row r="878" customFormat="false" ht="15" hidden="false" customHeight="false" outlineLevel="0" collapsed="false">
      <c r="A878" s="24" t="s">
        <v>956</v>
      </c>
      <c r="B878" s="31" t="n">
        <v>46205</v>
      </c>
      <c r="C878" s="24" t="s">
        <v>26</v>
      </c>
      <c r="D878" s="24" t="s">
        <v>32</v>
      </c>
      <c r="E878" s="24" t="s">
        <v>89</v>
      </c>
      <c r="F878" s="24" t="s">
        <v>44</v>
      </c>
      <c r="G878" s="24"/>
      <c r="H878" s="24"/>
      <c r="I878" s="24"/>
      <c r="J878" s="24"/>
      <c r="K878" s="24" t="n">
        <v>0</v>
      </c>
      <c r="L878" s="24" t="str">
        <f aca="false">IF(J878&lt;&gt;"","Enrolled",IF(I878&lt;&gt;"","Admitted",IF(H878&lt;&gt;"","Applied",IF(G878&lt;&gt;"","Contacted","New"))))</f>
        <v>New</v>
      </c>
      <c r="M878" s="32" t="str">
        <f aca="false">IF(G878="","",G878-B878)</f>
        <v/>
      </c>
      <c r="N878" s="24" t="str">
        <f aca="false">IF(COUNTIF($A$2:A878,A878)&gt;1,"Duplicate ID",IF(C878="","Missing source",IF(OR(AND(G878&lt;&gt;"",G878&lt;B878),AND(H878&lt;&gt;"",H878&lt;B878),AND(I878&lt;&gt;"",I878&lt;H878),AND(J878&lt;&gt;"",J878&lt;I878)),"Date error","OK")))</f>
        <v>OK</v>
      </c>
    </row>
    <row r="879" customFormat="false" ht="15" hidden="false" customHeight="false" outlineLevel="0" collapsed="false">
      <c r="A879" s="24" t="s">
        <v>957</v>
      </c>
      <c r="B879" s="31" t="n">
        <v>46205</v>
      </c>
      <c r="C879" s="24" t="s">
        <v>23</v>
      </c>
      <c r="D879" s="24" t="s">
        <v>36</v>
      </c>
      <c r="E879" s="24" t="s">
        <v>89</v>
      </c>
      <c r="F879" s="24" t="s">
        <v>43</v>
      </c>
      <c r="G879" s="31" t="n">
        <v>46207</v>
      </c>
      <c r="H879" s="31" t="n">
        <v>46219</v>
      </c>
      <c r="I879" s="31" t="n">
        <v>46224</v>
      </c>
      <c r="J879" s="24"/>
      <c r="K879" s="24" t="n">
        <v>1</v>
      </c>
      <c r="L879" s="24" t="str">
        <f aca="false">IF(J879&lt;&gt;"","Enrolled",IF(I879&lt;&gt;"","Admitted",IF(H879&lt;&gt;"","Applied",IF(G879&lt;&gt;"","Contacted","New"))))</f>
        <v>Admitted</v>
      </c>
      <c r="M879" s="32" t="n">
        <f aca="false">IF(G879="","",G879-B879)</f>
        <v>2</v>
      </c>
      <c r="N879" s="24" t="str">
        <f aca="false">IF(COUNTIF($A$2:A879,A879)&gt;1,"Duplicate ID",IF(C879="","Missing source",IF(OR(AND(G879&lt;&gt;"",G879&lt;B879),AND(H879&lt;&gt;"",H879&lt;B879),AND(I879&lt;&gt;"",I879&lt;H879),AND(J879&lt;&gt;"",J879&lt;I879)),"Date error","OK")))</f>
        <v>OK</v>
      </c>
    </row>
    <row r="880" customFormat="false" ht="15" hidden="false" customHeight="false" outlineLevel="0" collapsed="false">
      <c r="A880" s="24" t="s">
        <v>958</v>
      </c>
      <c r="B880" s="31" t="n">
        <v>46205</v>
      </c>
      <c r="C880" s="24" t="s">
        <v>23</v>
      </c>
      <c r="D880" s="24" t="s">
        <v>32</v>
      </c>
      <c r="E880" s="24" t="s">
        <v>84</v>
      </c>
      <c r="F880" s="24" t="s">
        <v>42</v>
      </c>
      <c r="G880" s="31" t="n">
        <v>46208</v>
      </c>
      <c r="H880" s="24"/>
      <c r="I880" s="24"/>
      <c r="J880" s="24"/>
      <c r="K880" s="24" t="n">
        <v>5</v>
      </c>
      <c r="L880" s="24" t="str">
        <f aca="false">IF(J880&lt;&gt;"","Enrolled",IF(I880&lt;&gt;"","Admitted",IF(H880&lt;&gt;"","Applied",IF(G880&lt;&gt;"","Contacted","New"))))</f>
        <v>Contacted</v>
      </c>
      <c r="M880" s="32" t="n">
        <f aca="false">IF(G880="","",G880-B880)</f>
        <v>3</v>
      </c>
      <c r="N880" s="24" t="str">
        <f aca="false">IF(COUNTIF($A$2:A880,A880)&gt;1,"Duplicate ID",IF(C880="","Missing source",IF(OR(AND(G880&lt;&gt;"",G880&lt;B880),AND(H880&lt;&gt;"",H880&lt;B880),AND(I880&lt;&gt;"",I880&lt;H880),AND(J880&lt;&gt;"",J880&lt;I880)),"Date error","OK")))</f>
        <v>OK</v>
      </c>
    </row>
    <row r="881" customFormat="false" ht="15" hidden="false" customHeight="false" outlineLevel="0" collapsed="false">
      <c r="A881" s="24" t="s">
        <v>959</v>
      </c>
      <c r="B881" s="31" t="n">
        <v>46205</v>
      </c>
      <c r="C881" s="24" t="s">
        <v>27</v>
      </c>
      <c r="D881" s="24" t="s">
        <v>36</v>
      </c>
      <c r="E881" s="24" t="s">
        <v>89</v>
      </c>
      <c r="F881" s="24" t="s">
        <v>45</v>
      </c>
      <c r="G881" s="31" t="n">
        <v>46210</v>
      </c>
      <c r="H881" s="24"/>
      <c r="I881" s="24"/>
      <c r="J881" s="24"/>
      <c r="K881" s="24" t="n">
        <v>1</v>
      </c>
      <c r="L881" s="24" t="str">
        <f aca="false">IF(J881&lt;&gt;"","Enrolled",IF(I881&lt;&gt;"","Admitted",IF(H881&lt;&gt;"","Applied",IF(G881&lt;&gt;"","Contacted","New"))))</f>
        <v>Contacted</v>
      </c>
      <c r="M881" s="32" t="n">
        <f aca="false">IF(G881="","",G881-B881)</f>
        <v>5</v>
      </c>
      <c r="N881" s="24" t="str">
        <f aca="false">IF(COUNTIF($A$2:A881,A881)&gt;1,"Duplicate ID",IF(C881="","Missing source",IF(OR(AND(G881&lt;&gt;"",G881&lt;B881),AND(H881&lt;&gt;"",H881&lt;B881),AND(I881&lt;&gt;"",I881&lt;H881),AND(J881&lt;&gt;"",J881&lt;I881)),"Date error","OK")))</f>
        <v>OK</v>
      </c>
    </row>
    <row r="882" customFormat="false" ht="15" hidden="false" customHeight="false" outlineLevel="0" collapsed="false">
      <c r="A882" s="24" t="s">
        <v>960</v>
      </c>
      <c r="B882" s="31" t="n">
        <v>46205</v>
      </c>
      <c r="C882" s="24" t="s">
        <v>26</v>
      </c>
      <c r="D882" s="24" t="s">
        <v>35</v>
      </c>
      <c r="E882" s="24" t="s">
        <v>81</v>
      </c>
      <c r="F882" s="24" t="s">
        <v>43</v>
      </c>
      <c r="G882" s="24"/>
      <c r="H882" s="24"/>
      <c r="I882" s="24"/>
      <c r="J882" s="24"/>
      <c r="K882" s="24" t="n">
        <v>0</v>
      </c>
      <c r="L882" s="24" t="str">
        <f aca="false">IF(J882&lt;&gt;"","Enrolled",IF(I882&lt;&gt;"","Admitted",IF(H882&lt;&gt;"","Applied",IF(G882&lt;&gt;"","Contacted","New"))))</f>
        <v>New</v>
      </c>
      <c r="M882" s="32" t="str">
        <f aca="false">IF(G882="","",G882-B882)</f>
        <v/>
      </c>
      <c r="N882" s="24" t="str">
        <f aca="false">IF(COUNTIF($A$2:A882,A882)&gt;1,"Duplicate ID",IF(C882="","Missing source",IF(OR(AND(G882&lt;&gt;"",G882&lt;B882),AND(H882&lt;&gt;"",H882&lt;B882),AND(I882&lt;&gt;"",I882&lt;H882),AND(J882&lt;&gt;"",J882&lt;I882)),"Date error","OK")))</f>
        <v>OK</v>
      </c>
    </row>
    <row r="883" customFormat="false" ht="15" hidden="false" customHeight="false" outlineLevel="0" collapsed="false">
      <c r="A883" s="24" t="s">
        <v>961</v>
      </c>
      <c r="B883" s="31" t="n">
        <v>46205</v>
      </c>
      <c r="C883" s="24" t="s">
        <v>26</v>
      </c>
      <c r="D883" s="24" t="s">
        <v>34</v>
      </c>
      <c r="E883" s="24" t="s">
        <v>79</v>
      </c>
      <c r="F883" s="24" t="s">
        <v>43</v>
      </c>
      <c r="G883" s="31" t="n">
        <v>46206</v>
      </c>
      <c r="H883" s="24"/>
      <c r="I883" s="24"/>
      <c r="J883" s="24"/>
      <c r="K883" s="24" t="n">
        <v>3</v>
      </c>
      <c r="L883" s="24" t="str">
        <f aca="false">IF(J883&lt;&gt;"","Enrolled",IF(I883&lt;&gt;"","Admitted",IF(H883&lt;&gt;"","Applied",IF(G883&lt;&gt;"","Contacted","New"))))</f>
        <v>Contacted</v>
      </c>
      <c r="M883" s="32" t="n">
        <f aca="false">IF(G883="","",G883-B883)</f>
        <v>1</v>
      </c>
      <c r="N883" s="24" t="str">
        <f aca="false">IF(COUNTIF($A$2:A883,A883)&gt;1,"Duplicate ID",IF(C883="","Missing source",IF(OR(AND(G883&lt;&gt;"",G883&lt;B883),AND(H883&lt;&gt;"",H883&lt;B883),AND(I883&lt;&gt;"",I883&lt;H883),AND(J883&lt;&gt;"",J883&lt;I883)),"Date error","OK")))</f>
        <v>OK</v>
      </c>
    </row>
    <row r="884" customFormat="false" ht="15" hidden="false" customHeight="false" outlineLevel="0" collapsed="false">
      <c r="A884" s="24" t="s">
        <v>962</v>
      </c>
      <c r="B884" s="31" t="n">
        <v>46205</v>
      </c>
      <c r="C884" s="24" t="s">
        <v>24</v>
      </c>
      <c r="D884" s="24" t="s">
        <v>33</v>
      </c>
      <c r="E884" s="24" t="s">
        <v>89</v>
      </c>
      <c r="F884" s="24" t="s">
        <v>43</v>
      </c>
      <c r="G884" s="31" t="n">
        <v>46207</v>
      </c>
      <c r="H884" s="24"/>
      <c r="I884" s="24"/>
      <c r="J884" s="24"/>
      <c r="K884" s="24" t="n">
        <v>1</v>
      </c>
      <c r="L884" s="24" t="str">
        <f aca="false">IF(J884&lt;&gt;"","Enrolled",IF(I884&lt;&gt;"","Admitted",IF(H884&lt;&gt;"","Applied",IF(G884&lt;&gt;"","Contacted","New"))))</f>
        <v>Contacted</v>
      </c>
      <c r="M884" s="32" t="n">
        <f aca="false">IF(G884="","",G884-B884)</f>
        <v>2</v>
      </c>
      <c r="N884" s="24" t="str">
        <f aca="false">IF(COUNTIF($A$2:A884,A884)&gt;1,"Duplicate ID",IF(C884="","Missing source",IF(OR(AND(G884&lt;&gt;"",G884&lt;B884),AND(H884&lt;&gt;"",H884&lt;B884),AND(I884&lt;&gt;"",I884&lt;H884),AND(J884&lt;&gt;"",J884&lt;I884)),"Date error","OK")))</f>
        <v>OK</v>
      </c>
    </row>
    <row r="885" customFormat="false" ht="15" hidden="false" customHeight="false" outlineLevel="0" collapsed="false">
      <c r="A885" s="24" t="s">
        <v>963</v>
      </c>
      <c r="B885" s="31" t="n">
        <v>46205</v>
      </c>
      <c r="C885" s="24" t="s">
        <v>26</v>
      </c>
      <c r="D885" s="24" t="s">
        <v>36</v>
      </c>
      <c r="E885" s="24" t="s">
        <v>79</v>
      </c>
      <c r="F885" s="24" t="s">
        <v>44</v>
      </c>
      <c r="G885" s="31" t="n">
        <v>46206</v>
      </c>
      <c r="H885" s="24"/>
      <c r="I885" s="24"/>
      <c r="J885" s="24"/>
      <c r="K885" s="24" t="n">
        <v>0</v>
      </c>
      <c r="L885" s="24" t="str">
        <f aca="false">IF(J885&lt;&gt;"","Enrolled",IF(I885&lt;&gt;"","Admitted",IF(H885&lt;&gt;"","Applied",IF(G885&lt;&gt;"","Contacted","New"))))</f>
        <v>Contacted</v>
      </c>
      <c r="M885" s="32" t="n">
        <f aca="false">IF(G885="","",G885-B885)</f>
        <v>1</v>
      </c>
      <c r="N885" s="24" t="str">
        <f aca="false">IF(COUNTIF($A$2:A885,A885)&gt;1,"Duplicate ID",IF(C885="","Missing source",IF(OR(AND(G885&lt;&gt;"",G885&lt;B885),AND(H885&lt;&gt;"",H885&lt;B885),AND(I885&lt;&gt;"",I885&lt;H885),AND(J885&lt;&gt;"",J885&lt;I885)),"Date error","OK")))</f>
        <v>OK</v>
      </c>
    </row>
    <row r="886" customFormat="false" ht="15" hidden="false" customHeight="false" outlineLevel="0" collapsed="false">
      <c r="A886" s="24" t="s">
        <v>964</v>
      </c>
      <c r="B886" s="31" t="n">
        <v>46205</v>
      </c>
      <c r="C886" s="24" t="s">
        <v>23</v>
      </c>
      <c r="D886" s="24" t="s">
        <v>32</v>
      </c>
      <c r="E886" s="24" t="s">
        <v>79</v>
      </c>
      <c r="F886" s="24" t="s">
        <v>42</v>
      </c>
      <c r="G886" s="31" t="n">
        <v>46207</v>
      </c>
      <c r="H886" s="24"/>
      <c r="I886" s="24"/>
      <c r="J886" s="24"/>
      <c r="K886" s="24" t="n">
        <v>1</v>
      </c>
      <c r="L886" s="24" t="str">
        <f aca="false">IF(J886&lt;&gt;"","Enrolled",IF(I886&lt;&gt;"","Admitted",IF(H886&lt;&gt;"","Applied",IF(G886&lt;&gt;"","Contacted","New"))))</f>
        <v>Contacted</v>
      </c>
      <c r="M886" s="32" t="n">
        <f aca="false">IF(G886="","",G886-B886)</f>
        <v>2</v>
      </c>
      <c r="N886" s="24" t="str">
        <f aca="false">IF(COUNTIF($A$2:A886,A886)&gt;1,"Duplicate ID",IF(C886="","Missing source",IF(OR(AND(G886&lt;&gt;"",G886&lt;B886),AND(H886&lt;&gt;"",H886&lt;B886),AND(I886&lt;&gt;"",I886&lt;H886),AND(J886&lt;&gt;"",J886&lt;I886)),"Date error","OK")))</f>
        <v>OK</v>
      </c>
    </row>
    <row r="887" customFormat="false" ht="15" hidden="false" customHeight="false" outlineLevel="0" collapsed="false">
      <c r="A887" s="24" t="s">
        <v>965</v>
      </c>
      <c r="B887" s="31" t="n">
        <v>46205</v>
      </c>
      <c r="C887" s="24" t="s">
        <v>21</v>
      </c>
      <c r="D887" s="24" t="s">
        <v>36</v>
      </c>
      <c r="E887" s="24" t="s">
        <v>84</v>
      </c>
      <c r="F887" s="24" t="s">
        <v>45</v>
      </c>
      <c r="G887" s="31" t="n">
        <v>46205</v>
      </c>
      <c r="H887" s="24"/>
      <c r="I887" s="24"/>
      <c r="J887" s="24"/>
      <c r="K887" s="24" t="n">
        <v>3</v>
      </c>
      <c r="L887" s="24" t="str">
        <f aca="false">IF(J887&lt;&gt;"","Enrolled",IF(I887&lt;&gt;"","Admitted",IF(H887&lt;&gt;"","Applied",IF(G887&lt;&gt;"","Contacted","New"))))</f>
        <v>Contacted</v>
      </c>
      <c r="M887" s="32" t="n">
        <f aca="false">IF(G887="","",G887-B887)</f>
        <v>0</v>
      </c>
      <c r="N887" s="24" t="str">
        <f aca="false">IF(COUNTIF($A$2:A887,A887)&gt;1,"Duplicate ID",IF(C887="","Missing source",IF(OR(AND(G887&lt;&gt;"",G887&lt;B887),AND(H887&lt;&gt;"",H887&lt;B887),AND(I887&lt;&gt;"",I887&lt;H887),AND(J887&lt;&gt;"",J887&lt;I887)),"Date error","OK")))</f>
        <v>OK</v>
      </c>
    </row>
    <row r="888" customFormat="false" ht="15" hidden="false" customHeight="false" outlineLevel="0" collapsed="false">
      <c r="A888" s="24" t="s">
        <v>966</v>
      </c>
      <c r="B888" s="31" t="n">
        <v>46205</v>
      </c>
      <c r="C888" s="24" t="s">
        <v>26</v>
      </c>
      <c r="D888" s="24" t="s">
        <v>32</v>
      </c>
      <c r="E888" s="24" t="s">
        <v>89</v>
      </c>
      <c r="F888" s="24" t="s">
        <v>41</v>
      </c>
      <c r="G888" s="31" t="n">
        <v>46206</v>
      </c>
      <c r="H888" s="24"/>
      <c r="I888" s="24"/>
      <c r="J888" s="24"/>
      <c r="K888" s="24" t="n">
        <v>3</v>
      </c>
      <c r="L888" s="24" t="str">
        <f aca="false">IF(J888&lt;&gt;"","Enrolled",IF(I888&lt;&gt;"","Admitted",IF(H888&lt;&gt;"","Applied",IF(G888&lt;&gt;"","Contacted","New"))))</f>
        <v>Contacted</v>
      </c>
      <c r="M888" s="32" t="n">
        <f aca="false">IF(G888="","",G888-B888)</f>
        <v>1</v>
      </c>
      <c r="N888" s="24" t="str">
        <f aca="false">IF(COUNTIF($A$2:A888,A888)&gt;1,"Duplicate ID",IF(C888="","Missing source",IF(OR(AND(G888&lt;&gt;"",G888&lt;B888),AND(H888&lt;&gt;"",H888&lt;B888),AND(I888&lt;&gt;"",I888&lt;H888),AND(J888&lt;&gt;"",J888&lt;I888)),"Date error","OK")))</f>
        <v>OK</v>
      </c>
    </row>
    <row r="889" customFormat="false" ht="15" hidden="false" customHeight="false" outlineLevel="0" collapsed="false">
      <c r="A889" s="24" t="s">
        <v>967</v>
      </c>
      <c r="B889" s="31" t="n">
        <v>46206</v>
      </c>
      <c r="C889" s="24" t="s">
        <v>23</v>
      </c>
      <c r="D889" s="24" t="s">
        <v>35</v>
      </c>
      <c r="E889" s="24" t="s">
        <v>94</v>
      </c>
      <c r="F889" s="24" t="s">
        <v>43</v>
      </c>
      <c r="G889" s="31" t="n">
        <v>46207</v>
      </c>
      <c r="H889" s="24"/>
      <c r="I889" s="24"/>
      <c r="J889" s="24"/>
      <c r="K889" s="24" t="n">
        <v>3</v>
      </c>
      <c r="L889" s="24" t="str">
        <f aca="false">IF(J889&lt;&gt;"","Enrolled",IF(I889&lt;&gt;"","Admitted",IF(H889&lt;&gt;"","Applied",IF(G889&lt;&gt;"","Contacted","New"))))</f>
        <v>Contacted</v>
      </c>
      <c r="M889" s="32" t="n">
        <f aca="false">IF(G889="","",G889-B889)</f>
        <v>1</v>
      </c>
      <c r="N889" s="24" t="str">
        <f aca="false">IF(COUNTIF($A$2:A889,A889)&gt;1,"Duplicate ID",IF(C889="","Missing source",IF(OR(AND(G889&lt;&gt;"",G889&lt;B889),AND(H889&lt;&gt;"",H889&lt;B889),AND(I889&lt;&gt;"",I889&lt;H889),AND(J889&lt;&gt;"",J889&lt;I889)),"Date error","OK")))</f>
        <v>OK</v>
      </c>
    </row>
    <row r="890" customFormat="false" ht="15" hidden="false" customHeight="false" outlineLevel="0" collapsed="false">
      <c r="A890" s="24" t="s">
        <v>968</v>
      </c>
      <c r="B890" s="31" t="n">
        <v>46206</v>
      </c>
      <c r="C890" s="24" t="s">
        <v>23</v>
      </c>
      <c r="D890" s="24" t="s">
        <v>35</v>
      </c>
      <c r="E890" s="24" t="s">
        <v>79</v>
      </c>
      <c r="F890" s="24" t="s">
        <v>44</v>
      </c>
      <c r="G890" s="31" t="n">
        <v>46207</v>
      </c>
      <c r="H890" s="31" t="n">
        <v>46217</v>
      </c>
      <c r="I890" s="31" t="n">
        <v>46225</v>
      </c>
      <c r="J890" s="24"/>
      <c r="K890" s="24" t="n">
        <v>2</v>
      </c>
      <c r="L890" s="24" t="str">
        <f aca="false">IF(J890&lt;&gt;"","Enrolled",IF(I890&lt;&gt;"","Admitted",IF(H890&lt;&gt;"","Applied",IF(G890&lt;&gt;"","Contacted","New"))))</f>
        <v>Admitted</v>
      </c>
      <c r="M890" s="32" t="n">
        <f aca="false">IF(G890="","",G890-B890)</f>
        <v>1</v>
      </c>
      <c r="N890" s="24" t="str">
        <f aca="false">IF(COUNTIF($A$2:A890,A890)&gt;1,"Duplicate ID",IF(C890="","Missing source",IF(OR(AND(G890&lt;&gt;"",G890&lt;B890),AND(H890&lt;&gt;"",H890&lt;B890),AND(I890&lt;&gt;"",I890&lt;H890),AND(J890&lt;&gt;"",J890&lt;I890)),"Date error","OK")))</f>
        <v>OK</v>
      </c>
    </row>
    <row r="891" customFormat="false" ht="15" hidden="false" customHeight="false" outlineLevel="0" collapsed="false">
      <c r="A891" s="24" t="s">
        <v>969</v>
      </c>
      <c r="B891" s="31" t="n">
        <v>46206</v>
      </c>
      <c r="C891" s="24" t="s">
        <v>22</v>
      </c>
      <c r="D891" s="24" t="s">
        <v>33</v>
      </c>
      <c r="E891" s="24" t="s">
        <v>89</v>
      </c>
      <c r="F891" s="24" t="s">
        <v>42</v>
      </c>
      <c r="G891" s="24"/>
      <c r="H891" s="24"/>
      <c r="I891" s="24"/>
      <c r="J891" s="24"/>
      <c r="K891" s="24" t="n">
        <v>0</v>
      </c>
      <c r="L891" s="24" t="str">
        <f aca="false">IF(J891&lt;&gt;"","Enrolled",IF(I891&lt;&gt;"","Admitted",IF(H891&lt;&gt;"","Applied",IF(G891&lt;&gt;"","Contacted","New"))))</f>
        <v>New</v>
      </c>
      <c r="M891" s="32" t="str">
        <f aca="false">IF(G891="","",G891-B891)</f>
        <v/>
      </c>
      <c r="N891" s="24" t="str">
        <f aca="false">IF(COUNTIF($A$2:A891,A891)&gt;1,"Duplicate ID",IF(C891="","Missing source",IF(OR(AND(G891&lt;&gt;"",G891&lt;B891),AND(H891&lt;&gt;"",H891&lt;B891),AND(I891&lt;&gt;"",I891&lt;H891),AND(J891&lt;&gt;"",J891&lt;I891)),"Date error","OK")))</f>
        <v>OK</v>
      </c>
    </row>
    <row r="892" customFormat="false" ht="15" hidden="false" customHeight="false" outlineLevel="0" collapsed="false">
      <c r="A892" s="24" t="s">
        <v>970</v>
      </c>
      <c r="B892" s="31" t="n">
        <v>46206</v>
      </c>
      <c r="C892" s="24" t="s">
        <v>26</v>
      </c>
      <c r="D892" s="24" t="s">
        <v>32</v>
      </c>
      <c r="E892" s="24" t="s">
        <v>89</v>
      </c>
      <c r="F892" s="24" t="s">
        <v>44</v>
      </c>
      <c r="G892" s="31" t="n">
        <v>46209</v>
      </c>
      <c r="H892" s="24"/>
      <c r="I892" s="24"/>
      <c r="J892" s="24"/>
      <c r="K892" s="24" t="n">
        <v>3</v>
      </c>
      <c r="L892" s="24" t="str">
        <f aca="false">IF(J892&lt;&gt;"","Enrolled",IF(I892&lt;&gt;"","Admitted",IF(H892&lt;&gt;"","Applied",IF(G892&lt;&gt;"","Contacted","New"))))</f>
        <v>Contacted</v>
      </c>
      <c r="M892" s="32" t="n">
        <f aca="false">IF(G892="","",G892-B892)</f>
        <v>3</v>
      </c>
      <c r="N892" s="24" t="str">
        <f aca="false">IF(COUNTIF($A$2:A892,A892)&gt;1,"Duplicate ID",IF(C892="","Missing source",IF(OR(AND(G892&lt;&gt;"",G892&lt;B892),AND(H892&lt;&gt;"",H892&lt;B892),AND(I892&lt;&gt;"",I892&lt;H892),AND(J892&lt;&gt;"",J892&lt;I892)),"Date error","OK")))</f>
        <v>OK</v>
      </c>
    </row>
    <row r="893" customFormat="false" ht="15" hidden="false" customHeight="false" outlineLevel="0" collapsed="false">
      <c r="A893" s="24" t="s">
        <v>971</v>
      </c>
      <c r="B893" s="31" t="n">
        <v>46207</v>
      </c>
      <c r="C893" s="24" t="s">
        <v>24</v>
      </c>
      <c r="D893" s="24" t="s">
        <v>36</v>
      </c>
      <c r="E893" s="24" t="s">
        <v>79</v>
      </c>
      <c r="F893" s="24" t="s">
        <v>40</v>
      </c>
      <c r="G893" s="31" t="n">
        <v>46208</v>
      </c>
      <c r="H893" s="31" t="n">
        <v>46219</v>
      </c>
      <c r="I893" s="31" t="n">
        <v>46232</v>
      </c>
      <c r="J893" s="31" t="n">
        <v>46248</v>
      </c>
      <c r="K893" s="24" t="n">
        <v>2</v>
      </c>
      <c r="L893" s="24" t="str">
        <f aca="false">IF(J893&lt;&gt;"","Enrolled",IF(I893&lt;&gt;"","Admitted",IF(H893&lt;&gt;"","Applied",IF(G893&lt;&gt;"","Contacted","New"))))</f>
        <v>Enrolled</v>
      </c>
      <c r="M893" s="32" t="n">
        <f aca="false">IF(G893="","",G893-B893)</f>
        <v>1</v>
      </c>
      <c r="N893" s="24" t="str">
        <f aca="false">IF(COUNTIF($A$2:A893,A893)&gt;1,"Duplicate ID",IF(C893="","Missing source",IF(OR(AND(G893&lt;&gt;"",G893&lt;B893),AND(H893&lt;&gt;"",H893&lt;B893),AND(I893&lt;&gt;"",I893&lt;H893),AND(J893&lt;&gt;"",J893&lt;I893)),"Date error","OK")))</f>
        <v>OK</v>
      </c>
    </row>
    <row r="894" customFormat="false" ht="15" hidden="false" customHeight="false" outlineLevel="0" collapsed="false">
      <c r="A894" s="24" t="s">
        <v>972</v>
      </c>
      <c r="B894" s="31" t="n">
        <v>46207</v>
      </c>
      <c r="C894" s="24" t="s">
        <v>27</v>
      </c>
      <c r="D894" s="24" t="s">
        <v>36</v>
      </c>
      <c r="E894" s="24" t="s">
        <v>79</v>
      </c>
      <c r="F894" s="24" t="s">
        <v>40</v>
      </c>
      <c r="G894" s="24"/>
      <c r="H894" s="24"/>
      <c r="I894" s="24"/>
      <c r="J894" s="24"/>
      <c r="K894" s="24" t="n">
        <v>0</v>
      </c>
      <c r="L894" s="24" t="str">
        <f aca="false">IF(J894&lt;&gt;"","Enrolled",IF(I894&lt;&gt;"","Admitted",IF(H894&lt;&gt;"","Applied",IF(G894&lt;&gt;"","Contacted","New"))))</f>
        <v>New</v>
      </c>
      <c r="M894" s="32" t="str">
        <f aca="false">IF(G894="","",G894-B894)</f>
        <v/>
      </c>
      <c r="N894" s="24" t="str">
        <f aca="false">IF(COUNTIF($A$2:A894,A894)&gt;1,"Duplicate ID",IF(C894="","Missing source",IF(OR(AND(G894&lt;&gt;"",G894&lt;B894),AND(H894&lt;&gt;"",H894&lt;B894),AND(I894&lt;&gt;"",I894&lt;H894),AND(J894&lt;&gt;"",J894&lt;I894)),"Date error","OK")))</f>
        <v>OK</v>
      </c>
    </row>
    <row r="895" customFormat="false" ht="15" hidden="false" customHeight="false" outlineLevel="0" collapsed="false">
      <c r="A895" s="24" t="s">
        <v>973</v>
      </c>
      <c r="B895" s="31" t="n">
        <v>46207</v>
      </c>
      <c r="C895" s="24" t="s">
        <v>23</v>
      </c>
      <c r="D895" s="24" t="s">
        <v>32</v>
      </c>
      <c r="E895" s="24" t="s">
        <v>84</v>
      </c>
      <c r="F895" s="24" t="s">
        <v>42</v>
      </c>
      <c r="G895" s="31" t="n">
        <v>46210</v>
      </c>
      <c r="H895" s="24"/>
      <c r="I895" s="24"/>
      <c r="J895" s="24"/>
      <c r="K895" s="24" t="n">
        <v>1</v>
      </c>
      <c r="L895" s="24" t="str">
        <f aca="false">IF(J895&lt;&gt;"","Enrolled",IF(I895&lt;&gt;"","Admitted",IF(H895&lt;&gt;"","Applied",IF(G895&lt;&gt;"","Contacted","New"))))</f>
        <v>Contacted</v>
      </c>
      <c r="M895" s="32" t="n">
        <f aca="false">IF(G895="","",G895-B895)</f>
        <v>3</v>
      </c>
      <c r="N895" s="24" t="str">
        <f aca="false">IF(COUNTIF($A$2:A895,A895)&gt;1,"Duplicate ID",IF(C895="","Missing source",IF(OR(AND(G895&lt;&gt;"",G895&lt;B895),AND(H895&lt;&gt;"",H895&lt;B895),AND(I895&lt;&gt;"",I895&lt;H895),AND(J895&lt;&gt;"",J895&lt;I895)),"Date error","OK")))</f>
        <v>OK</v>
      </c>
    </row>
    <row r="896" customFormat="false" ht="15" hidden="false" customHeight="false" outlineLevel="0" collapsed="false">
      <c r="A896" s="24" t="s">
        <v>974</v>
      </c>
      <c r="B896" s="31" t="n">
        <v>46207</v>
      </c>
      <c r="C896" s="24" t="s">
        <v>21</v>
      </c>
      <c r="D896" s="24" t="s">
        <v>33</v>
      </c>
      <c r="E896" s="24" t="s">
        <v>79</v>
      </c>
      <c r="F896" s="24" t="s">
        <v>41</v>
      </c>
      <c r="G896" s="31" t="n">
        <v>46207</v>
      </c>
      <c r="H896" s="31" t="n">
        <v>46228</v>
      </c>
      <c r="I896" s="31" t="n">
        <v>46235</v>
      </c>
      <c r="J896" s="31" t="n">
        <v>46260</v>
      </c>
      <c r="K896" s="24" t="n">
        <v>9</v>
      </c>
      <c r="L896" s="24" t="str">
        <f aca="false">IF(J896&lt;&gt;"","Enrolled",IF(I896&lt;&gt;"","Admitted",IF(H896&lt;&gt;"","Applied",IF(G896&lt;&gt;"","Contacted","New"))))</f>
        <v>Enrolled</v>
      </c>
      <c r="M896" s="32" t="n">
        <f aca="false">IF(G896="","",G896-B896)</f>
        <v>0</v>
      </c>
      <c r="N896" s="24" t="str">
        <f aca="false">IF(COUNTIF($A$2:A896,A896)&gt;1,"Duplicate ID",IF(C896="","Missing source",IF(OR(AND(G896&lt;&gt;"",G896&lt;B896),AND(H896&lt;&gt;"",H896&lt;B896),AND(I896&lt;&gt;"",I896&lt;H896),AND(J896&lt;&gt;"",J896&lt;I896)),"Date error","OK")))</f>
        <v>OK</v>
      </c>
    </row>
    <row r="897" customFormat="false" ht="15" hidden="false" customHeight="false" outlineLevel="0" collapsed="false">
      <c r="A897" s="24" t="s">
        <v>975</v>
      </c>
      <c r="B897" s="31" t="n">
        <v>46208</v>
      </c>
      <c r="C897" s="24" t="s">
        <v>26</v>
      </c>
      <c r="D897" s="24" t="s">
        <v>36</v>
      </c>
      <c r="E897" s="24" t="s">
        <v>79</v>
      </c>
      <c r="F897" s="24" t="s">
        <v>45</v>
      </c>
      <c r="G897" s="31" t="n">
        <v>46208</v>
      </c>
      <c r="H897" s="24"/>
      <c r="I897" s="24"/>
      <c r="J897" s="24"/>
      <c r="K897" s="24" t="n">
        <v>4</v>
      </c>
      <c r="L897" s="24" t="str">
        <f aca="false">IF(J897&lt;&gt;"","Enrolled",IF(I897&lt;&gt;"","Admitted",IF(H897&lt;&gt;"","Applied",IF(G897&lt;&gt;"","Contacted","New"))))</f>
        <v>Contacted</v>
      </c>
      <c r="M897" s="32" t="n">
        <f aca="false">IF(G897="","",G897-B897)</f>
        <v>0</v>
      </c>
      <c r="N897" s="24" t="str">
        <f aca="false">IF(COUNTIF($A$2:A897,A897)&gt;1,"Duplicate ID",IF(C897="","Missing source",IF(OR(AND(G897&lt;&gt;"",G897&lt;B897),AND(H897&lt;&gt;"",H897&lt;B897),AND(I897&lt;&gt;"",I897&lt;H897),AND(J897&lt;&gt;"",J897&lt;I897)),"Date error","OK")))</f>
        <v>OK</v>
      </c>
    </row>
    <row r="898" customFormat="false" ht="15" hidden="false" customHeight="false" outlineLevel="0" collapsed="false">
      <c r="A898" s="24" t="s">
        <v>976</v>
      </c>
      <c r="B898" s="31" t="n">
        <v>46208</v>
      </c>
      <c r="C898" s="24" t="s">
        <v>26</v>
      </c>
      <c r="D898" s="24" t="s">
        <v>36</v>
      </c>
      <c r="E898" s="24" t="s">
        <v>79</v>
      </c>
      <c r="F898" s="24" t="s">
        <v>41</v>
      </c>
      <c r="G898" s="31" t="n">
        <v>46210</v>
      </c>
      <c r="H898" s="24"/>
      <c r="I898" s="24"/>
      <c r="J898" s="24"/>
      <c r="K898" s="24" t="n">
        <v>2</v>
      </c>
      <c r="L898" s="24" t="str">
        <f aca="false">IF(J898&lt;&gt;"","Enrolled",IF(I898&lt;&gt;"","Admitted",IF(H898&lt;&gt;"","Applied",IF(G898&lt;&gt;"","Contacted","New"))))</f>
        <v>Contacted</v>
      </c>
      <c r="M898" s="32" t="n">
        <f aca="false">IF(G898="","",G898-B898)</f>
        <v>2</v>
      </c>
      <c r="N898" s="24" t="str">
        <f aca="false">IF(COUNTIF($A$2:A898,A898)&gt;1,"Duplicate ID",IF(C898="","Missing source",IF(OR(AND(G898&lt;&gt;"",G898&lt;B898),AND(H898&lt;&gt;"",H898&lt;B898),AND(I898&lt;&gt;"",I898&lt;H898),AND(J898&lt;&gt;"",J898&lt;I898)),"Date error","OK")))</f>
        <v>OK</v>
      </c>
    </row>
    <row r="899" customFormat="false" ht="15" hidden="false" customHeight="false" outlineLevel="0" collapsed="false">
      <c r="A899" s="24" t="s">
        <v>977</v>
      </c>
      <c r="B899" s="31" t="n">
        <v>46208</v>
      </c>
      <c r="C899" s="24" t="s">
        <v>22</v>
      </c>
      <c r="D899" s="24" t="s">
        <v>33</v>
      </c>
      <c r="E899" s="24" t="s">
        <v>79</v>
      </c>
      <c r="F899" s="24" t="s">
        <v>44</v>
      </c>
      <c r="G899" s="31" t="n">
        <v>46208</v>
      </c>
      <c r="H899" s="31" t="n">
        <v>46219</v>
      </c>
      <c r="I899" s="31" t="n">
        <v>46234</v>
      </c>
      <c r="J899" s="31" t="n">
        <v>46243</v>
      </c>
      <c r="K899" s="24" t="n">
        <v>3</v>
      </c>
      <c r="L899" s="24" t="str">
        <f aca="false">IF(J899&lt;&gt;"","Enrolled",IF(I899&lt;&gt;"","Admitted",IF(H899&lt;&gt;"","Applied",IF(G899&lt;&gt;"","Contacted","New"))))</f>
        <v>Enrolled</v>
      </c>
      <c r="M899" s="32" t="n">
        <f aca="false">IF(G899="","",G899-B899)</f>
        <v>0</v>
      </c>
      <c r="N899" s="24" t="str">
        <f aca="false">IF(COUNTIF($A$2:A899,A899)&gt;1,"Duplicate ID",IF(C899="","Missing source",IF(OR(AND(G899&lt;&gt;"",G899&lt;B899),AND(H899&lt;&gt;"",H899&lt;B899),AND(I899&lt;&gt;"",I899&lt;H899),AND(J899&lt;&gt;"",J899&lt;I899)),"Date error","OK")))</f>
        <v>OK</v>
      </c>
    </row>
    <row r="900" customFormat="false" ht="15" hidden="false" customHeight="false" outlineLevel="0" collapsed="false">
      <c r="A900" s="24" t="s">
        <v>978</v>
      </c>
      <c r="B900" s="31" t="n">
        <v>46208</v>
      </c>
      <c r="C900" s="24" t="s">
        <v>23</v>
      </c>
      <c r="D900" s="24" t="s">
        <v>36</v>
      </c>
      <c r="E900" s="24" t="s">
        <v>84</v>
      </c>
      <c r="F900" s="24" t="s">
        <v>43</v>
      </c>
      <c r="G900" s="31" t="n">
        <v>46215</v>
      </c>
      <c r="H900" s="24"/>
      <c r="I900" s="24"/>
      <c r="J900" s="24"/>
      <c r="K900" s="24" t="n">
        <v>4</v>
      </c>
      <c r="L900" s="24" t="str">
        <f aca="false">IF(J900&lt;&gt;"","Enrolled",IF(I900&lt;&gt;"","Admitted",IF(H900&lt;&gt;"","Applied",IF(G900&lt;&gt;"","Contacted","New"))))</f>
        <v>Contacted</v>
      </c>
      <c r="M900" s="32" t="n">
        <f aca="false">IF(G900="","",G900-B900)</f>
        <v>7</v>
      </c>
      <c r="N900" s="24" t="str">
        <f aca="false">IF(COUNTIF($A$2:A900,A900)&gt;1,"Duplicate ID",IF(C900="","Missing source",IF(OR(AND(G900&lt;&gt;"",G900&lt;B900),AND(H900&lt;&gt;"",H900&lt;B900),AND(I900&lt;&gt;"",I900&lt;H900),AND(J900&lt;&gt;"",J900&lt;I900)),"Date error","OK")))</f>
        <v>OK</v>
      </c>
    </row>
    <row r="901" customFormat="false" ht="15" hidden="false" customHeight="false" outlineLevel="0" collapsed="false">
      <c r="A901" s="24" t="s">
        <v>979</v>
      </c>
      <c r="B901" s="31" t="n">
        <v>46208</v>
      </c>
      <c r="C901" s="24" t="s">
        <v>26</v>
      </c>
      <c r="D901" s="24" t="s">
        <v>33</v>
      </c>
      <c r="E901" s="24" t="s">
        <v>79</v>
      </c>
      <c r="F901" s="24" t="s">
        <v>41</v>
      </c>
      <c r="G901" s="31" t="n">
        <v>46209</v>
      </c>
      <c r="H901" s="24"/>
      <c r="I901" s="24"/>
      <c r="J901" s="24"/>
      <c r="K901" s="24" t="n">
        <v>5</v>
      </c>
      <c r="L901" s="24" t="str">
        <f aca="false">IF(J901&lt;&gt;"","Enrolled",IF(I901&lt;&gt;"","Admitted",IF(H901&lt;&gt;"","Applied",IF(G901&lt;&gt;"","Contacted","New"))))</f>
        <v>Contacted</v>
      </c>
      <c r="M901" s="32" t="n">
        <f aca="false">IF(G901="","",G901-B901)</f>
        <v>1</v>
      </c>
      <c r="N901" s="24" t="str">
        <f aca="false">IF(COUNTIF($A$2:A901,A901)&gt;1,"Duplicate ID",IF(C901="","Missing source",IF(OR(AND(G901&lt;&gt;"",G901&lt;B901),AND(H901&lt;&gt;"",H901&lt;B901),AND(I901&lt;&gt;"",I901&lt;H901),AND(J901&lt;&gt;"",J901&lt;I901)),"Date error","OK")))</f>
        <v>OK</v>
      </c>
    </row>
    <row r="902" customFormat="false" ht="15" hidden="false" customHeight="false" outlineLevel="0" collapsed="false">
      <c r="A902" s="24" t="s">
        <v>980</v>
      </c>
      <c r="B902" s="31" t="n">
        <v>46208</v>
      </c>
      <c r="C902" s="24" t="s">
        <v>21</v>
      </c>
      <c r="D902" s="24" t="s">
        <v>34</v>
      </c>
      <c r="E902" s="24" t="s">
        <v>84</v>
      </c>
      <c r="F902" s="24" t="s">
        <v>40</v>
      </c>
      <c r="G902" s="31" t="n">
        <v>46208</v>
      </c>
      <c r="H902" s="24"/>
      <c r="I902" s="24"/>
      <c r="J902" s="24"/>
      <c r="K902" s="24" t="n">
        <v>3</v>
      </c>
      <c r="L902" s="24" t="str">
        <f aca="false">IF(J902&lt;&gt;"","Enrolled",IF(I902&lt;&gt;"","Admitted",IF(H902&lt;&gt;"","Applied",IF(G902&lt;&gt;"","Contacted","New"))))</f>
        <v>Contacted</v>
      </c>
      <c r="M902" s="32" t="n">
        <f aca="false">IF(G902="","",G902-B902)</f>
        <v>0</v>
      </c>
      <c r="N902" s="24" t="str">
        <f aca="false">IF(COUNTIF($A$2:A902,A902)&gt;1,"Duplicate ID",IF(C902="","Missing source",IF(OR(AND(G902&lt;&gt;"",G902&lt;B902),AND(H902&lt;&gt;"",H902&lt;B902),AND(I902&lt;&gt;"",I902&lt;H902),AND(J902&lt;&gt;"",J902&lt;I902)),"Date error","OK")))</f>
        <v>OK</v>
      </c>
    </row>
    <row r="903" customFormat="false" ht="15" hidden="false" customHeight="false" outlineLevel="0" collapsed="false">
      <c r="A903" s="24" t="s">
        <v>981</v>
      </c>
      <c r="B903" s="31" t="n">
        <v>46208</v>
      </c>
      <c r="C903" s="24" t="s">
        <v>26</v>
      </c>
      <c r="D903" s="24" t="s">
        <v>32</v>
      </c>
      <c r="E903" s="24" t="s">
        <v>89</v>
      </c>
      <c r="F903" s="24" t="s">
        <v>42</v>
      </c>
      <c r="G903" s="31" t="n">
        <v>46208</v>
      </c>
      <c r="H903" s="24"/>
      <c r="I903" s="24"/>
      <c r="J903" s="24"/>
      <c r="K903" s="24" t="n">
        <v>5</v>
      </c>
      <c r="L903" s="24" t="str">
        <f aca="false">IF(J903&lt;&gt;"","Enrolled",IF(I903&lt;&gt;"","Admitted",IF(H903&lt;&gt;"","Applied",IF(G903&lt;&gt;"","Contacted","New"))))</f>
        <v>Contacted</v>
      </c>
      <c r="M903" s="32" t="n">
        <f aca="false">IF(G903="","",G903-B903)</f>
        <v>0</v>
      </c>
      <c r="N903" s="24" t="str">
        <f aca="false">IF(COUNTIF($A$2:A903,A903)&gt;1,"Duplicate ID",IF(C903="","Missing source",IF(OR(AND(G903&lt;&gt;"",G903&lt;B903),AND(H903&lt;&gt;"",H903&lt;B903),AND(I903&lt;&gt;"",I903&lt;H903),AND(J903&lt;&gt;"",J903&lt;I903)),"Date error","OK")))</f>
        <v>OK</v>
      </c>
    </row>
    <row r="904" customFormat="false" ht="15" hidden="false" customHeight="false" outlineLevel="0" collapsed="false">
      <c r="A904" s="24" t="s">
        <v>982</v>
      </c>
      <c r="B904" s="31" t="n">
        <v>46208</v>
      </c>
      <c r="C904" s="24" t="s">
        <v>21</v>
      </c>
      <c r="D904" s="24" t="s">
        <v>36</v>
      </c>
      <c r="E904" s="24" t="s">
        <v>79</v>
      </c>
      <c r="F904" s="24" t="s">
        <v>41</v>
      </c>
      <c r="G904" s="31" t="n">
        <v>46210</v>
      </c>
      <c r="H904" s="31" t="n">
        <v>46233</v>
      </c>
      <c r="I904" s="24"/>
      <c r="J904" s="24"/>
      <c r="K904" s="24" t="n">
        <v>4</v>
      </c>
      <c r="L904" s="24" t="str">
        <f aca="false">IF(J904&lt;&gt;"","Enrolled",IF(I904&lt;&gt;"","Admitted",IF(H904&lt;&gt;"","Applied",IF(G904&lt;&gt;"","Contacted","New"))))</f>
        <v>Applied</v>
      </c>
      <c r="M904" s="32" t="n">
        <f aca="false">IF(G904="","",G904-B904)</f>
        <v>2</v>
      </c>
      <c r="N904" s="24" t="str">
        <f aca="false">IF(COUNTIF($A$2:A904,A904)&gt;1,"Duplicate ID",IF(C904="","Missing source",IF(OR(AND(G904&lt;&gt;"",G904&lt;B904),AND(H904&lt;&gt;"",H904&lt;B904),AND(I904&lt;&gt;"",I904&lt;H904),AND(J904&lt;&gt;"",J904&lt;I904)),"Date error","OK")))</f>
        <v>OK</v>
      </c>
    </row>
    <row r="905" customFormat="false" ht="15" hidden="false" customHeight="false" outlineLevel="0" collapsed="false">
      <c r="A905" s="24" t="s">
        <v>983</v>
      </c>
      <c r="B905" s="31" t="n">
        <v>46209</v>
      </c>
      <c r="C905" s="24" t="s">
        <v>26</v>
      </c>
      <c r="D905" s="24" t="s">
        <v>32</v>
      </c>
      <c r="E905" s="24" t="s">
        <v>84</v>
      </c>
      <c r="F905" s="24" t="s">
        <v>44</v>
      </c>
      <c r="G905" s="31" t="n">
        <v>46221</v>
      </c>
      <c r="H905" s="31" t="n">
        <v>46235</v>
      </c>
      <c r="I905" s="31" t="n">
        <v>46240</v>
      </c>
      <c r="J905" s="31" t="n">
        <v>46247</v>
      </c>
      <c r="K905" s="24" t="n">
        <v>2</v>
      </c>
      <c r="L905" s="24" t="str">
        <f aca="false">IF(J905&lt;&gt;"","Enrolled",IF(I905&lt;&gt;"","Admitted",IF(H905&lt;&gt;"","Applied",IF(G905&lt;&gt;"","Contacted","New"))))</f>
        <v>Enrolled</v>
      </c>
      <c r="M905" s="32" t="n">
        <f aca="false">IF(G905="","",G905-B905)</f>
        <v>12</v>
      </c>
      <c r="N905" s="24" t="str">
        <f aca="false">IF(COUNTIF($A$2:A905,A905)&gt;1,"Duplicate ID",IF(C905="","Missing source",IF(OR(AND(G905&lt;&gt;"",G905&lt;B905),AND(H905&lt;&gt;"",H905&lt;B905),AND(I905&lt;&gt;"",I905&lt;H905),AND(J905&lt;&gt;"",J905&lt;I905)),"Date error","OK")))</f>
        <v>OK</v>
      </c>
    </row>
    <row r="906" customFormat="false" ht="15" hidden="false" customHeight="false" outlineLevel="0" collapsed="false">
      <c r="A906" s="24" t="s">
        <v>984</v>
      </c>
      <c r="B906" s="31" t="n">
        <v>46209</v>
      </c>
      <c r="C906" s="24" t="s">
        <v>25</v>
      </c>
      <c r="D906" s="24" t="s">
        <v>34</v>
      </c>
      <c r="E906" s="24" t="s">
        <v>89</v>
      </c>
      <c r="F906" s="24" t="s">
        <v>41</v>
      </c>
      <c r="G906" s="31" t="n">
        <v>46209</v>
      </c>
      <c r="H906" s="31" t="n">
        <v>46221</v>
      </c>
      <c r="I906" s="31" t="n">
        <v>46228</v>
      </c>
      <c r="J906" s="31" t="n">
        <v>46263</v>
      </c>
      <c r="K906" s="24" t="n">
        <v>2</v>
      </c>
      <c r="L906" s="24" t="str">
        <f aca="false">IF(J906&lt;&gt;"","Enrolled",IF(I906&lt;&gt;"","Admitted",IF(H906&lt;&gt;"","Applied",IF(G906&lt;&gt;"","Contacted","New"))))</f>
        <v>Enrolled</v>
      </c>
      <c r="M906" s="32" t="n">
        <f aca="false">IF(G906="","",G906-B906)</f>
        <v>0</v>
      </c>
      <c r="N906" s="24" t="str">
        <f aca="false">IF(COUNTIF($A$2:A906,A906)&gt;1,"Duplicate ID",IF(C906="","Missing source",IF(OR(AND(G906&lt;&gt;"",G906&lt;B906),AND(H906&lt;&gt;"",H906&lt;B906),AND(I906&lt;&gt;"",I906&lt;H906),AND(J906&lt;&gt;"",J906&lt;I906)),"Date error","OK")))</f>
        <v>OK</v>
      </c>
    </row>
    <row r="907" customFormat="false" ht="15" hidden="false" customHeight="false" outlineLevel="0" collapsed="false">
      <c r="A907" s="24" t="s">
        <v>985</v>
      </c>
      <c r="B907" s="31" t="n">
        <v>46209</v>
      </c>
      <c r="C907" s="24" t="s">
        <v>22</v>
      </c>
      <c r="D907" s="24" t="s">
        <v>36</v>
      </c>
      <c r="E907" s="24" t="s">
        <v>89</v>
      </c>
      <c r="F907" s="24" t="s">
        <v>44</v>
      </c>
      <c r="G907" s="31" t="n">
        <v>46210</v>
      </c>
      <c r="H907" s="24"/>
      <c r="I907" s="24"/>
      <c r="J907" s="24"/>
      <c r="K907" s="24" t="n">
        <v>3</v>
      </c>
      <c r="L907" s="24" t="str">
        <f aca="false">IF(J907&lt;&gt;"","Enrolled",IF(I907&lt;&gt;"","Admitted",IF(H907&lt;&gt;"","Applied",IF(G907&lt;&gt;"","Contacted","New"))))</f>
        <v>Contacted</v>
      </c>
      <c r="M907" s="32" t="n">
        <f aca="false">IF(G907="","",G907-B907)</f>
        <v>1</v>
      </c>
      <c r="N907" s="24" t="str">
        <f aca="false">IF(COUNTIF($A$2:A907,A907)&gt;1,"Duplicate ID",IF(C907="","Missing source",IF(OR(AND(G907&lt;&gt;"",G907&lt;B907),AND(H907&lt;&gt;"",H907&lt;B907),AND(I907&lt;&gt;"",I907&lt;H907),AND(J907&lt;&gt;"",J907&lt;I907)),"Date error","OK")))</f>
        <v>OK</v>
      </c>
    </row>
    <row r="908" customFormat="false" ht="15" hidden="false" customHeight="false" outlineLevel="0" collapsed="false">
      <c r="A908" s="24" t="s">
        <v>986</v>
      </c>
      <c r="B908" s="31" t="n">
        <v>46209</v>
      </c>
      <c r="C908" s="24" t="s">
        <v>26</v>
      </c>
      <c r="D908" s="24" t="s">
        <v>34</v>
      </c>
      <c r="E908" s="24" t="s">
        <v>89</v>
      </c>
      <c r="F908" s="24" t="s">
        <v>45</v>
      </c>
      <c r="G908" s="31" t="n">
        <v>46210</v>
      </c>
      <c r="H908" s="31" t="n">
        <v>46224</v>
      </c>
      <c r="I908" s="31" t="n">
        <v>46230</v>
      </c>
      <c r="J908" s="24"/>
      <c r="K908" s="24" t="n">
        <v>3</v>
      </c>
      <c r="L908" s="24" t="str">
        <f aca="false">IF(J908&lt;&gt;"","Enrolled",IF(I908&lt;&gt;"","Admitted",IF(H908&lt;&gt;"","Applied",IF(G908&lt;&gt;"","Contacted","New"))))</f>
        <v>Admitted</v>
      </c>
      <c r="M908" s="32" t="n">
        <f aca="false">IF(G908="","",G908-B908)</f>
        <v>1</v>
      </c>
      <c r="N908" s="24" t="str">
        <f aca="false">IF(COUNTIF($A$2:A908,A908)&gt;1,"Duplicate ID",IF(C908="","Missing source",IF(OR(AND(G908&lt;&gt;"",G908&lt;B908),AND(H908&lt;&gt;"",H908&lt;B908),AND(I908&lt;&gt;"",I908&lt;H908),AND(J908&lt;&gt;"",J908&lt;I908)),"Date error","OK")))</f>
        <v>OK</v>
      </c>
    </row>
    <row r="909" customFormat="false" ht="15" hidden="false" customHeight="false" outlineLevel="0" collapsed="false">
      <c r="A909" s="24" t="s">
        <v>987</v>
      </c>
      <c r="B909" s="31" t="n">
        <v>46209</v>
      </c>
      <c r="C909" s="24" t="s">
        <v>27</v>
      </c>
      <c r="D909" s="24" t="s">
        <v>36</v>
      </c>
      <c r="E909" s="24" t="s">
        <v>79</v>
      </c>
      <c r="F909" s="24" t="s">
        <v>40</v>
      </c>
      <c r="G909" s="31" t="n">
        <v>46210</v>
      </c>
      <c r="H909" s="31" t="n">
        <v>46214</v>
      </c>
      <c r="I909" s="31" t="n">
        <v>46224</v>
      </c>
      <c r="J909" s="31" t="n">
        <v>46256</v>
      </c>
      <c r="K909" s="24" t="n">
        <v>4</v>
      </c>
      <c r="L909" s="24" t="str">
        <f aca="false">IF(J909&lt;&gt;"","Enrolled",IF(I909&lt;&gt;"","Admitted",IF(H909&lt;&gt;"","Applied",IF(G909&lt;&gt;"","Contacted","New"))))</f>
        <v>Enrolled</v>
      </c>
      <c r="M909" s="32" t="n">
        <f aca="false">IF(G909="","",G909-B909)</f>
        <v>1</v>
      </c>
      <c r="N909" s="24" t="str">
        <f aca="false">IF(COUNTIF($A$2:A909,A909)&gt;1,"Duplicate ID",IF(C909="","Missing source",IF(OR(AND(G909&lt;&gt;"",G909&lt;B909),AND(H909&lt;&gt;"",H909&lt;B909),AND(I909&lt;&gt;"",I909&lt;H909),AND(J909&lt;&gt;"",J909&lt;I909)),"Date error","OK")))</f>
        <v>OK</v>
      </c>
    </row>
    <row r="910" customFormat="false" ht="15" hidden="false" customHeight="false" outlineLevel="0" collapsed="false">
      <c r="A910" s="24" t="s">
        <v>988</v>
      </c>
      <c r="B910" s="31" t="n">
        <v>46209</v>
      </c>
      <c r="C910" s="24" t="s">
        <v>22</v>
      </c>
      <c r="D910" s="24" t="s">
        <v>36</v>
      </c>
      <c r="E910" s="24" t="s">
        <v>94</v>
      </c>
      <c r="F910" s="24" t="s">
        <v>45</v>
      </c>
      <c r="G910" s="31" t="n">
        <v>46209</v>
      </c>
      <c r="H910" s="24"/>
      <c r="I910" s="24"/>
      <c r="J910" s="24"/>
      <c r="K910" s="24" t="n">
        <v>3</v>
      </c>
      <c r="L910" s="24" t="str">
        <f aca="false">IF(J910&lt;&gt;"","Enrolled",IF(I910&lt;&gt;"","Admitted",IF(H910&lt;&gt;"","Applied",IF(G910&lt;&gt;"","Contacted","New"))))</f>
        <v>Contacted</v>
      </c>
      <c r="M910" s="32" t="n">
        <f aca="false">IF(G910="","",G910-B910)</f>
        <v>0</v>
      </c>
      <c r="N910" s="24" t="str">
        <f aca="false">IF(COUNTIF($A$2:A910,A910)&gt;1,"Duplicate ID",IF(C910="","Missing source",IF(OR(AND(G910&lt;&gt;"",G910&lt;B910),AND(H910&lt;&gt;"",H910&lt;B910),AND(I910&lt;&gt;"",I910&lt;H910),AND(J910&lt;&gt;"",J910&lt;I910)),"Date error","OK")))</f>
        <v>OK</v>
      </c>
    </row>
    <row r="911" customFormat="false" ht="15" hidden="false" customHeight="false" outlineLevel="0" collapsed="false">
      <c r="A911" s="24" t="s">
        <v>989</v>
      </c>
      <c r="B911" s="31" t="n">
        <v>46209</v>
      </c>
      <c r="C911" s="24" t="s">
        <v>25</v>
      </c>
      <c r="D911" s="24" t="s">
        <v>32</v>
      </c>
      <c r="E911" s="24" t="s">
        <v>89</v>
      </c>
      <c r="F911" s="24" t="s">
        <v>41</v>
      </c>
      <c r="G911" s="31" t="n">
        <v>46209</v>
      </c>
      <c r="H911" s="31" t="n">
        <v>46226</v>
      </c>
      <c r="I911" s="31" t="n">
        <v>46241</v>
      </c>
      <c r="J911" s="31" t="n">
        <v>46257</v>
      </c>
      <c r="K911" s="24" t="n">
        <v>2</v>
      </c>
      <c r="L911" s="24" t="str">
        <f aca="false">IF(J911&lt;&gt;"","Enrolled",IF(I911&lt;&gt;"","Admitted",IF(H911&lt;&gt;"","Applied",IF(G911&lt;&gt;"","Contacted","New"))))</f>
        <v>Enrolled</v>
      </c>
      <c r="M911" s="32" t="n">
        <f aca="false">IF(G911="","",G911-B911)</f>
        <v>0</v>
      </c>
      <c r="N911" s="24" t="str">
        <f aca="false">IF(COUNTIF($A$2:A911,A911)&gt;1,"Duplicate ID",IF(C911="","Missing source",IF(OR(AND(G911&lt;&gt;"",G911&lt;B911),AND(H911&lt;&gt;"",H911&lt;B911),AND(I911&lt;&gt;"",I911&lt;H911),AND(J911&lt;&gt;"",J911&lt;I911)),"Date error","OK")))</f>
        <v>OK</v>
      </c>
    </row>
    <row r="912" customFormat="false" ht="15" hidden="false" customHeight="false" outlineLevel="0" collapsed="false">
      <c r="A912" s="24" t="s">
        <v>990</v>
      </c>
      <c r="B912" s="31" t="n">
        <v>46209</v>
      </c>
      <c r="C912" s="24" t="s">
        <v>26</v>
      </c>
      <c r="D912" s="24" t="s">
        <v>32</v>
      </c>
      <c r="E912" s="24" t="s">
        <v>79</v>
      </c>
      <c r="F912" s="24" t="s">
        <v>44</v>
      </c>
      <c r="G912" s="31" t="n">
        <v>46210</v>
      </c>
      <c r="H912" s="24"/>
      <c r="I912" s="24"/>
      <c r="J912" s="24"/>
      <c r="K912" s="24" t="n">
        <v>4</v>
      </c>
      <c r="L912" s="24" t="str">
        <f aca="false">IF(J912&lt;&gt;"","Enrolled",IF(I912&lt;&gt;"","Admitted",IF(H912&lt;&gt;"","Applied",IF(G912&lt;&gt;"","Contacted","New"))))</f>
        <v>Contacted</v>
      </c>
      <c r="M912" s="32" t="n">
        <f aca="false">IF(G912="","",G912-B912)</f>
        <v>1</v>
      </c>
      <c r="N912" s="24" t="str">
        <f aca="false">IF(COUNTIF($A$2:A912,A912)&gt;1,"Duplicate ID",IF(C912="","Missing source",IF(OR(AND(G912&lt;&gt;"",G912&lt;B912),AND(H912&lt;&gt;"",H912&lt;B912),AND(I912&lt;&gt;"",I912&lt;H912),AND(J912&lt;&gt;"",J912&lt;I912)),"Date error","OK")))</f>
        <v>OK</v>
      </c>
    </row>
    <row r="913" customFormat="false" ht="15" hidden="false" customHeight="false" outlineLevel="0" collapsed="false">
      <c r="A913" s="24" t="s">
        <v>991</v>
      </c>
      <c r="B913" s="31" t="n">
        <v>46209</v>
      </c>
      <c r="C913" s="24" t="s">
        <v>26</v>
      </c>
      <c r="D913" s="24" t="s">
        <v>35</v>
      </c>
      <c r="E913" s="24" t="s">
        <v>89</v>
      </c>
      <c r="F913" s="24" t="s">
        <v>40</v>
      </c>
      <c r="G913" s="31" t="n">
        <v>46209</v>
      </c>
      <c r="H913" s="24"/>
      <c r="I913" s="24"/>
      <c r="J913" s="24"/>
      <c r="K913" s="24" t="n">
        <v>6</v>
      </c>
      <c r="L913" s="24" t="str">
        <f aca="false">IF(J913&lt;&gt;"","Enrolled",IF(I913&lt;&gt;"","Admitted",IF(H913&lt;&gt;"","Applied",IF(G913&lt;&gt;"","Contacted","New"))))</f>
        <v>Contacted</v>
      </c>
      <c r="M913" s="32" t="n">
        <f aca="false">IF(G913="","",G913-B913)</f>
        <v>0</v>
      </c>
      <c r="N913" s="24" t="str">
        <f aca="false">IF(COUNTIF($A$2:A913,A913)&gt;1,"Duplicate ID",IF(C913="","Missing source",IF(OR(AND(G913&lt;&gt;"",G913&lt;B913),AND(H913&lt;&gt;"",H913&lt;B913),AND(I913&lt;&gt;"",I913&lt;H913),AND(J913&lt;&gt;"",J913&lt;I913)),"Date error","OK")))</f>
        <v>OK</v>
      </c>
    </row>
    <row r="914" customFormat="false" ht="15" hidden="false" customHeight="false" outlineLevel="0" collapsed="false">
      <c r="A914" s="24" t="s">
        <v>992</v>
      </c>
      <c r="B914" s="31" t="n">
        <v>46209</v>
      </c>
      <c r="C914" s="24" t="s">
        <v>27</v>
      </c>
      <c r="D914" s="24" t="s">
        <v>36</v>
      </c>
      <c r="E914" s="24" t="s">
        <v>79</v>
      </c>
      <c r="F914" s="24" t="s">
        <v>41</v>
      </c>
      <c r="G914" s="31" t="n">
        <v>46211</v>
      </c>
      <c r="H914" s="24"/>
      <c r="I914" s="24"/>
      <c r="J914" s="24"/>
      <c r="K914" s="24" t="n">
        <v>2</v>
      </c>
      <c r="L914" s="24" t="str">
        <f aca="false">IF(J914&lt;&gt;"","Enrolled",IF(I914&lt;&gt;"","Admitted",IF(H914&lt;&gt;"","Applied",IF(G914&lt;&gt;"","Contacted","New"))))</f>
        <v>Contacted</v>
      </c>
      <c r="M914" s="32" t="n">
        <f aca="false">IF(G914="","",G914-B914)</f>
        <v>2</v>
      </c>
      <c r="N914" s="24" t="str">
        <f aca="false">IF(COUNTIF($A$2:A914,A914)&gt;1,"Duplicate ID",IF(C914="","Missing source",IF(OR(AND(G914&lt;&gt;"",G914&lt;B914),AND(H914&lt;&gt;"",H914&lt;B914),AND(I914&lt;&gt;"",I914&lt;H914),AND(J914&lt;&gt;"",J914&lt;I914)),"Date error","OK")))</f>
        <v>OK</v>
      </c>
    </row>
    <row r="915" customFormat="false" ht="15" hidden="false" customHeight="false" outlineLevel="0" collapsed="false">
      <c r="A915" s="24" t="s">
        <v>993</v>
      </c>
      <c r="B915" s="31" t="n">
        <v>46210</v>
      </c>
      <c r="C915" s="24" t="s">
        <v>23</v>
      </c>
      <c r="D915" s="24" t="s">
        <v>36</v>
      </c>
      <c r="E915" s="24" t="s">
        <v>89</v>
      </c>
      <c r="F915" s="24" t="s">
        <v>45</v>
      </c>
      <c r="G915" s="31" t="n">
        <v>46210</v>
      </c>
      <c r="H915" s="24"/>
      <c r="I915" s="24"/>
      <c r="J915" s="24"/>
      <c r="K915" s="24" t="n">
        <v>5</v>
      </c>
      <c r="L915" s="24" t="str">
        <f aca="false">IF(J915&lt;&gt;"","Enrolled",IF(I915&lt;&gt;"","Admitted",IF(H915&lt;&gt;"","Applied",IF(G915&lt;&gt;"","Contacted","New"))))</f>
        <v>Contacted</v>
      </c>
      <c r="M915" s="32" t="n">
        <f aca="false">IF(G915="","",G915-B915)</f>
        <v>0</v>
      </c>
      <c r="N915" s="24" t="str">
        <f aca="false">IF(COUNTIF($A$2:A915,A915)&gt;1,"Duplicate ID",IF(C915="","Missing source",IF(OR(AND(G915&lt;&gt;"",G915&lt;B915),AND(H915&lt;&gt;"",H915&lt;B915),AND(I915&lt;&gt;"",I915&lt;H915),AND(J915&lt;&gt;"",J915&lt;I915)),"Date error","OK")))</f>
        <v>OK</v>
      </c>
    </row>
    <row r="916" customFormat="false" ht="15" hidden="false" customHeight="false" outlineLevel="0" collapsed="false">
      <c r="A916" s="24" t="s">
        <v>994</v>
      </c>
      <c r="B916" s="31" t="n">
        <v>46210</v>
      </c>
      <c r="C916" s="24" t="s">
        <v>24</v>
      </c>
      <c r="D916" s="24" t="s">
        <v>32</v>
      </c>
      <c r="E916" s="24" t="s">
        <v>89</v>
      </c>
      <c r="F916" s="24" t="s">
        <v>42</v>
      </c>
      <c r="G916" s="24"/>
      <c r="H916" s="24"/>
      <c r="I916" s="24"/>
      <c r="J916" s="24"/>
      <c r="K916" s="24" t="n">
        <v>0</v>
      </c>
      <c r="L916" s="24" t="str">
        <f aca="false">IF(J916&lt;&gt;"","Enrolled",IF(I916&lt;&gt;"","Admitted",IF(H916&lt;&gt;"","Applied",IF(G916&lt;&gt;"","Contacted","New"))))</f>
        <v>New</v>
      </c>
      <c r="M916" s="32" t="str">
        <f aca="false">IF(G916="","",G916-B916)</f>
        <v/>
      </c>
      <c r="N916" s="24" t="str">
        <f aca="false">IF(COUNTIF($A$2:A916,A916)&gt;1,"Duplicate ID",IF(C916="","Missing source",IF(OR(AND(G916&lt;&gt;"",G916&lt;B916),AND(H916&lt;&gt;"",H916&lt;B916),AND(I916&lt;&gt;"",I916&lt;H916),AND(J916&lt;&gt;"",J916&lt;I916)),"Date error","OK")))</f>
        <v>OK</v>
      </c>
    </row>
    <row r="917" customFormat="false" ht="15" hidden="false" customHeight="false" outlineLevel="0" collapsed="false">
      <c r="A917" s="24" t="s">
        <v>995</v>
      </c>
      <c r="B917" s="31" t="n">
        <v>46210</v>
      </c>
      <c r="C917" s="24" t="s">
        <v>25</v>
      </c>
      <c r="D917" s="24" t="s">
        <v>33</v>
      </c>
      <c r="E917" s="24" t="s">
        <v>79</v>
      </c>
      <c r="F917" s="24" t="s">
        <v>43</v>
      </c>
      <c r="G917" s="31" t="n">
        <v>46212</v>
      </c>
      <c r="H917" s="24"/>
      <c r="I917" s="24"/>
      <c r="J917" s="24"/>
      <c r="K917" s="24" t="n">
        <v>9</v>
      </c>
      <c r="L917" s="24" t="str">
        <f aca="false">IF(J917&lt;&gt;"","Enrolled",IF(I917&lt;&gt;"","Admitted",IF(H917&lt;&gt;"","Applied",IF(G917&lt;&gt;"","Contacted","New"))))</f>
        <v>Contacted</v>
      </c>
      <c r="M917" s="32" t="n">
        <f aca="false">IF(G917="","",G917-B917)</f>
        <v>2</v>
      </c>
      <c r="N917" s="24" t="str">
        <f aca="false">IF(COUNTIF($A$2:A917,A917)&gt;1,"Duplicate ID",IF(C917="","Missing source",IF(OR(AND(G917&lt;&gt;"",G917&lt;B917),AND(H917&lt;&gt;"",H917&lt;B917),AND(I917&lt;&gt;"",I917&lt;H917),AND(J917&lt;&gt;"",J917&lt;I917)),"Date error","OK")))</f>
        <v>OK</v>
      </c>
    </row>
    <row r="918" customFormat="false" ht="15" hidden="false" customHeight="false" outlineLevel="0" collapsed="false">
      <c r="A918" s="24" t="s">
        <v>996</v>
      </c>
      <c r="B918" s="31" t="n">
        <v>46210</v>
      </c>
      <c r="C918" s="24" t="s">
        <v>26</v>
      </c>
      <c r="D918" s="24" t="s">
        <v>33</v>
      </c>
      <c r="E918" s="24" t="s">
        <v>81</v>
      </c>
      <c r="F918" s="24" t="s">
        <v>41</v>
      </c>
      <c r="G918" s="31" t="n">
        <v>46212</v>
      </c>
      <c r="H918" s="24"/>
      <c r="I918" s="24"/>
      <c r="J918" s="24"/>
      <c r="K918" s="24" t="n">
        <v>5</v>
      </c>
      <c r="L918" s="24" t="str">
        <f aca="false">IF(J918&lt;&gt;"","Enrolled",IF(I918&lt;&gt;"","Admitted",IF(H918&lt;&gt;"","Applied",IF(G918&lt;&gt;"","Contacted","New"))))</f>
        <v>Contacted</v>
      </c>
      <c r="M918" s="32" t="n">
        <f aca="false">IF(G918="","",G918-B918)</f>
        <v>2</v>
      </c>
      <c r="N918" s="24" t="str">
        <f aca="false">IF(COUNTIF($A$2:A918,A918)&gt;1,"Duplicate ID",IF(C918="","Missing source",IF(OR(AND(G918&lt;&gt;"",G918&lt;B918),AND(H918&lt;&gt;"",H918&lt;B918),AND(I918&lt;&gt;"",I918&lt;H918),AND(J918&lt;&gt;"",J918&lt;I918)),"Date error","OK")))</f>
        <v>OK</v>
      </c>
    </row>
    <row r="919" customFormat="false" ht="15" hidden="false" customHeight="false" outlineLevel="0" collapsed="false">
      <c r="A919" s="24" t="s">
        <v>997</v>
      </c>
      <c r="B919" s="31" t="n">
        <v>46210</v>
      </c>
      <c r="C919" s="24" t="s">
        <v>26</v>
      </c>
      <c r="D919" s="24" t="s">
        <v>34</v>
      </c>
      <c r="E919" s="24" t="s">
        <v>79</v>
      </c>
      <c r="F919" s="24" t="s">
        <v>44</v>
      </c>
      <c r="G919" s="31" t="n">
        <v>46210</v>
      </c>
      <c r="H919" s="24"/>
      <c r="I919" s="24"/>
      <c r="J919" s="24"/>
      <c r="K919" s="24" t="n">
        <v>2</v>
      </c>
      <c r="L919" s="24" t="str">
        <f aca="false">IF(J919&lt;&gt;"","Enrolled",IF(I919&lt;&gt;"","Admitted",IF(H919&lt;&gt;"","Applied",IF(G919&lt;&gt;"","Contacted","New"))))</f>
        <v>Contacted</v>
      </c>
      <c r="M919" s="32" t="n">
        <f aca="false">IF(G919="","",G919-B919)</f>
        <v>0</v>
      </c>
      <c r="N919" s="24" t="str">
        <f aca="false">IF(COUNTIF($A$2:A919,A919)&gt;1,"Duplicate ID",IF(C919="","Missing source",IF(OR(AND(G919&lt;&gt;"",G919&lt;B919),AND(H919&lt;&gt;"",H919&lt;B919),AND(I919&lt;&gt;"",I919&lt;H919),AND(J919&lt;&gt;"",J919&lt;I919)),"Date error","OK")))</f>
        <v>OK</v>
      </c>
    </row>
    <row r="920" customFormat="false" ht="15" hidden="false" customHeight="false" outlineLevel="0" collapsed="false">
      <c r="A920" s="24" t="s">
        <v>998</v>
      </c>
      <c r="B920" s="31" t="n">
        <v>46210</v>
      </c>
      <c r="C920" s="24" t="s">
        <v>24</v>
      </c>
      <c r="D920" s="24" t="s">
        <v>35</v>
      </c>
      <c r="E920" s="24" t="s">
        <v>89</v>
      </c>
      <c r="F920" s="24" t="s">
        <v>43</v>
      </c>
      <c r="G920" s="31" t="n">
        <v>46212</v>
      </c>
      <c r="H920" s="24"/>
      <c r="I920" s="24"/>
      <c r="J920" s="24"/>
      <c r="K920" s="24" t="n">
        <v>2</v>
      </c>
      <c r="L920" s="24" t="str">
        <f aca="false">IF(J920&lt;&gt;"","Enrolled",IF(I920&lt;&gt;"","Admitted",IF(H920&lt;&gt;"","Applied",IF(G920&lt;&gt;"","Contacted","New"))))</f>
        <v>Contacted</v>
      </c>
      <c r="M920" s="32" t="n">
        <f aca="false">IF(G920="","",G920-B920)</f>
        <v>2</v>
      </c>
      <c r="N920" s="24" t="str">
        <f aca="false">IF(COUNTIF($A$2:A920,A920)&gt;1,"Duplicate ID",IF(C920="","Missing source",IF(OR(AND(G920&lt;&gt;"",G920&lt;B920),AND(H920&lt;&gt;"",H920&lt;B920),AND(I920&lt;&gt;"",I920&lt;H920),AND(J920&lt;&gt;"",J920&lt;I920)),"Date error","OK")))</f>
        <v>OK</v>
      </c>
    </row>
    <row r="921" customFormat="false" ht="15" hidden="false" customHeight="false" outlineLevel="0" collapsed="false">
      <c r="A921" s="24" t="s">
        <v>999</v>
      </c>
      <c r="B921" s="31" t="n">
        <v>46210</v>
      </c>
      <c r="C921" s="24" t="s">
        <v>26</v>
      </c>
      <c r="D921" s="24" t="s">
        <v>33</v>
      </c>
      <c r="E921" s="24" t="s">
        <v>89</v>
      </c>
      <c r="F921" s="24" t="s">
        <v>40</v>
      </c>
      <c r="G921" s="31" t="n">
        <v>46212</v>
      </c>
      <c r="H921" s="24"/>
      <c r="I921" s="24"/>
      <c r="J921" s="24"/>
      <c r="K921" s="24" t="n">
        <v>2</v>
      </c>
      <c r="L921" s="24" t="str">
        <f aca="false">IF(J921&lt;&gt;"","Enrolled",IF(I921&lt;&gt;"","Admitted",IF(H921&lt;&gt;"","Applied",IF(G921&lt;&gt;"","Contacted","New"))))</f>
        <v>Contacted</v>
      </c>
      <c r="M921" s="32" t="n">
        <f aca="false">IF(G921="","",G921-B921)</f>
        <v>2</v>
      </c>
      <c r="N921" s="24" t="str">
        <f aca="false">IF(COUNTIF($A$2:A921,A921)&gt;1,"Duplicate ID",IF(C921="","Missing source",IF(OR(AND(G921&lt;&gt;"",G921&lt;B921),AND(H921&lt;&gt;"",H921&lt;B921),AND(I921&lt;&gt;"",I921&lt;H921),AND(J921&lt;&gt;"",J921&lt;I921)),"Date error","OK")))</f>
        <v>OK</v>
      </c>
    </row>
    <row r="922" customFormat="false" ht="15" hidden="false" customHeight="false" outlineLevel="0" collapsed="false">
      <c r="A922" s="24" t="s">
        <v>1000</v>
      </c>
      <c r="B922" s="31" t="n">
        <v>46210</v>
      </c>
      <c r="C922" s="24" t="s">
        <v>26</v>
      </c>
      <c r="D922" s="24" t="s">
        <v>35</v>
      </c>
      <c r="E922" s="24" t="s">
        <v>79</v>
      </c>
      <c r="F922" s="24" t="s">
        <v>42</v>
      </c>
      <c r="G922" s="31" t="n">
        <v>46211</v>
      </c>
      <c r="H922" s="31" t="n">
        <v>46224</v>
      </c>
      <c r="I922" s="31" t="n">
        <v>46238</v>
      </c>
      <c r="J922" s="31" t="n">
        <v>46254</v>
      </c>
      <c r="K922" s="24" t="n">
        <v>2</v>
      </c>
      <c r="L922" s="24" t="str">
        <f aca="false">IF(J922&lt;&gt;"","Enrolled",IF(I922&lt;&gt;"","Admitted",IF(H922&lt;&gt;"","Applied",IF(G922&lt;&gt;"","Contacted","New"))))</f>
        <v>Enrolled</v>
      </c>
      <c r="M922" s="32" t="n">
        <f aca="false">IF(G922="","",G922-B922)</f>
        <v>1</v>
      </c>
      <c r="N922" s="24" t="str">
        <f aca="false">IF(COUNTIF($A$2:A922,A922)&gt;1,"Duplicate ID",IF(C922="","Missing source",IF(OR(AND(G922&lt;&gt;"",G922&lt;B922),AND(H922&lt;&gt;"",H922&lt;B922),AND(I922&lt;&gt;"",I922&lt;H922),AND(J922&lt;&gt;"",J922&lt;I922)),"Date error","OK")))</f>
        <v>OK</v>
      </c>
    </row>
    <row r="923" customFormat="false" ht="15" hidden="false" customHeight="false" outlineLevel="0" collapsed="false">
      <c r="A923" s="24" t="s">
        <v>1001</v>
      </c>
      <c r="B923" s="31" t="n">
        <v>46210</v>
      </c>
      <c r="C923" s="24" t="s">
        <v>24</v>
      </c>
      <c r="D923" s="24" t="s">
        <v>33</v>
      </c>
      <c r="E923" s="24" t="s">
        <v>84</v>
      </c>
      <c r="F923" s="24" t="s">
        <v>42</v>
      </c>
      <c r="G923" s="31" t="n">
        <v>46210</v>
      </c>
      <c r="H923" s="31" t="n">
        <v>46232</v>
      </c>
      <c r="I923" s="31" t="n">
        <v>46242</v>
      </c>
      <c r="J923" s="24"/>
      <c r="K923" s="24" t="n">
        <v>5</v>
      </c>
      <c r="L923" s="24" t="str">
        <f aca="false">IF(J923&lt;&gt;"","Enrolled",IF(I923&lt;&gt;"","Admitted",IF(H923&lt;&gt;"","Applied",IF(G923&lt;&gt;"","Contacted","New"))))</f>
        <v>Admitted</v>
      </c>
      <c r="M923" s="32" t="n">
        <f aca="false">IF(G923="","",G923-B923)</f>
        <v>0</v>
      </c>
      <c r="N923" s="24" t="str">
        <f aca="false">IF(COUNTIF($A$2:A923,A923)&gt;1,"Duplicate ID",IF(C923="","Missing source",IF(OR(AND(G923&lt;&gt;"",G923&lt;B923),AND(H923&lt;&gt;"",H923&lt;B923),AND(I923&lt;&gt;"",I923&lt;H923),AND(J923&lt;&gt;"",J923&lt;I923)),"Date error","OK")))</f>
        <v>OK</v>
      </c>
    </row>
    <row r="924" customFormat="false" ht="15" hidden="false" customHeight="false" outlineLevel="0" collapsed="false">
      <c r="A924" s="24" t="s">
        <v>1002</v>
      </c>
      <c r="B924" s="31" t="n">
        <v>46210</v>
      </c>
      <c r="C924" s="24" t="s">
        <v>23</v>
      </c>
      <c r="D924" s="24" t="s">
        <v>32</v>
      </c>
      <c r="E924" s="24" t="s">
        <v>94</v>
      </c>
      <c r="F924" s="24" t="s">
        <v>42</v>
      </c>
      <c r="G924" s="31" t="n">
        <v>46212</v>
      </c>
      <c r="H924" s="24"/>
      <c r="I924" s="24"/>
      <c r="J924" s="24"/>
      <c r="K924" s="24" t="n">
        <v>3</v>
      </c>
      <c r="L924" s="24" t="str">
        <f aca="false">IF(J924&lt;&gt;"","Enrolled",IF(I924&lt;&gt;"","Admitted",IF(H924&lt;&gt;"","Applied",IF(G924&lt;&gt;"","Contacted","New"))))</f>
        <v>Contacted</v>
      </c>
      <c r="M924" s="32" t="n">
        <f aca="false">IF(G924="","",G924-B924)</f>
        <v>2</v>
      </c>
      <c r="N924" s="24" t="str">
        <f aca="false">IF(COUNTIF($A$2:A924,A924)&gt;1,"Duplicate ID",IF(C924="","Missing source",IF(OR(AND(G924&lt;&gt;"",G924&lt;B924),AND(H924&lt;&gt;"",H924&lt;B924),AND(I924&lt;&gt;"",I924&lt;H924),AND(J924&lt;&gt;"",J924&lt;I924)),"Date error","OK")))</f>
        <v>OK</v>
      </c>
    </row>
    <row r="925" customFormat="false" ht="15" hidden="false" customHeight="false" outlineLevel="0" collapsed="false">
      <c r="A925" s="24" t="s">
        <v>1003</v>
      </c>
      <c r="B925" s="31" t="n">
        <v>46210</v>
      </c>
      <c r="C925" s="24" t="s">
        <v>24</v>
      </c>
      <c r="D925" s="24" t="s">
        <v>32</v>
      </c>
      <c r="E925" s="24" t="s">
        <v>89</v>
      </c>
      <c r="F925" s="24" t="s">
        <v>42</v>
      </c>
      <c r="G925" s="31" t="n">
        <v>46211</v>
      </c>
      <c r="H925" s="24"/>
      <c r="I925" s="24"/>
      <c r="J925" s="24"/>
      <c r="K925" s="24" t="n">
        <v>1</v>
      </c>
      <c r="L925" s="24" t="str">
        <f aca="false">IF(J925&lt;&gt;"","Enrolled",IF(I925&lt;&gt;"","Admitted",IF(H925&lt;&gt;"","Applied",IF(G925&lt;&gt;"","Contacted","New"))))</f>
        <v>Contacted</v>
      </c>
      <c r="M925" s="32" t="n">
        <f aca="false">IF(G925="","",G925-B925)</f>
        <v>1</v>
      </c>
      <c r="N925" s="24" t="str">
        <f aca="false">IF(COUNTIF($A$2:A925,A925)&gt;1,"Duplicate ID",IF(C925="","Missing source",IF(OR(AND(G925&lt;&gt;"",G925&lt;B925),AND(H925&lt;&gt;"",H925&lt;B925),AND(I925&lt;&gt;"",I925&lt;H925),AND(J925&lt;&gt;"",J925&lt;I925)),"Date error","OK")))</f>
        <v>OK</v>
      </c>
    </row>
    <row r="926" customFormat="false" ht="15" hidden="false" customHeight="false" outlineLevel="0" collapsed="false">
      <c r="A926" s="24" t="s">
        <v>1004</v>
      </c>
      <c r="B926" s="31" t="n">
        <v>46211</v>
      </c>
      <c r="C926" s="24" t="s">
        <v>25</v>
      </c>
      <c r="D926" s="24" t="s">
        <v>34</v>
      </c>
      <c r="E926" s="24" t="s">
        <v>81</v>
      </c>
      <c r="F926" s="24" t="s">
        <v>42</v>
      </c>
      <c r="G926" s="31" t="n">
        <v>46213</v>
      </c>
      <c r="H926" s="24"/>
      <c r="I926" s="24"/>
      <c r="J926" s="24"/>
      <c r="K926" s="24" t="n">
        <v>4</v>
      </c>
      <c r="L926" s="24" t="str">
        <f aca="false">IF(J926&lt;&gt;"","Enrolled",IF(I926&lt;&gt;"","Admitted",IF(H926&lt;&gt;"","Applied",IF(G926&lt;&gt;"","Contacted","New"))))</f>
        <v>Contacted</v>
      </c>
      <c r="M926" s="32" t="n">
        <f aca="false">IF(G926="","",G926-B926)</f>
        <v>2</v>
      </c>
      <c r="N926" s="24" t="str">
        <f aca="false">IF(COUNTIF($A$2:A926,A926)&gt;1,"Duplicate ID",IF(C926="","Missing source",IF(OR(AND(G926&lt;&gt;"",G926&lt;B926),AND(H926&lt;&gt;"",H926&lt;B926),AND(I926&lt;&gt;"",I926&lt;H926),AND(J926&lt;&gt;"",J926&lt;I926)),"Date error","OK")))</f>
        <v>OK</v>
      </c>
    </row>
    <row r="927" customFormat="false" ht="15" hidden="false" customHeight="false" outlineLevel="0" collapsed="false">
      <c r="A927" s="24" t="s">
        <v>1005</v>
      </c>
      <c r="B927" s="31" t="n">
        <v>46211</v>
      </c>
      <c r="C927" s="24" t="s">
        <v>21</v>
      </c>
      <c r="D927" s="24" t="s">
        <v>36</v>
      </c>
      <c r="E927" s="24" t="s">
        <v>81</v>
      </c>
      <c r="F927" s="24" t="s">
        <v>43</v>
      </c>
      <c r="G927" s="31" t="n">
        <v>46211</v>
      </c>
      <c r="H927" s="24"/>
      <c r="I927" s="24"/>
      <c r="J927" s="24"/>
      <c r="K927" s="24" t="n">
        <v>3</v>
      </c>
      <c r="L927" s="24" t="str">
        <f aca="false">IF(J927&lt;&gt;"","Enrolled",IF(I927&lt;&gt;"","Admitted",IF(H927&lt;&gt;"","Applied",IF(G927&lt;&gt;"","Contacted","New"))))</f>
        <v>Contacted</v>
      </c>
      <c r="M927" s="32" t="n">
        <f aca="false">IF(G927="","",G927-B927)</f>
        <v>0</v>
      </c>
      <c r="N927" s="24" t="str">
        <f aca="false">IF(COUNTIF($A$2:A927,A927)&gt;1,"Duplicate ID",IF(C927="","Missing source",IF(OR(AND(G927&lt;&gt;"",G927&lt;B927),AND(H927&lt;&gt;"",H927&lt;B927),AND(I927&lt;&gt;"",I927&lt;H927),AND(J927&lt;&gt;"",J927&lt;I927)),"Date error","OK")))</f>
        <v>OK</v>
      </c>
    </row>
    <row r="928" customFormat="false" ht="15" hidden="false" customHeight="false" outlineLevel="0" collapsed="false">
      <c r="A928" s="24" t="s">
        <v>1006</v>
      </c>
      <c r="B928" s="31" t="n">
        <v>46211</v>
      </c>
      <c r="C928" s="24" t="s">
        <v>25</v>
      </c>
      <c r="D928" s="24" t="s">
        <v>33</v>
      </c>
      <c r="E928" s="24" t="s">
        <v>89</v>
      </c>
      <c r="F928" s="24" t="s">
        <v>40</v>
      </c>
      <c r="G928" s="31" t="n">
        <v>46212</v>
      </c>
      <c r="H928" s="24"/>
      <c r="I928" s="24"/>
      <c r="J928" s="24"/>
      <c r="K928" s="24" t="n">
        <v>5</v>
      </c>
      <c r="L928" s="24" t="str">
        <f aca="false">IF(J928&lt;&gt;"","Enrolled",IF(I928&lt;&gt;"","Admitted",IF(H928&lt;&gt;"","Applied",IF(G928&lt;&gt;"","Contacted","New"))))</f>
        <v>Contacted</v>
      </c>
      <c r="M928" s="32" t="n">
        <f aca="false">IF(G928="","",G928-B928)</f>
        <v>1</v>
      </c>
      <c r="N928" s="24" t="str">
        <f aca="false">IF(COUNTIF($A$2:A928,A928)&gt;1,"Duplicate ID",IF(C928="","Missing source",IF(OR(AND(G928&lt;&gt;"",G928&lt;B928),AND(H928&lt;&gt;"",H928&lt;B928),AND(I928&lt;&gt;"",I928&lt;H928),AND(J928&lt;&gt;"",J928&lt;I928)),"Date error","OK")))</f>
        <v>OK</v>
      </c>
    </row>
    <row r="929" customFormat="false" ht="15" hidden="false" customHeight="false" outlineLevel="0" collapsed="false">
      <c r="A929" s="24" t="s">
        <v>1007</v>
      </c>
      <c r="B929" s="31" t="n">
        <v>46211</v>
      </c>
      <c r="C929" s="24" t="s">
        <v>23</v>
      </c>
      <c r="D929" s="24" t="s">
        <v>34</v>
      </c>
      <c r="E929" s="24" t="s">
        <v>84</v>
      </c>
      <c r="F929" s="24" t="s">
        <v>41</v>
      </c>
      <c r="G929" s="31" t="n">
        <v>46211</v>
      </c>
      <c r="H929" s="31" t="n">
        <v>46236</v>
      </c>
      <c r="I929" s="31" t="n">
        <v>46251</v>
      </c>
      <c r="J929" s="24"/>
      <c r="K929" s="24" t="n">
        <v>3</v>
      </c>
      <c r="L929" s="24" t="str">
        <f aca="false">IF(J929&lt;&gt;"","Enrolled",IF(I929&lt;&gt;"","Admitted",IF(H929&lt;&gt;"","Applied",IF(G929&lt;&gt;"","Contacted","New"))))</f>
        <v>Admitted</v>
      </c>
      <c r="M929" s="32" t="n">
        <f aca="false">IF(G929="","",G929-B929)</f>
        <v>0</v>
      </c>
      <c r="N929" s="24" t="str">
        <f aca="false">IF(COUNTIF($A$2:A929,A929)&gt;1,"Duplicate ID",IF(C929="","Missing source",IF(OR(AND(G929&lt;&gt;"",G929&lt;B929),AND(H929&lt;&gt;"",H929&lt;B929),AND(I929&lt;&gt;"",I929&lt;H929),AND(J929&lt;&gt;"",J929&lt;I929)),"Date error","OK")))</f>
        <v>OK</v>
      </c>
    </row>
    <row r="930" customFormat="false" ht="15" hidden="false" customHeight="false" outlineLevel="0" collapsed="false">
      <c r="A930" s="24" t="s">
        <v>1008</v>
      </c>
      <c r="B930" s="31" t="n">
        <v>46211</v>
      </c>
      <c r="C930" s="24" t="s">
        <v>22</v>
      </c>
      <c r="D930" s="24" t="s">
        <v>34</v>
      </c>
      <c r="E930" s="24" t="s">
        <v>81</v>
      </c>
      <c r="F930" s="24" t="s">
        <v>42</v>
      </c>
      <c r="G930" s="31" t="n">
        <v>46211</v>
      </c>
      <c r="H930" s="24"/>
      <c r="I930" s="24"/>
      <c r="J930" s="24"/>
      <c r="K930" s="24" t="n">
        <v>4</v>
      </c>
      <c r="L930" s="24" t="str">
        <f aca="false">IF(J930&lt;&gt;"","Enrolled",IF(I930&lt;&gt;"","Admitted",IF(H930&lt;&gt;"","Applied",IF(G930&lt;&gt;"","Contacted","New"))))</f>
        <v>Contacted</v>
      </c>
      <c r="M930" s="32" t="n">
        <f aca="false">IF(G930="","",G930-B930)</f>
        <v>0</v>
      </c>
      <c r="N930" s="24" t="str">
        <f aca="false">IF(COUNTIF($A$2:A930,A930)&gt;1,"Duplicate ID",IF(C930="","Missing source",IF(OR(AND(G930&lt;&gt;"",G930&lt;B930),AND(H930&lt;&gt;"",H930&lt;B930),AND(I930&lt;&gt;"",I930&lt;H930),AND(J930&lt;&gt;"",J930&lt;I930)),"Date error","OK")))</f>
        <v>OK</v>
      </c>
    </row>
    <row r="931" customFormat="false" ht="15" hidden="false" customHeight="false" outlineLevel="0" collapsed="false">
      <c r="A931" s="24" t="s">
        <v>1009</v>
      </c>
      <c r="B931" s="31" t="n">
        <v>46211</v>
      </c>
      <c r="C931" s="24" t="s">
        <v>22</v>
      </c>
      <c r="D931" s="24" t="s">
        <v>33</v>
      </c>
      <c r="E931" s="24" t="s">
        <v>89</v>
      </c>
      <c r="F931" s="24" t="s">
        <v>44</v>
      </c>
      <c r="G931" s="31" t="n">
        <v>46213</v>
      </c>
      <c r="H931" s="31" t="n">
        <v>46228</v>
      </c>
      <c r="I931" s="31" t="n">
        <v>46234</v>
      </c>
      <c r="J931" s="24"/>
      <c r="K931" s="24" t="n">
        <v>3</v>
      </c>
      <c r="L931" s="24" t="str">
        <f aca="false">IF(J931&lt;&gt;"","Enrolled",IF(I931&lt;&gt;"","Admitted",IF(H931&lt;&gt;"","Applied",IF(G931&lt;&gt;"","Contacted","New"))))</f>
        <v>Admitted</v>
      </c>
      <c r="M931" s="32" t="n">
        <f aca="false">IF(G931="","",G931-B931)</f>
        <v>2</v>
      </c>
      <c r="N931" s="24" t="str">
        <f aca="false">IF(COUNTIF($A$2:A931,A931)&gt;1,"Duplicate ID",IF(C931="","Missing source",IF(OR(AND(G931&lt;&gt;"",G931&lt;B931),AND(H931&lt;&gt;"",H931&lt;B931),AND(I931&lt;&gt;"",I931&lt;H931),AND(J931&lt;&gt;"",J931&lt;I931)),"Date error","OK")))</f>
        <v>OK</v>
      </c>
    </row>
    <row r="932" customFormat="false" ht="15" hidden="false" customHeight="false" outlineLevel="0" collapsed="false">
      <c r="A932" s="24" t="s">
        <v>1010</v>
      </c>
      <c r="B932" s="31" t="n">
        <v>46211</v>
      </c>
      <c r="C932" s="24" t="s">
        <v>21</v>
      </c>
      <c r="D932" s="24" t="s">
        <v>32</v>
      </c>
      <c r="E932" s="24" t="s">
        <v>94</v>
      </c>
      <c r="F932" s="24" t="s">
        <v>43</v>
      </c>
      <c r="G932" s="31" t="n">
        <v>46211</v>
      </c>
      <c r="H932" s="24"/>
      <c r="I932" s="24"/>
      <c r="J932" s="24"/>
      <c r="K932" s="24" t="n">
        <v>2</v>
      </c>
      <c r="L932" s="24" t="str">
        <f aca="false">IF(J932&lt;&gt;"","Enrolled",IF(I932&lt;&gt;"","Admitted",IF(H932&lt;&gt;"","Applied",IF(G932&lt;&gt;"","Contacted","New"))))</f>
        <v>Contacted</v>
      </c>
      <c r="M932" s="32" t="n">
        <f aca="false">IF(G932="","",G932-B932)</f>
        <v>0</v>
      </c>
      <c r="N932" s="24" t="str">
        <f aca="false">IF(COUNTIF($A$2:A932,A932)&gt;1,"Duplicate ID",IF(C932="","Missing source",IF(OR(AND(G932&lt;&gt;"",G932&lt;B932),AND(H932&lt;&gt;"",H932&lt;B932),AND(I932&lt;&gt;"",I932&lt;H932),AND(J932&lt;&gt;"",J932&lt;I932)),"Date error","OK")))</f>
        <v>OK</v>
      </c>
    </row>
    <row r="933" customFormat="false" ht="15" hidden="false" customHeight="false" outlineLevel="0" collapsed="false">
      <c r="A933" s="24" t="s">
        <v>1011</v>
      </c>
      <c r="B933" s="31" t="n">
        <v>46211</v>
      </c>
      <c r="C933" s="24" t="s">
        <v>26</v>
      </c>
      <c r="D933" s="24" t="s">
        <v>34</v>
      </c>
      <c r="E933" s="24" t="s">
        <v>94</v>
      </c>
      <c r="F933" s="24" t="s">
        <v>42</v>
      </c>
      <c r="G933" s="24"/>
      <c r="H933" s="24"/>
      <c r="I933" s="24"/>
      <c r="J933" s="24"/>
      <c r="K933" s="24" t="n">
        <v>0</v>
      </c>
      <c r="L933" s="24" t="str">
        <f aca="false">IF(J933&lt;&gt;"","Enrolled",IF(I933&lt;&gt;"","Admitted",IF(H933&lt;&gt;"","Applied",IF(G933&lt;&gt;"","Contacted","New"))))</f>
        <v>New</v>
      </c>
      <c r="M933" s="32" t="str">
        <f aca="false">IF(G933="","",G933-B933)</f>
        <v/>
      </c>
      <c r="N933" s="24" t="str">
        <f aca="false">IF(COUNTIF($A$2:A933,A933)&gt;1,"Duplicate ID",IF(C933="","Missing source",IF(OR(AND(G933&lt;&gt;"",G933&lt;B933),AND(H933&lt;&gt;"",H933&lt;B933),AND(I933&lt;&gt;"",I933&lt;H933),AND(J933&lt;&gt;"",J933&lt;I933)),"Date error","OK")))</f>
        <v>OK</v>
      </c>
    </row>
    <row r="934" customFormat="false" ht="15" hidden="false" customHeight="false" outlineLevel="0" collapsed="false">
      <c r="A934" s="24" t="s">
        <v>1012</v>
      </c>
      <c r="B934" s="31" t="n">
        <v>46211</v>
      </c>
      <c r="C934" s="24" t="s">
        <v>25</v>
      </c>
      <c r="D934" s="24" t="s">
        <v>32</v>
      </c>
      <c r="E934" s="24" t="s">
        <v>89</v>
      </c>
      <c r="F934" s="24" t="s">
        <v>45</v>
      </c>
      <c r="G934" s="31" t="n">
        <v>46214</v>
      </c>
      <c r="H934" s="24"/>
      <c r="I934" s="24"/>
      <c r="J934" s="24"/>
      <c r="K934" s="24" t="n">
        <v>2</v>
      </c>
      <c r="L934" s="24" t="str">
        <f aca="false">IF(J934&lt;&gt;"","Enrolled",IF(I934&lt;&gt;"","Admitted",IF(H934&lt;&gt;"","Applied",IF(G934&lt;&gt;"","Contacted","New"))))</f>
        <v>Contacted</v>
      </c>
      <c r="M934" s="32" t="n">
        <f aca="false">IF(G934="","",G934-B934)</f>
        <v>3</v>
      </c>
      <c r="N934" s="24" t="str">
        <f aca="false">IF(COUNTIF($A$2:A934,A934)&gt;1,"Duplicate ID",IF(C934="","Missing source",IF(OR(AND(G934&lt;&gt;"",G934&lt;B934),AND(H934&lt;&gt;"",H934&lt;B934),AND(I934&lt;&gt;"",I934&lt;H934),AND(J934&lt;&gt;"",J934&lt;I934)),"Date error","OK")))</f>
        <v>OK</v>
      </c>
    </row>
    <row r="935" customFormat="false" ht="15" hidden="false" customHeight="false" outlineLevel="0" collapsed="false">
      <c r="A935" s="24" t="s">
        <v>1013</v>
      </c>
      <c r="B935" s="31" t="n">
        <v>46211</v>
      </c>
      <c r="C935" s="24" t="s">
        <v>26</v>
      </c>
      <c r="D935" s="24" t="s">
        <v>34</v>
      </c>
      <c r="E935" s="24" t="s">
        <v>79</v>
      </c>
      <c r="F935" s="24" t="s">
        <v>41</v>
      </c>
      <c r="G935" s="31" t="n">
        <v>46212</v>
      </c>
      <c r="H935" s="24"/>
      <c r="I935" s="24"/>
      <c r="J935" s="24"/>
      <c r="K935" s="24" t="n">
        <v>3</v>
      </c>
      <c r="L935" s="24" t="str">
        <f aca="false">IF(J935&lt;&gt;"","Enrolled",IF(I935&lt;&gt;"","Admitted",IF(H935&lt;&gt;"","Applied",IF(G935&lt;&gt;"","Contacted","New"))))</f>
        <v>Contacted</v>
      </c>
      <c r="M935" s="32" t="n">
        <f aca="false">IF(G935="","",G935-B935)</f>
        <v>1</v>
      </c>
      <c r="N935" s="24" t="str">
        <f aca="false">IF(COUNTIF($A$2:A935,A935)&gt;1,"Duplicate ID",IF(C935="","Missing source",IF(OR(AND(G935&lt;&gt;"",G935&lt;B935),AND(H935&lt;&gt;"",H935&lt;B935),AND(I935&lt;&gt;"",I935&lt;H935),AND(J935&lt;&gt;"",J935&lt;I935)),"Date error","OK")))</f>
        <v>OK</v>
      </c>
    </row>
    <row r="936" customFormat="false" ht="15" hidden="false" customHeight="false" outlineLevel="0" collapsed="false">
      <c r="A936" s="24" t="s">
        <v>1014</v>
      </c>
      <c r="B936" s="31" t="n">
        <v>46211</v>
      </c>
      <c r="C936" s="24" t="s">
        <v>23</v>
      </c>
      <c r="D936" s="24" t="s">
        <v>33</v>
      </c>
      <c r="E936" s="24" t="s">
        <v>81</v>
      </c>
      <c r="F936" s="24" t="s">
        <v>44</v>
      </c>
      <c r="G936" s="31" t="n">
        <v>46216</v>
      </c>
      <c r="H936" s="24"/>
      <c r="I936" s="24"/>
      <c r="J936" s="24"/>
      <c r="K936" s="24" t="n">
        <v>2</v>
      </c>
      <c r="L936" s="24" t="str">
        <f aca="false">IF(J936&lt;&gt;"","Enrolled",IF(I936&lt;&gt;"","Admitted",IF(H936&lt;&gt;"","Applied",IF(G936&lt;&gt;"","Contacted","New"))))</f>
        <v>Contacted</v>
      </c>
      <c r="M936" s="32" t="n">
        <f aca="false">IF(G936="","",G936-B936)</f>
        <v>5</v>
      </c>
      <c r="N936" s="24" t="str">
        <f aca="false">IF(COUNTIF($A$2:A936,A936)&gt;1,"Duplicate ID",IF(C936="","Missing source",IF(OR(AND(G936&lt;&gt;"",G936&lt;B936),AND(H936&lt;&gt;"",H936&lt;B936),AND(I936&lt;&gt;"",I936&lt;H936),AND(J936&lt;&gt;"",J936&lt;I936)),"Date error","OK")))</f>
        <v>OK</v>
      </c>
    </row>
    <row r="937" customFormat="false" ht="15" hidden="false" customHeight="false" outlineLevel="0" collapsed="false">
      <c r="A937" s="24" t="s">
        <v>1015</v>
      </c>
      <c r="B937" s="31" t="n">
        <v>46211</v>
      </c>
      <c r="C937" s="24" t="s">
        <v>25</v>
      </c>
      <c r="D937" s="24" t="s">
        <v>36</v>
      </c>
      <c r="E937" s="24" t="s">
        <v>79</v>
      </c>
      <c r="F937" s="24" t="s">
        <v>40</v>
      </c>
      <c r="G937" s="31" t="n">
        <v>46212</v>
      </c>
      <c r="H937" s="24"/>
      <c r="I937" s="24"/>
      <c r="J937" s="24"/>
      <c r="K937" s="24" t="n">
        <v>1</v>
      </c>
      <c r="L937" s="24" t="str">
        <f aca="false">IF(J937&lt;&gt;"","Enrolled",IF(I937&lt;&gt;"","Admitted",IF(H937&lt;&gt;"","Applied",IF(G937&lt;&gt;"","Contacted","New"))))</f>
        <v>Contacted</v>
      </c>
      <c r="M937" s="32" t="n">
        <f aca="false">IF(G937="","",G937-B937)</f>
        <v>1</v>
      </c>
      <c r="N937" s="24" t="str">
        <f aca="false">IF(COUNTIF($A$2:A937,A937)&gt;1,"Duplicate ID",IF(C937="","Missing source",IF(OR(AND(G937&lt;&gt;"",G937&lt;B937),AND(H937&lt;&gt;"",H937&lt;B937),AND(I937&lt;&gt;"",I937&lt;H937),AND(J937&lt;&gt;"",J937&lt;I937)),"Date error","OK")))</f>
        <v>OK</v>
      </c>
    </row>
    <row r="938" customFormat="false" ht="15" hidden="false" customHeight="false" outlineLevel="0" collapsed="false">
      <c r="A938" s="24" t="s">
        <v>1016</v>
      </c>
      <c r="B938" s="31" t="n">
        <v>46212</v>
      </c>
      <c r="C938" s="24" t="s">
        <v>24</v>
      </c>
      <c r="D938" s="24" t="s">
        <v>33</v>
      </c>
      <c r="E938" s="24" t="s">
        <v>79</v>
      </c>
      <c r="F938" s="24" t="s">
        <v>42</v>
      </c>
      <c r="G938" s="31" t="n">
        <v>46213</v>
      </c>
      <c r="H938" s="24"/>
      <c r="I938" s="24"/>
      <c r="J938" s="24"/>
      <c r="K938" s="24" t="n">
        <v>1</v>
      </c>
      <c r="L938" s="24" t="str">
        <f aca="false">IF(J938&lt;&gt;"","Enrolled",IF(I938&lt;&gt;"","Admitted",IF(H938&lt;&gt;"","Applied",IF(G938&lt;&gt;"","Contacted","New"))))</f>
        <v>Contacted</v>
      </c>
      <c r="M938" s="32" t="n">
        <f aca="false">IF(G938="","",G938-B938)</f>
        <v>1</v>
      </c>
      <c r="N938" s="24" t="str">
        <f aca="false">IF(COUNTIF($A$2:A938,A938)&gt;1,"Duplicate ID",IF(C938="","Missing source",IF(OR(AND(G938&lt;&gt;"",G938&lt;B938),AND(H938&lt;&gt;"",H938&lt;B938),AND(I938&lt;&gt;"",I938&lt;H938),AND(J938&lt;&gt;"",J938&lt;I938)),"Date error","OK")))</f>
        <v>OK</v>
      </c>
    </row>
    <row r="939" customFormat="false" ht="15" hidden="false" customHeight="false" outlineLevel="0" collapsed="false">
      <c r="A939" s="24" t="s">
        <v>1017</v>
      </c>
      <c r="B939" s="31" t="n">
        <v>46212</v>
      </c>
      <c r="C939" s="24" t="s">
        <v>24</v>
      </c>
      <c r="D939" s="24" t="s">
        <v>36</v>
      </c>
      <c r="E939" s="24" t="s">
        <v>89</v>
      </c>
      <c r="F939" s="24" t="s">
        <v>43</v>
      </c>
      <c r="G939" s="31" t="n">
        <v>46212</v>
      </c>
      <c r="H939" s="24"/>
      <c r="I939" s="24"/>
      <c r="J939" s="24"/>
      <c r="K939" s="24" t="n">
        <v>0</v>
      </c>
      <c r="L939" s="24" t="str">
        <f aca="false">IF(J939&lt;&gt;"","Enrolled",IF(I939&lt;&gt;"","Admitted",IF(H939&lt;&gt;"","Applied",IF(G939&lt;&gt;"","Contacted","New"))))</f>
        <v>Contacted</v>
      </c>
      <c r="M939" s="32" t="n">
        <f aca="false">IF(G939="","",G939-B939)</f>
        <v>0</v>
      </c>
      <c r="N939" s="24" t="str">
        <f aca="false">IF(COUNTIF($A$2:A939,A939)&gt;1,"Duplicate ID",IF(C939="","Missing source",IF(OR(AND(G939&lt;&gt;"",G939&lt;B939),AND(H939&lt;&gt;"",H939&lt;B939),AND(I939&lt;&gt;"",I939&lt;H939),AND(J939&lt;&gt;"",J939&lt;I939)),"Date error","OK")))</f>
        <v>OK</v>
      </c>
    </row>
    <row r="940" customFormat="false" ht="15" hidden="false" customHeight="false" outlineLevel="0" collapsed="false">
      <c r="A940" s="24" t="s">
        <v>1018</v>
      </c>
      <c r="B940" s="31" t="n">
        <v>46212</v>
      </c>
      <c r="C940" s="24" t="s">
        <v>26</v>
      </c>
      <c r="D940" s="24" t="s">
        <v>33</v>
      </c>
      <c r="E940" s="24" t="s">
        <v>94</v>
      </c>
      <c r="F940" s="24" t="s">
        <v>42</v>
      </c>
      <c r="G940" s="31" t="n">
        <v>46213</v>
      </c>
      <c r="H940" s="24"/>
      <c r="I940" s="24"/>
      <c r="J940" s="24"/>
      <c r="K940" s="24" t="n">
        <v>1</v>
      </c>
      <c r="L940" s="24" t="str">
        <f aca="false">IF(J940&lt;&gt;"","Enrolled",IF(I940&lt;&gt;"","Admitted",IF(H940&lt;&gt;"","Applied",IF(G940&lt;&gt;"","Contacted","New"))))</f>
        <v>Contacted</v>
      </c>
      <c r="M940" s="32" t="n">
        <f aca="false">IF(G940="","",G940-B940)</f>
        <v>1</v>
      </c>
      <c r="N940" s="24" t="str">
        <f aca="false">IF(COUNTIF($A$2:A940,A940)&gt;1,"Duplicate ID",IF(C940="","Missing source",IF(OR(AND(G940&lt;&gt;"",G940&lt;B940),AND(H940&lt;&gt;"",H940&lt;B940),AND(I940&lt;&gt;"",I940&lt;H940),AND(J940&lt;&gt;"",J940&lt;I940)),"Date error","OK")))</f>
        <v>OK</v>
      </c>
    </row>
    <row r="941" customFormat="false" ht="15" hidden="false" customHeight="false" outlineLevel="0" collapsed="false">
      <c r="A941" s="24" t="s">
        <v>1019</v>
      </c>
      <c r="B941" s="31" t="n">
        <v>46212</v>
      </c>
      <c r="C941" s="24" t="s">
        <v>24</v>
      </c>
      <c r="D941" s="24" t="s">
        <v>32</v>
      </c>
      <c r="E941" s="24" t="s">
        <v>94</v>
      </c>
      <c r="F941" s="24" t="s">
        <v>41</v>
      </c>
      <c r="G941" s="31" t="n">
        <v>46212</v>
      </c>
      <c r="H941" s="24"/>
      <c r="I941" s="24"/>
      <c r="J941" s="24"/>
      <c r="K941" s="24" t="n">
        <v>2</v>
      </c>
      <c r="L941" s="24" t="str">
        <f aca="false">IF(J941&lt;&gt;"","Enrolled",IF(I941&lt;&gt;"","Admitted",IF(H941&lt;&gt;"","Applied",IF(G941&lt;&gt;"","Contacted","New"))))</f>
        <v>Contacted</v>
      </c>
      <c r="M941" s="32" t="n">
        <f aca="false">IF(G941="","",G941-B941)</f>
        <v>0</v>
      </c>
      <c r="N941" s="24" t="str">
        <f aca="false">IF(COUNTIF($A$2:A941,A941)&gt;1,"Duplicate ID",IF(C941="","Missing source",IF(OR(AND(G941&lt;&gt;"",G941&lt;B941),AND(H941&lt;&gt;"",H941&lt;B941),AND(I941&lt;&gt;"",I941&lt;H941),AND(J941&lt;&gt;"",J941&lt;I941)),"Date error","OK")))</f>
        <v>OK</v>
      </c>
    </row>
    <row r="942" customFormat="false" ht="15" hidden="false" customHeight="false" outlineLevel="0" collapsed="false">
      <c r="A942" s="24" t="s">
        <v>1020</v>
      </c>
      <c r="B942" s="31" t="n">
        <v>46212</v>
      </c>
      <c r="C942" s="24" t="s">
        <v>23</v>
      </c>
      <c r="D942" s="24" t="s">
        <v>33</v>
      </c>
      <c r="E942" s="24" t="s">
        <v>89</v>
      </c>
      <c r="F942" s="24" t="s">
        <v>41</v>
      </c>
      <c r="G942" s="31" t="n">
        <v>46213</v>
      </c>
      <c r="H942" s="24"/>
      <c r="I942" s="24"/>
      <c r="J942" s="24"/>
      <c r="K942" s="24" t="n">
        <v>1</v>
      </c>
      <c r="L942" s="24" t="str">
        <f aca="false">IF(J942&lt;&gt;"","Enrolled",IF(I942&lt;&gt;"","Admitted",IF(H942&lt;&gt;"","Applied",IF(G942&lt;&gt;"","Contacted","New"))))</f>
        <v>Contacted</v>
      </c>
      <c r="M942" s="32" t="n">
        <f aca="false">IF(G942="","",G942-B942)</f>
        <v>1</v>
      </c>
      <c r="N942" s="24" t="str">
        <f aca="false">IF(COUNTIF($A$2:A942,A942)&gt;1,"Duplicate ID",IF(C942="","Missing source",IF(OR(AND(G942&lt;&gt;"",G942&lt;B942),AND(H942&lt;&gt;"",H942&lt;B942),AND(I942&lt;&gt;"",I942&lt;H942),AND(J942&lt;&gt;"",J942&lt;I942)),"Date error","OK")))</f>
        <v>OK</v>
      </c>
    </row>
    <row r="943" customFormat="false" ht="15" hidden="false" customHeight="false" outlineLevel="0" collapsed="false">
      <c r="A943" s="24" t="s">
        <v>1021</v>
      </c>
      <c r="B943" s="31" t="n">
        <v>46212</v>
      </c>
      <c r="C943" s="24" t="s">
        <v>24</v>
      </c>
      <c r="D943" s="24" t="s">
        <v>36</v>
      </c>
      <c r="E943" s="24" t="s">
        <v>79</v>
      </c>
      <c r="F943" s="24" t="s">
        <v>44</v>
      </c>
      <c r="G943" s="31" t="n">
        <v>46212</v>
      </c>
      <c r="H943" s="24"/>
      <c r="I943" s="24"/>
      <c r="J943" s="24"/>
      <c r="K943" s="24" t="n">
        <v>1</v>
      </c>
      <c r="L943" s="24" t="str">
        <f aca="false">IF(J943&lt;&gt;"","Enrolled",IF(I943&lt;&gt;"","Admitted",IF(H943&lt;&gt;"","Applied",IF(G943&lt;&gt;"","Contacted","New"))))</f>
        <v>Contacted</v>
      </c>
      <c r="M943" s="32" t="n">
        <f aca="false">IF(G943="","",G943-B943)</f>
        <v>0</v>
      </c>
      <c r="N943" s="24" t="str">
        <f aca="false">IF(COUNTIF($A$2:A943,A943)&gt;1,"Duplicate ID",IF(C943="","Missing source",IF(OR(AND(G943&lt;&gt;"",G943&lt;B943),AND(H943&lt;&gt;"",H943&lt;B943),AND(I943&lt;&gt;"",I943&lt;H943),AND(J943&lt;&gt;"",J943&lt;I943)),"Date error","OK")))</f>
        <v>OK</v>
      </c>
    </row>
    <row r="944" customFormat="false" ht="15" hidden="false" customHeight="false" outlineLevel="0" collapsed="false">
      <c r="A944" s="24" t="s">
        <v>1022</v>
      </c>
      <c r="B944" s="31" t="n">
        <v>46212</v>
      </c>
      <c r="C944" s="24" t="s">
        <v>26</v>
      </c>
      <c r="D944" s="24" t="s">
        <v>36</v>
      </c>
      <c r="E944" s="24" t="s">
        <v>94</v>
      </c>
      <c r="F944" s="24" t="s">
        <v>42</v>
      </c>
      <c r="G944" s="31" t="n">
        <v>46214</v>
      </c>
      <c r="H944" s="24"/>
      <c r="I944" s="24"/>
      <c r="J944" s="24"/>
      <c r="K944" s="24" t="n">
        <v>4</v>
      </c>
      <c r="L944" s="24" t="str">
        <f aca="false">IF(J944&lt;&gt;"","Enrolled",IF(I944&lt;&gt;"","Admitted",IF(H944&lt;&gt;"","Applied",IF(G944&lt;&gt;"","Contacted","New"))))</f>
        <v>Contacted</v>
      </c>
      <c r="M944" s="32" t="n">
        <f aca="false">IF(G944="","",G944-B944)</f>
        <v>2</v>
      </c>
      <c r="N944" s="24" t="str">
        <f aca="false">IF(COUNTIF($A$2:A944,A944)&gt;1,"Duplicate ID",IF(C944="","Missing source",IF(OR(AND(G944&lt;&gt;"",G944&lt;B944),AND(H944&lt;&gt;"",H944&lt;B944),AND(I944&lt;&gt;"",I944&lt;H944),AND(J944&lt;&gt;"",J944&lt;I944)),"Date error","OK")))</f>
        <v>OK</v>
      </c>
    </row>
    <row r="945" customFormat="false" ht="15" hidden="false" customHeight="false" outlineLevel="0" collapsed="false">
      <c r="A945" s="24" t="s">
        <v>1023</v>
      </c>
      <c r="B945" s="31" t="n">
        <v>46212</v>
      </c>
      <c r="C945" s="24" t="s">
        <v>27</v>
      </c>
      <c r="D945" s="24" t="s">
        <v>36</v>
      </c>
      <c r="E945" s="24" t="s">
        <v>79</v>
      </c>
      <c r="F945" s="24" t="s">
        <v>45</v>
      </c>
      <c r="G945" s="31" t="n">
        <v>46212</v>
      </c>
      <c r="H945" s="24"/>
      <c r="I945" s="24"/>
      <c r="J945" s="24"/>
      <c r="K945" s="24" t="n">
        <v>2</v>
      </c>
      <c r="L945" s="24" t="str">
        <f aca="false">IF(J945&lt;&gt;"","Enrolled",IF(I945&lt;&gt;"","Admitted",IF(H945&lt;&gt;"","Applied",IF(G945&lt;&gt;"","Contacted","New"))))</f>
        <v>Contacted</v>
      </c>
      <c r="M945" s="32" t="n">
        <f aca="false">IF(G945="","",G945-B945)</f>
        <v>0</v>
      </c>
      <c r="N945" s="24" t="str">
        <f aca="false">IF(COUNTIF($A$2:A945,A945)&gt;1,"Duplicate ID",IF(C945="","Missing source",IF(OR(AND(G945&lt;&gt;"",G945&lt;B945),AND(H945&lt;&gt;"",H945&lt;B945),AND(I945&lt;&gt;"",I945&lt;H945),AND(J945&lt;&gt;"",J945&lt;I945)),"Date error","OK")))</f>
        <v>OK</v>
      </c>
    </row>
    <row r="946" customFormat="false" ht="15" hidden="false" customHeight="false" outlineLevel="0" collapsed="false">
      <c r="A946" s="24" t="s">
        <v>1024</v>
      </c>
      <c r="B946" s="31" t="n">
        <v>46213</v>
      </c>
      <c r="C946" s="24" t="s">
        <v>26</v>
      </c>
      <c r="D946" s="24" t="s">
        <v>36</v>
      </c>
      <c r="E946" s="24" t="s">
        <v>81</v>
      </c>
      <c r="F946" s="24" t="s">
        <v>42</v>
      </c>
      <c r="G946" s="31" t="n">
        <v>46213</v>
      </c>
      <c r="H946" s="24"/>
      <c r="I946" s="24"/>
      <c r="J946" s="24"/>
      <c r="K946" s="24" t="n">
        <v>4</v>
      </c>
      <c r="L946" s="24" t="str">
        <f aca="false">IF(J946&lt;&gt;"","Enrolled",IF(I946&lt;&gt;"","Admitted",IF(H946&lt;&gt;"","Applied",IF(G946&lt;&gt;"","Contacted","New"))))</f>
        <v>Contacted</v>
      </c>
      <c r="M946" s="32" t="n">
        <f aca="false">IF(G946="","",G946-B946)</f>
        <v>0</v>
      </c>
      <c r="N946" s="24" t="str">
        <f aca="false">IF(COUNTIF($A$2:A946,A946)&gt;1,"Duplicate ID",IF(C946="","Missing source",IF(OR(AND(G946&lt;&gt;"",G946&lt;B946),AND(H946&lt;&gt;"",H946&lt;B946),AND(I946&lt;&gt;"",I946&lt;H946),AND(J946&lt;&gt;"",J946&lt;I946)),"Date error","OK")))</f>
        <v>OK</v>
      </c>
    </row>
    <row r="947" customFormat="false" ht="15" hidden="false" customHeight="false" outlineLevel="0" collapsed="false">
      <c r="A947" s="24" t="s">
        <v>1025</v>
      </c>
      <c r="B947" s="31" t="n">
        <v>46213</v>
      </c>
      <c r="C947" s="24" t="s">
        <v>27</v>
      </c>
      <c r="D947" s="24" t="s">
        <v>36</v>
      </c>
      <c r="E947" s="24" t="s">
        <v>89</v>
      </c>
      <c r="F947" s="24" t="s">
        <v>40</v>
      </c>
      <c r="G947" s="31" t="n">
        <v>46213</v>
      </c>
      <c r="H947" s="24"/>
      <c r="I947" s="24"/>
      <c r="J947" s="24"/>
      <c r="K947" s="24" t="n">
        <v>5</v>
      </c>
      <c r="L947" s="24" t="str">
        <f aca="false">IF(J947&lt;&gt;"","Enrolled",IF(I947&lt;&gt;"","Admitted",IF(H947&lt;&gt;"","Applied",IF(G947&lt;&gt;"","Contacted","New"))))</f>
        <v>Contacted</v>
      </c>
      <c r="M947" s="32" t="n">
        <f aca="false">IF(G947="","",G947-B947)</f>
        <v>0</v>
      </c>
      <c r="N947" s="24" t="str">
        <f aca="false">IF(COUNTIF($A$2:A947,A947)&gt;1,"Duplicate ID",IF(C947="","Missing source",IF(OR(AND(G947&lt;&gt;"",G947&lt;B947),AND(H947&lt;&gt;"",H947&lt;B947),AND(I947&lt;&gt;"",I947&lt;H947),AND(J947&lt;&gt;"",J947&lt;I947)),"Date error","OK")))</f>
        <v>OK</v>
      </c>
    </row>
    <row r="948" customFormat="false" ht="15" hidden="false" customHeight="false" outlineLevel="0" collapsed="false">
      <c r="A948" s="24" t="s">
        <v>1026</v>
      </c>
      <c r="B948" s="31" t="n">
        <v>46213</v>
      </c>
      <c r="C948" s="24" t="s">
        <v>26</v>
      </c>
      <c r="D948" s="24" t="s">
        <v>34</v>
      </c>
      <c r="E948" s="24" t="s">
        <v>89</v>
      </c>
      <c r="F948" s="24" t="s">
        <v>42</v>
      </c>
      <c r="G948" s="31" t="n">
        <v>46215</v>
      </c>
      <c r="H948" s="31" t="n">
        <v>46225</v>
      </c>
      <c r="I948" s="24"/>
      <c r="J948" s="24"/>
      <c r="K948" s="24" t="n">
        <v>3</v>
      </c>
      <c r="L948" s="24" t="str">
        <f aca="false">IF(J948&lt;&gt;"","Enrolled",IF(I948&lt;&gt;"","Admitted",IF(H948&lt;&gt;"","Applied",IF(G948&lt;&gt;"","Contacted","New"))))</f>
        <v>Applied</v>
      </c>
      <c r="M948" s="32" t="n">
        <f aca="false">IF(G948="","",G948-B948)</f>
        <v>2</v>
      </c>
      <c r="N948" s="24" t="str">
        <f aca="false">IF(COUNTIF($A$2:A948,A948)&gt;1,"Duplicate ID",IF(C948="","Missing source",IF(OR(AND(G948&lt;&gt;"",G948&lt;B948),AND(H948&lt;&gt;"",H948&lt;B948),AND(I948&lt;&gt;"",I948&lt;H948),AND(J948&lt;&gt;"",J948&lt;I948)),"Date error","OK")))</f>
        <v>OK</v>
      </c>
    </row>
    <row r="949" customFormat="false" ht="15" hidden="false" customHeight="false" outlineLevel="0" collapsed="false">
      <c r="A949" s="24" t="s">
        <v>1027</v>
      </c>
      <c r="B949" s="31" t="n">
        <v>46213</v>
      </c>
      <c r="C949" s="24" t="s">
        <v>23</v>
      </c>
      <c r="D949" s="24" t="s">
        <v>36</v>
      </c>
      <c r="E949" s="24" t="s">
        <v>84</v>
      </c>
      <c r="F949" s="24" t="s">
        <v>45</v>
      </c>
      <c r="G949" s="31" t="n">
        <v>46214</v>
      </c>
      <c r="H949" s="31" t="n">
        <v>46239</v>
      </c>
      <c r="I949" s="31" t="n">
        <v>46252</v>
      </c>
      <c r="J949" s="24"/>
      <c r="K949" s="24" t="n">
        <v>2</v>
      </c>
      <c r="L949" s="24" t="str">
        <f aca="false">IF(J949&lt;&gt;"","Enrolled",IF(I949&lt;&gt;"","Admitted",IF(H949&lt;&gt;"","Applied",IF(G949&lt;&gt;"","Contacted","New"))))</f>
        <v>Admitted</v>
      </c>
      <c r="M949" s="32" t="n">
        <f aca="false">IF(G949="","",G949-B949)</f>
        <v>1</v>
      </c>
      <c r="N949" s="24" t="str">
        <f aca="false">IF(COUNTIF($A$2:A949,A949)&gt;1,"Duplicate ID",IF(C949="","Missing source",IF(OR(AND(G949&lt;&gt;"",G949&lt;B949),AND(H949&lt;&gt;"",H949&lt;B949),AND(I949&lt;&gt;"",I949&lt;H949),AND(J949&lt;&gt;"",J949&lt;I949)),"Date error","OK")))</f>
        <v>OK</v>
      </c>
    </row>
    <row r="950" customFormat="false" ht="15" hidden="false" customHeight="false" outlineLevel="0" collapsed="false">
      <c r="A950" s="24" t="s">
        <v>1028</v>
      </c>
      <c r="B950" s="31" t="n">
        <v>46213</v>
      </c>
      <c r="C950" s="24" t="s">
        <v>26</v>
      </c>
      <c r="D950" s="24" t="s">
        <v>34</v>
      </c>
      <c r="E950" s="24" t="s">
        <v>89</v>
      </c>
      <c r="F950" s="24" t="s">
        <v>40</v>
      </c>
      <c r="G950" s="31" t="n">
        <v>46213</v>
      </c>
      <c r="H950" s="31" t="n">
        <v>46227</v>
      </c>
      <c r="I950" s="31" t="n">
        <v>46233</v>
      </c>
      <c r="J950" s="31" t="n">
        <v>46250</v>
      </c>
      <c r="K950" s="24" t="n">
        <v>2</v>
      </c>
      <c r="L950" s="24" t="str">
        <f aca="false">IF(J950&lt;&gt;"","Enrolled",IF(I950&lt;&gt;"","Admitted",IF(H950&lt;&gt;"","Applied",IF(G950&lt;&gt;"","Contacted","New"))))</f>
        <v>Enrolled</v>
      </c>
      <c r="M950" s="32" t="n">
        <f aca="false">IF(G950="","",G950-B950)</f>
        <v>0</v>
      </c>
      <c r="N950" s="24" t="str">
        <f aca="false">IF(COUNTIF($A$2:A950,A950)&gt;1,"Duplicate ID",IF(C950="","Missing source",IF(OR(AND(G950&lt;&gt;"",G950&lt;B950),AND(H950&lt;&gt;"",H950&lt;B950),AND(I950&lt;&gt;"",I950&lt;H950),AND(J950&lt;&gt;"",J950&lt;I950)),"Date error","OK")))</f>
        <v>OK</v>
      </c>
    </row>
    <row r="951" customFormat="false" ht="15" hidden="false" customHeight="false" outlineLevel="0" collapsed="false">
      <c r="A951" s="24" t="s">
        <v>1029</v>
      </c>
      <c r="B951" s="31" t="n">
        <v>46213</v>
      </c>
      <c r="C951" s="24" t="s">
        <v>26</v>
      </c>
      <c r="D951" s="24" t="s">
        <v>32</v>
      </c>
      <c r="E951" s="24" t="s">
        <v>81</v>
      </c>
      <c r="F951" s="24" t="s">
        <v>41</v>
      </c>
      <c r="G951" s="31" t="n">
        <v>46213</v>
      </c>
      <c r="H951" s="24"/>
      <c r="I951" s="24"/>
      <c r="J951" s="24"/>
      <c r="K951" s="24" t="n">
        <v>5</v>
      </c>
      <c r="L951" s="24" t="str">
        <f aca="false">IF(J951&lt;&gt;"","Enrolled",IF(I951&lt;&gt;"","Admitted",IF(H951&lt;&gt;"","Applied",IF(G951&lt;&gt;"","Contacted","New"))))</f>
        <v>Contacted</v>
      </c>
      <c r="M951" s="32" t="n">
        <f aca="false">IF(G951="","",G951-B951)</f>
        <v>0</v>
      </c>
      <c r="N951" s="24" t="str">
        <f aca="false">IF(COUNTIF($A$2:A951,A951)&gt;1,"Duplicate ID",IF(C951="","Missing source",IF(OR(AND(G951&lt;&gt;"",G951&lt;B951),AND(H951&lt;&gt;"",H951&lt;B951),AND(I951&lt;&gt;"",I951&lt;H951),AND(J951&lt;&gt;"",J951&lt;I951)),"Date error","OK")))</f>
        <v>OK</v>
      </c>
    </row>
    <row r="952" customFormat="false" ht="15" hidden="false" customHeight="false" outlineLevel="0" collapsed="false">
      <c r="A952" s="24" t="s">
        <v>1030</v>
      </c>
      <c r="B952" s="31" t="n">
        <v>46213</v>
      </c>
      <c r="C952" s="24" t="s">
        <v>23</v>
      </c>
      <c r="D952" s="24" t="s">
        <v>32</v>
      </c>
      <c r="E952" s="24" t="s">
        <v>89</v>
      </c>
      <c r="F952" s="24" t="s">
        <v>44</v>
      </c>
      <c r="G952" s="31" t="n">
        <v>46218</v>
      </c>
      <c r="H952" s="24"/>
      <c r="I952" s="24"/>
      <c r="J952" s="24"/>
      <c r="K952" s="24" t="n">
        <v>2</v>
      </c>
      <c r="L952" s="24" t="str">
        <f aca="false">IF(J952&lt;&gt;"","Enrolled",IF(I952&lt;&gt;"","Admitted",IF(H952&lt;&gt;"","Applied",IF(G952&lt;&gt;"","Contacted","New"))))</f>
        <v>Contacted</v>
      </c>
      <c r="M952" s="32" t="n">
        <f aca="false">IF(G952="","",G952-B952)</f>
        <v>5</v>
      </c>
      <c r="N952" s="24" t="str">
        <f aca="false">IF(COUNTIF($A$2:A952,A952)&gt;1,"Duplicate ID",IF(C952="","Missing source",IF(OR(AND(G952&lt;&gt;"",G952&lt;B952),AND(H952&lt;&gt;"",H952&lt;B952),AND(I952&lt;&gt;"",I952&lt;H952),AND(J952&lt;&gt;"",J952&lt;I952)),"Date error","OK")))</f>
        <v>OK</v>
      </c>
    </row>
    <row r="953" customFormat="false" ht="15" hidden="false" customHeight="false" outlineLevel="0" collapsed="false">
      <c r="A953" s="24" t="s">
        <v>1031</v>
      </c>
      <c r="B953" s="31" t="n">
        <v>46213</v>
      </c>
      <c r="C953" s="24" t="s">
        <v>22</v>
      </c>
      <c r="D953" s="24" t="s">
        <v>32</v>
      </c>
      <c r="E953" s="24" t="s">
        <v>79</v>
      </c>
      <c r="F953" s="24" t="s">
        <v>40</v>
      </c>
      <c r="G953" s="31" t="n">
        <v>46213</v>
      </c>
      <c r="H953" s="31" t="n">
        <v>46220</v>
      </c>
      <c r="I953" s="31" t="n">
        <v>46234</v>
      </c>
      <c r="J953" s="31" t="n">
        <v>46264</v>
      </c>
      <c r="K953" s="24" t="n">
        <v>3</v>
      </c>
      <c r="L953" s="24" t="str">
        <f aca="false">IF(J953&lt;&gt;"","Enrolled",IF(I953&lt;&gt;"","Admitted",IF(H953&lt;&gt;"","Applied",IF(G953&lt;&gt;"","Contacted","New"))))</f>
        <v>Enrolled</v>
      </c>
      <c r="M953" s="32" t="n">
        <f aca="false">IF(G953="","",G953-B953)</f>
        <v>0</v>
      </c>
      <c r="N953" s="24" t="str">
        <f aca="false">IF(COUNTIF($A$2:A953,A953)&gt;1,"Duplicate ID",IF(C953="","Missing source",IF(OR(AND(G953&lt;&gt;"",G953&lt;B953),AND(H953&lt;&gt;"",H953&lt;B953),AND(I953&lt;&gt;"",I953&lt;H953),AND(J953&lt;&gt;"",J953&lt;I953)),"Date error","OK")))</f>
        <v>OK</v>
      </c>
    </row>
    <row r="954" customFormat="false" ht="15" hidden="false" customHeight="false" outlineLevel="0" collapsed="false">
      <c r="A954" s="24" t="s">
        <v>1032</v>
      </c>
      <c r="B954" s="31" t="n">
        <v>46213</v>
      </c>
      <c r="C954" s="24" t="s">
        <v>24</v>
      </c>
      <c r="D954" s="24" t="s">
        <v>34</v>
      </c>
      <c r="E954" s="24" t="s">
        <v>89</v>
      </c>
      <c r="F954" s="24" t="s">
        <v>45</v>
      </c>
      <c r="G954" s="31" t="n">
        <v>46214</v>
      </c>
      <c r="H954" s="31" t="n">
        <v>46225</v>
      </c>
      <c r="I954" s="24"/>
      <c r="J954" s="24"/>
      <c r="K954" s="24" t="n">
        <v>6</v>
      </c>
      <c r="L954" s="24" t="str">
        <f aca="false">IF(J954&lt;&gt;"","Enrolled",IF(I954&lt;&gt;"","Admitted",IF(H954&lt;&gt;"","Applied",IF(G954&lt;&gt;"","Contacted","New"))))</f>
        <v>Applied</v>
      </c>
      <c r="M954" s="32" t="n">
        <f aca="false">IF(G954="","",G954-B954)</f>
        <v>1</v>
      </c>
      <c r="N954" s="24" t="str">
        <f aca="false">IF(COUNTIF($A$2:A954,A954)&gt;1,"Duplicate ID",IF(C954="","Missing source",IF(OR(AND(G954&lt;&gt;"",G954&lt;B954),AND(H954&lt;&gt;"",H954&lt;B954),AND(I954&lt;&gt;"",I954&lt;H954),AND(J954&lt;&gt;"",J954&lt;I954)),"Date error","OK")))</f>
        <v>OK</v>
      </c>
    </row>
    <row r="955" customFormat="false" ht="15" hidden="false" customHeight="false" outlineLevel="0" collapsed="false">
      <c r="A955" s="24" t="s">
        <v>1033</v>
      </c>
      <c r="B955" s="31" t="n">
        <v>46213</v>
      </c>
      <c r="C955" s="24" t="s">
        <v>26</v>
      </c>
      <c r="D955" s="24" t="s">
        <v>35</v>
      </c>
      <c r="E955" s="24" t="s">
        <v>89</v>
      </c>
      <c r="F955" s="24" t="s">
        <v>40</v>
      </c>
      <c r="G955" s="31" t="n">
        <v>46214</v>
      </c>
      <c r="H955" s="24"/>
      <c r="I955" s="24"/>
      <c r="J955" s="24"/>
      <c r="K955" s="24" t="n">
        <v>4</v>
      </c>
      <c r="L955" s="24" t="str">
        <f aca="false">IF(J955&lt;&gt;"","Enrolled",IF(I955&lt;&gt;"","Admitted",IF(H955&lt;&gt;"","Applied",IF(G955&lt;&gt;"","Contacted","New"))))</f>
        <v>Contacted</v>
      </c>
      <c r="M955" s="32" t="n">
        <f aca="false">IF(G955="","",G955-B955)</f>
        <v>1</v>
      </c>
      <c r="N955" s="24" t="str">
        <f aca="false">IF(COUNTIF($A$2:A955,A955)&gt;1,"Duplicate ID",IF(C955="","Missing source",IF(OR(AND(G955&lt;&gt;"",G955&lt;B955),AND(H955&lt;&gt;"",H955&lt;B955),AND(I955&lt;&gt;"",I955&lt;H955),AND(J955&lt;&gt;"",J955&lt;I955)),"Date error","OK")))</f>
        <v>OK</v>
      </c>
    </row>
    <row r="956" customFormat="false" ht="15" hidden="false" customHeight="false" outlineLevel="0" collapsed="false">
      <c r="A956" s="24" t="s">
        <v>1034</v>
      </c>
      <c r="B956" s="31" t="n">
        <v>46213</v>
      </c>
      <c r="C956" s="24" t="s">
        <v>25</v>
      </c>
      <c r="D956" s="24" t="s">
        <v>33</v>
      </c>
      <c r="E956" s="24" t="s">
        <v>79</v>
      </c>
      <c r="F956" s="24" t="s">
        <v>43</v>
      </c>
      <c r="G956" s="31" t="n">
        <v>46213</v>
      </c>
      <c r="H956" s="24"/>
      <c r="I956" s="24"/>
      <c r="J956" s="24"/>
      <c r="K956" s="24" t="n">
        <v>1</v>
      </c>
      <c r="L956" s="24" t="str">
        <f aca="false">IF(J956&lt;&gt;"","Enrolled",IF(I956&lt;&gt;"","Admitted",IF(H956&lt;&gt;"","Applied",IF(G956&lt;&gt;"","Contacted","New"))))</f>
        <v>Contacted</v>
      </c>
      <c r="M956" s="32" t="n">
        <f aca="false">IF(G956="","",G956-B956)</f>
        <v>0</v>
      </c>
      <c r="N956" s="24" t="str">
        <f aca="false">IF(COUNTIF($A$2:A956,A956)&gt;1,"Duplicate ID",IF(C956="","Missing source",IF(OR(AND(G956&lt;&gt;"",G956&lt;B956),AND(H956&lt;&gt;"",H956&lt;B956),AND(I956&lt;&gt;"",I956&lt;H956),AND(J956&lt;&gt;"",J956&lt;I956)),"Date error","OK")))</f>
        <v>OK</v>
      </c>
    </row>
    <row r="957" customFormat="false" ht="15" hidden="false" customHeight="false" outlineLevel="0" collapsed="false">
      <c r="A957" s="24" t="s">
        <v>1035</v>
      </c>
      <c r="B957" s="31" t="n">
        <v>46213</v>
      </c>
      <c r="C957" s="24" t="s">
        <v>21</v>
      </c>
      <c r="D957" s="24" t="s">
        <v>34</v>
      </c>
      <c r="E957" s="24" t="s">
        <v>79</v>
      </c>
      <c r="F957" s="24" t="s">
        <v>45</v>
      </c>
      <c r="G957" s="31" t="n">
        <v>46214</v>
      </c>
      <c r="H957" s="24"/>
      <c r="I957" s="24"/>
      <c r="J957" s="24"/>
      <c r="K957" s="24" t="n">
        <v>3</v>
      </c>
      <c r="L957" s="24" t="str">
        <f aca="false">IF(J957&lt;&gt;"","Enrolled",IF(I957&lt;&gt;"","Admitted",IF(H957&lt;&gt;"","Applied",IF(G957&lt;&gt;"","Contacted","New"))))</f>
        <v>Contacted</v>
      </c>
      <c r="M957" s="32" t="n">
        <f aca="false">IF(G957="","",G957-B957)</f>
        <v>1</v>
      </c>
      <c r="N957" s="24" t="str">
        <f aca="false">IF(COUNTIF($A$2:A957,A957)&gt;1,"Duplicate ID",IF(C957="","Missing source",IF(OR(AND(G957&lt;&gt;"",G957&lt;B957),AND(H957&lt;&gt;"",H957&lt;B957),AND(I957&lt;&gt;"",I957&lt;H957),AND(J957&lt;&gt;"",J957&lt;I957)),"Date error","OK")))</f>
        <v>OK</v>
      </c>
    </row>
    <row r="958" customFormat="false" ht="15" hidden="false" customHeight="false" outlineLevel="0" collapsed="false">
      <c r="A958" s="24" t="s">
        <v>1036</v>
      </c>
      <c r="B958" s="31" t="n">
        <v>46213</v>
      </c>
      <c r="C958" s="24" t="s">
        <v>25</v>
      </c>
      <c r="D958" s="24" t="s">
        <v>36</v>
      </c>
      <c r="E958" s="24" t="s">
        <v>94</v>
      </c>
      <c r="F958" s="24" t="s">
        <v>45</v>
      </c>
      <c r="G958" s="31" t="n">
        <v>46224</v>
      </c>
      <c r="H958" s="24"/>
      <c r="I958" s="24"/>
      <c r="J958" s="24"/>
      <c r="K958" s="24" t="n">
        <v>2</v>
      </c>
      <c r="L958" s="24" t="str">
        <f aca="false">IF(J958&lt;&gt;"","Enrolled",IF(I958&lt;&gt;"","Admitted",IF(H958&lt;&gt;"","Applied",IF(G958&lt;&gt;"","Contacted","New"))))</f>
        <v>Contacted</v>
      </c>
      <c r="M958" s="32" t="n">
        <f aca="false">IF(G958="","",G958-B958)</f>
        <v>11</v>
      </c>
      <c r="N958" s="24" t="str">
        <f aca="false">IF(COUNTIF($A$2:A958,A958)&gt;1,"Duplicate ID",IF(C958="","Missing source",IF(OR(AND(G958&lt;&gt;"",G958&lt;B958),AND(H958&lt;&gt;"",H958&lt;B958),AND(I958&lt;&gt;"",I958&lt;H958),AND(J958&lt;&gt;"",J958&lt;I958)),"Date error","OK")))</f>
        <v>OK</v>
      </c>
    </row>
    <row r="959" customFormat="false" ht="15" hidden="false" customHeight="false" outlineLevel="0" collapsed="false">
      <c r="A959" s="24" t="s">
        <v>1037</v>
      </c>
      <c r="B959" s="31" t="n">
        <v>46213</v>
      </c>
      <c r="C959" s="24" t="s">
        <v>23</v>
      </c>
      <c r="D959" s="24" t="s">
        <v>34</v>
      </c>
      <c r="E959" s="24" t="s">
        <v>94</v>
      </c>
      <c r="F959" s="24" t="s">
        <v>40</v>
      </c>
      <c r="G959" s="31" t="n">
        <v>46213</v>
      </c>
      <c r="H959" s="31" t="n">
        <v>46223</v>
      </c>
      <c r="I959" s="31" t="n">
        <v>46238</v>
      </c>
      <c r="J959" s="31" t="n">
        <v>46255</v>
      </c>
      <c r="K959" s="24" t="n">
        <v>4</v>
      </c>
      <c r="L959" s="24" t="str">
        <f aca="false">IF(J959&lt;&gt;"","Enrolled",IF(I959&lt;&gt;"","Admitted",IF(H959&lt;&gt;"","Applied",IF(G959&lt;&gt;"","Contacted","New"))))</f>
        <v>Enrolled</v>
      </c>
      <c r="M959" s="32" t="n">
        <f aca="false">IF(G959="","",G959-B959)</f>
        <v>0</v>
      </c>
      <c r="N959" s="24" t="str">
        <f aca="false">IF(COUNTIF($A$2:A959,A959)&gt;1,"Duplicate ID",IF(C959="","Missing source",IF(OR(AND(G959&lt;&gt;"",G959&lt;B959),AND(H959&lt;&gt;"",H959&lt;B959),AND(I959&lt;&gt;"",I959&lt;H959),AND(J959&lt;&gt;"",J959&lt;I959)),"Date error","OK")))</f>
        <v>OK</v>
      </c>
    </row>
    <row r="960" customFormat="false" ht="15" hidden="false" customHeight="false" outlineLevel="0" collapsed="false">
      <c r="A960" s="24" t="s">
        <v>1038</v>
      </c>
      <c r="B960" s="31" t="n">
        <v>46213</v>
      </c>
      <c r="C960" s="24" t="s">
        <v>26</v>
      </c>
      <c r="D960" s="24" t="s">
        <v>36</v>
      </c>
      <c r="E960" s="24" t="s">
        <v>81</v>
      </c>
      <c r="F960" s="24" t="s">
        <v>41</v>
      </c>
      <c r="G960" s="31" t="n">
        <v>46213</v>
      </c>
      <c r="H960" s="24"/>
      <c r="I960" s="24"/>
      <c r="J960" s="24"/>
      <c r="K960" s="24" t="n">
        <v>0</v>
      </c>
      <c r="L960" s="24" t="str">
        <f aca="false">IF(J960&lt;&gt;"","Enrolled",IF(I960&lt;&gt;"","Admitted",IF(H960&lt;&gt;"","Applied",IF(G960&lt;&gt;"","Contacted","New"))))</f>
        <v>Contacted</v>
      </c>
      <c r="M960" s="32" t="n">
        <f aca="false">IF(G960="","",G960-B960)</f>
        <v>0</v>
      </c>
      <c r="N960" s="24" t="str">
        <f aca="false">IF(COUNTIF($A$2:A960,A960)&gt;1,"Duplicate ID",IF(C960="","Missing source",IF(OR(AND(G960&lt;&gt;"",G960&lt;B960),AND(H960&lt;&gt;"",H960&lt;B960),AND(I960&lt;&gt;"",I960&lt;H960),AND(J960&lt;&gt;"",J960&lt;I960)),"Date error","OK")))</f>
        <v>OK</v>
      </c>
    </row>
    <row r="961" customFormat="false" ht="15" hidden="false" customHeight="false" outlineLevel="0" collapsed="false">
      <c r="A961" s="24" t="s">
        <v>1039</v>
      </c>
      <c r="B961" s="31" t="n">
        <v>46214</v>
      </c>
      <c r="C961" s="24" t="s">
        <v>22</v>
      </c>
      <c r="D961" s="24" t="s">
        <v>35</v>
      </c>
      <c r="E961" s="24" t="s">
        <v>81</v>
      </c>
      <c r="F961" s="24" t="s">
        <v>43</v>
      </c>
      <c r="G961" s="31" t="n">
        <v>46218</v>
      </c>
      <c r="H961" s="24"/>
      <c r="I961" s="24"/>
      <c r="J961" s="24"/>
      <c r="K961" s="24" t="n">
        <v>4</v>
      </c>
      <c r="L961" s="24" t="str">
        <f aca="false">IF(J961&lt;&gt;"","Enrolled",IF(I961&lt;&gt;"","Admitted",IF(H961&lt;&gt;"","Applied",IF(G961&lt;&gt;"","Contacted","New"))))</f>
        <v>Contacted</v>
      </c>
      <c r="M961" s="32" t="n">
        <f aca="false">IF(G961="","",G961-B961)</f>
        <v>4</v>
      </c>
      <c r="N961" s="24" t="str">
        <f aca="false">IF(COUNTIF($A$2:A961,A961)&gt;1,"Duplicate ID",IF(C961="","Missing source",IF(OR(AND(G961&lt;&gt;"",G961&lt;B961),AND(H961&lt;&gt;"",H961&lt;B961),AND(I961&lt;&gt;"",I961&lt;H961),AND(J961&lt;&gt;"",J961&lt;I961)),"Date error","OK")))</f>
        <v>OK</v>
      </c>
    </row>
    <row r="962" customFormat="false" ht="15" hidden="false" customHeight="false" outlineLevel="0" collapsed="false">
      <c r="A962" s="24" t="s">
        <v>1040</v>
      </c>
      <c r="B962" s="31" t="n">
        <v>46214</v>
      </c>
      <c r="C962" s="24" t="s">
        <v>23</v>
      </c>
      <c r="D962" s="24" t="s">
        <v>35</v>
      </c>
      <c r="E962" s="24" t="s">
        <v>89</v>
      </c>
      <c r="F962" s="24" t="s">
        <v>42</v>
      </c>
      <c r="G962" s="31" t="n">
        <v>46215</v>
      </c>
      <c r="H962" s="24"/>
      <c r="I962" s="24"/>
      <c r="J962" s="24"/>
      <c r="K962" s="24" t="n">
        <v>3</v>
      </c>
      <c r="L962" s="24" t="str">
        <f aca="false">IF(J962&lt;&gt;"","Enrolled",IF(I962&lt;&gt;"","Admitted",IF(H962&lt;&gt;"","Applied",IF(G962&lt;&gt;"","Contacted","New"))))</f>
        <v>Contacted</v>
      </c>
      <c r="M962" s="32" t="n">
        <f aca="false">IF(G962="","",G962-B962)</f>
        <v>1</v>
      </c>
      <c r="N962" s="24" t="str">
        <f aca="false">IF(COUNTIF($A$2:A962,A962)&gt;1,"Duplicate ID",IF(C962="","Missing source",IF(OR(AND(G962&lt;&gt;"",G962&lt;B962),AND(H962&lt;&gt;"",H962&lt;B962),AND(I962&lt;&gt;"",I962&lt;H962),AND(J962&lt;&gt;"",J962&lt;I962)),"Date error","OK")))</f>
        <v>OK</v>
      </c>
    </row>
    <row r="963" customFormat="false" ht="15" hidden="false" customHeight="false" outlineLevel="0" collapsed="false">
      <c r="A963" s="24" t="s">
        <v>1041</v>
      </c>
      <c r="B963" s="31" t="n">
        <v>46214</v>
      </c>
      <c r="C963" s="24" t="s">
        <v>26</v>
      </c>
      <c r="D963" s="24" t="s">
        <v>33</v>
      </c>
      <c r="E963" s="24" t="s">
        <v>84</v>
      </c>
      <c r="F963" s="24" t="s">
        <v>42</v>
      </c>
      <c r="G963" s="24"/>
      <c r="H963" s="24"/>
      <c r="I963" s="24"/>
      <c r="J963" s="24"/>
      <c r="K963" s="24" t="n">
        <v>0</v>
      </c>
      <c r="L963" s="24" t="str">
        <f aca="false">IF(J963&lt;&gt;"","Enrolled",IF(I963&lt;&gt;"","Admitted",IF(H963&lt;&gt;"","Applied",IF(G963&lt;&gt;"","Contacted","New"))))</f>
        <v>New</v>
      </c>
      <c r="M963" s="32" t="str">
        <f aca="false">IF(G963="","",G963-B963)</f>
        <v/>
      </c>
      <c r="N963" s="24" t="str">
        <f aca="false">IF(COUNTIF($A$2:A963,A963)&gt;1,"Duplicate ID",IF(C963="","Missing source",IF(OR(AND(G963&lt;&gt;"",G963&lt;B963),AND(H963&lt;&gt;"",H963&lt;B963),AND(I963&lt;&gt;"",I963&lt;H963),AND(J963&lt;&gt;"",J963&lt;I963)),"Date error","OK")))</f>
        <v>OK</v>
      </c>
    </row>
    <row r="964" customFormat="false" ht="15" hidden="false" customHeight="false" outlineLevel="0" collapsed="false">
      <c r="A964" s="24" t="s">
        <v>1042</v>
      </c>
      <c r="B964" s="31" t="n">
        <v>46214</v>
      </c>
      <c r="C964" s="24" t="s">
        <v>23</v>
      </c>
      <c r="D964" s="24" t="s">
        <v>35</v>
      </c>
      <c r="E964" s="24" t="s">
        <v>89</v>
      </c>
      <c r="F964" s="24" t="s">
        <v>42</v>
      </c>
      <c r="G964" s="31" t="n">
        <v>46215</v>
      </c>
      <c r="H964" s="24"/>
      <c r="I964" s="24"/>
      <c r="J964" s="24"/>
      <c r="K964" s="24" t="n">
        <v>1</v>
      </c>
      <c r="L964" s="24" t="str">
        <f aca="false">IF(J964&lt;&gt;"","Enrolled",IF(I964&lt;&gt;"","Admitted",IF(H964&lt;&gt;"","Applied",IF(G964&lt;&gt;"","Contacted","New"))))</f>
        <v>Contacted</v>
      </c>
      <c r="M964" s="32" t="n">
        <f aca="false">IF(G964="","",G964-B964)</f>
        <v>1</v>
      </c>
      <c r="N964" s="24" t="str">
        <f aca="false">IF(COUNTIF($A$2:A964,A964)&gt;1,"Duplicate ID",IF(C964="","Missing source",IF(OR(AND(G964&lt;&gt;"",G964&lt;B964),AND(H964&lt;&gt;"",H964&lt;B964),AND(I964&lt;&gt;"",I964&lt;H964),AND(J964&lt;&gt;"",J964&lt;I964)),"Date error","OK")))</f>
        <v>OK</v>
      </c>
    </row>
    <row r="965" customFormat="false" ht="15" hidden="false" customHeight="false" outlineLevel="0" collapsed="false">
      <c r="A965" s="24" t="s">
        <v>1043</v>
      </c>
      <c r="B965" s="31" t="n">
        <v>46214</v>
      </c>
      <c r="C965" s="24" t="s">
        <v>23</v>
      </c>
      <c r="D965" s="24" t="s">
        <v>32</v>
      </c>
      <c r="E965" s="24" t="s">
        <v>89</v>
      </c>
      <c r="F965" s="24" t="s">
        <v>41</v>
      </c>
      <c r="G965" s="31" t="n">
        <v>46214</v>
      </c>
      <c r="H965" s="24"/>
      <c r="I965" s="24"/>
      <c r="J965" s="24"/>
      <c r="K965" s="24" t="n">
        <v>4</v>
      </c>
      <c r="L965" s="24" t="str">
        <f aca="false">IF(J965&lt;&gt;"","Enrolled",IF(I965&lt;&gt;"","Admitted",IF(H965&lt;&gt;"","Applied",IF(G965&lt;&gt;"","Contacted","New"))))</f>
        <v>Contacted</v>
      </c>
      <c r="M965" s="32" t="n">
        <f aca="false">IF(G965="","",G965-B965)</f>
        <v>0</v>
      </c>
      <c r="N965" s="24" t="str">
        <f aca="false">IF(COUNTIF($A$2:A965,A965)&gt;1,"Duplicate ID",IF(C965="","Missing source",IF(OR(AND(G965&lt;&gt;"",G965&lt;B965),AND(H965&lt;&gt;"",H965&lt;B965),AND(I965&lt;&gt;"",I965&lt;H965),AND(J965&lt;&gt;"",J965&lt;I965)),"Date error","OK")))</f>
        <v>OK</v>
      </c>
    </row>
    <row r="966" customFormat="false" ht="15" hidden="false" customHeight="false" outlineLevel="0" collapsed="false">
      <c r="A966" s="24" t="s">
        <v>1044</v>
      </c>
      <c r="B966" s="31" t="n">
        <v>46214</v>
      </c>
      <c r="C966" s="24" t="s">
        <v>23</v>
      </c>
      <c r="D966" s="24" t="s">
        <v>36</v>
      </c>
      <c r="E966" s="24" t="s">
        <v>81</v>
      </c>
      <c r="F966" s="24" t="s">
        <v>41</v>
      </c>
      <c r="G966" s="31" t="n">
        <v>46217</v>
      </c>
      <c r="H966" s="24"/>
      <c r="I966" s="24"/>
      <c r="J966" s="24"/>
      <c r="K966" s="24" t="n">
        <v>2</v>
      </c>
      <c r="L966" s="24" t="str">
        <f aca="false">IF(J966&lt;&gt;"","Enrolled",IF(I966&lt;&gt;"","Admitted",IF(H966&lt;&gt;"","Applied",IF(G966&lt;&gt;"","Contacted","New"))))</f>
        <v>Contacted</v>
      </c>
      <c r="M966" s="32" t="n">
        <f aca="false">IF(G966="","",G966-B966)</f>
        <v>3</v>
      </c>
      <c r="N966" s="24" t="str">
        <f aca="false">IF(COUNTIF($A$2:A966,A966)&gt;1,"Duplicate ID",IF(C966="","Missing source",IF(OR(AND(G966&lt;&gt;"",G966&lt;B966),AND(H966&lt;&gt;"",H966&lt;B966),AND(I966&lt;&gt;"",I966&lt;H966),AND(J966&lt;&gt;"",J966&lt;I966)),"Date error","OK")))</f>
        <v>OK</v>
      </c>
    </row>
    <row r="967" customFormat="false" ht="15" hidden="false" customHeight="false" outlineLevel="0" collapsed="false">
      <c r="A967" s="24" t="s">
        <v>1045</v>
      </c>
      <c r="B967" s="31" t="n">
        <v>46214</v>
      </c>
      <c r="C967" s="24" t="s">
        <v>25</v>
      </c>
      <c r="D967" s="24" t="s">
        <v>32</v>
      </c>
      <c r="E967" s="24" t="s">
        <v>94</v>
      </c>
      <c r="F967" s="24" t="s">
        <v>45</v>
      </c>
      <c r="G967" s="31" t="n">
        <v>46214</v>
      </c>
      <c r="H967" s="24"/>
      <c r="I967" s="24"/>
      <c r="J967" s="24"/>
      <c r="K967" s="24" t="n">
        <v>4</v>
      </c>
      <c r="L967" s="24" t="str">
        <f aca="false">IF(J967&lt;&gt;"","Enrolled",IF(I967&lt;&gt;"","Admitted",IF(H967&lt;&gt;"","Applied",IF(G967&lt;&gt;"","Contacted","New"))))</f>
        <v>Contacted</v>
      </c>
      <c r="M967" s="32" t="n">
        <f aca="false">IF(G967="","",G967-B967)</f>
        <v>0</v>
      </c>
      <c r="N967" s="24" t="str">
        <f aca="false">IF(COUNTIF($A$2:A967,A967)&gt;1,"Duplicate ID",IF(C967="","Missing source",IF(OR(AND(G967&lt;&gt;"",G967&lt;B967),AND(H967&lt;&gt;"",H967&lt;B967),AND(I967&lt;&gt;"",I967&lt;H967),AND(J967&lt;&gt;"",J967&lt;I967)),"Date error","OK")))</f>
        <v>OK</v>
      </c>
    </row>
    <row r="968" customFormat="false" ht="15" hidden="false" customHeight="false" outlineLevel="0" collapsed="false">
      <c r="A968" s="24" t="s">
        <v>1046</v>
      </c>
      <c r="B968" s="31" t="n">
        <v>46214</v>
      </c>
      <c r="C968" s="24" t="s">
        <v>23</v>
      </c>
      <c r="D968" s="24" t="s">
        <v>32</v>
      </c>
      <c r="E968" s="24" t="s">
        <v>84</v>
      </c>
      <c r="F968" s="24" t="s">
        <v>40</v>
      </c>
      <c r="G968" s="31" t="n">
        <v>46216</v>
      </c>
      <c r="H968" s="31" t="n">
        <v>46224</v>
      </c>
      <c r="I968" s="24"/>
      <c r="J968" s="24"/>
      <c r="K968" s="24" t="n">
        <v>3</v>
      </c>
      <c r="L968" s="24" t="str">
        <f aca="false">IF(J968&lt;&gt;"","Enrolled",IF(I968&lt;&gt;"","Admitted",IF(H968&lt;&gt;"","Applied",IF(G968&lt;&gt;"","Contacted","New"))))</f>
        <v>Applied</v>
      </c>
      <c r="M968" s="32" t="n">
        <f aca="false">IF(G968="","",G968-B968)</f>
        <v>2</v>
      </c>
      <c r="N968" s="24" t="str">
        <f aca="false">IF(COUNTIF($A$2:A968,A968)&gt;1,"Duplicate ID",IF(C968="","Missing source",IF(OR(AND(G968&lt;&gt;"",G968&lt;B968),AND(H968&lt;&gt;"",H968&lt;B968),AND(I968&lt;&gt;"",I968&lt;H968),AND(J968&lt;&gt;"",J968&lt;I968)),"Date error","OK")))</f>
        <v>OK</v>
      </c>
    </row>
    <row r="969" customFormat="false" ht="15" hidden="false" customHeight="false" outlineLevel="0" collapsed="false">
      <c r="A969" s="24" t="s">
        <v>1047</v>
      </c>
      <c r="B969" s="31" t="n">
        <v>46215</v>
      </c>
      <c r="C969" s="24" t="s">
        <v>24</v>
      </c>
      <c r="D969" s="24" t="s">
        <v>35</v>
      </c>
      <c r="E969" s="24" t="s">
        <v>79</v>
      </c>
      <c r="F969" s="24" t="s">
        <v>41</v>
      </c>
      <c r="G969" s="31" t="n">
        <v>46216</v>
      </c>
      <c r="H969" s="24"/>
      <c r="I969" s="24"/>
      <c r="J969" s="24"/>
      <c r="K969" s="24" t="n">
        <v>4</v>
      </c>
      <c r="L969" s="24" t="str">
        <f aca="false">IF(J969&lt;&gt;"","Enrolled",IF(I969&lt;&gt;"","Admitted",IF(H969&lt;&gt;"","Applied",IF(G969&lt;&gt;"","Contacted","New"))))</f>
        <v>Contacted</v>
      </c>
      <c r="M969" s="32" t="n">
        <f aca="false">IF(G969="","",G969-B969)</f>
        <v>1</v>
      </c>
      <c r="N969" s="24" t="str">
        <f aca="false">IF(COUNTIF($A$2:A969,A969)&gt;1,"Duplicate ID",IF(C969="","Missing source",IF(OR(AND(G969&lt;&gt;"",G969&lt;B969),AND(H969&lt;&gt;"",H969&lt;B969),AND(I969&lt;&gt;"",I969&lt;H969),AND(J969&lt;&gt;"",J969&lt;I969)),"Date error","OK")))</f>
        <v>OK</v>
      </c>
    </row>
    <row r="970" customFormat="false" ht="15" hidden="false" customHeight="false" outlineLevel="0" collapsed="false">
      <c r="A970" s="24" t="s">
        <v>1048</v>
      </c>
      <c r="B970" s="31" t="n">
        <v>46215</v>
      </c>
      <c r="C970" s="24" t="s">
        <v>23</v>
      </c>
      <c r="D970" s="24" t="s">
        <v>34</v>
      </c>
      <c r="E970" s="24" t="s">
        <v>89</v>
      </c>
      <c r="F970" s="24" t="s">
        <v>45</v>
      </c>
      <c r="G970" s="31" t="n">
        <v>46216</v>
      </c>
      <c r="H970" s="24"/>
      <c r="I970" s="24"/>
      <c r="J970" s="24"/>
      <c r="K970" s="24" t="n">
        <v>1</v>
      </c>
      <c r="L970" s="24" t="str">
        <f aca="false">IF(J970&lt;&gt;"","Enrolled",IF(I970&lt;&gt;"","Admitted",IF(H970&lt;&gt;"","Applied",IF(G970&lt;&gt;"","Contacted","New"))))</f>
        <v>Contacted</v>
      </c>
      <c r="M970" s="32" t="n">
        <f aca="false">IF(G970="","",G970-B970)</f>
        <v>1</v>
      </c>
      <c r="N970" s="24" t="str">
        <f aca="false">IF(COUNTIF($A$2:A970,A970)&gt;1,"Duplicate ID",IF(C970="","Missing source",IF(OR(AND(G970&lt;&gt;"",G970&lt;B970),AND(H970&lt;&gt;"",H970&lt;B970),AND(I970&lt;&gt;"",I970&lt;H970),AND(J970&lt;&gt;"",J970&lt;I970)),"Date error","OK")))</f>
        <v>OK</v>
      </c>
    </row>
    <row r="971" customFormat="false" ht="15" hidden="false" customHeight="false" outlineLevel="0" collapsed="false">
      <c r="A971" s="24" t="s">
        <v>1049</v>
      </c>
      <c r="B971" s="31" t="n">
        <v>46215</v>
      </c>
      <c r="C971" s="24" t="s">
        <v>26</v>
      </c>
      <c r="D971" s="24" t="s">
        <v>34</v>
      </c>
      <c r="E971" s="24" t="s">
        <v>89</v>
      </c>
      <c r="F971" s="24" t="s">
        <v>42</v>
      </c>
      <c r="G971" s="31" t="n">
        <v>46216</v>
      </c>
      <c r="H971" s="24"/>
      <c r="I971" s="24"/>
      <c r="J971" s="24"/>
      <c r="K971" s="24" t="n">
        <v>3</v>
      </c>
      <c r="L971" s="24" t="str">
        <f aca="false">IF(J971&lt;&gt;"","Enrolled",IF(I971&lt;&gt;"","Admitted",IF(H971&lt;&gt;"","Applied",IF(G971&lt;&gt;"","Contacted","New"))))</f>
        <v>Contacted</v>
      </c>
      <c r="M971" s="32" t="n">
        <f aca="false">IF(G971="","",G971-B971)</f>
        <v>1</v>
      </c>
      <c r="N971" s="24" t="str">
        <f aca="false">IF(COUNTIF($A$2:A971,A971)&gt;1,"Duplicate ID",IF(C971="","Missing source",IF(OR(AND(G971&lt;&gt;"",G971&lt;B971),AND(H971&lt;&gt;"",H971&lt;B971),AND(I971&lt;&gt;"",I971&lt;H971),AND(J971&lt;&gt;"",J971&lt;I971)),"Date error","OK")))</f>
        <v>OK</v>
      </c>
    </row>
    <row r="972" customFormat="false" ht="15" hidden="false" customHeight="false" outlineLevel="0" collapsed="false">
      <c r="A972" s="24" t="s">
        <v>1050</v>
      </c>
      <c r="B972" s="31" t="n">
        <v>46215</v>
      </c>
      <c r="C972" s="24" t="s">
        <v>22</v>
      </c>
      <c r="D972" s="24" t="s">
        <v>32</v>
      </c>
      <c r="E972" s="24" t="s">
        <v>89</v>
      </c>
      <c r="F972" s="24" t="s">
        <v>40</v>
      </c>
      <c r="G972" s="31" t="n">
        <v>46216</v>
      </c>
      <c r="H972" s="24"/>
      <c r="I972" s="24"/>
      <c r="J972" s="24"/>
      <c r="K972" s="24" t="n">
        <v>6</v>
      </c>
      <c r="L972" s="24" t="str">
        <f aca="false">IF(J972&lt;&gt;"","Enrolled",IF(I972&lt;&gt;"","Admitted",IF(H972&lt;&gt;"","Applied",IF(G972&lt;&gt;"","Contacted","New"))))</f>
        <v>Contacted</v>
      </c>
      <c r="M972" s="32" t="n">
        <f aca="false">IF(G972="","",G972-B972)</f>
        <v>1</v>
      </c>
      <c r="N972" s="24" t="str">
        <f aca="false">IF(COUNTIF($A$2:A972,A972)&gt;1,"Duplicate ID",IF(C972="","Missing source",IF(OR(AND(G972&lt;&gt;"",G972&lt;B972),AND(H972&lt;&gt;"",H972&lt;B972),AND(I972&lt;&gt;"",I972&lt;H972),AND(J972&lt;&gt;"",J972&lt;I972)),"Date error","OK")))</f>
        <v>OK</v>
      </c>
    </row>
    <row r="973" customFormat="false" ht="15" hidden="false" customHeight="false" outlineLevel="0" collapsed="false">
      <c r="A973" s="24" t="s">
        <v>1051</v>
      </c>
      <c r="B973" s="31" t="n">
        <v>46215</v>
      </c>
      <c r="C973" s="24" t="s">
        <v>22</v>
      </c>
      <c r="D973" s="24" t="s">
        <v>34</v>
      </c>
      <c r="E973" s="24" t="s">
        <v>79</v>
      </c>
      <c r="F973" s="24" t="s">
        <v>41</v>
      </c>
      <c r="G973" s="31" t="n">
        <v>46218</v>
      </c>
      <c r="H973" s="31" t="n">
        <v>46239</v>
      </c>
      <c r="I973" s="31" t="n">
        <v>46254</v>
      </c>
      <c r="J973" s="24"/>
      <c r="K973" s="24" t="n">
        <v>3</v>
      </c>
      <c r="L973" s="24" t="str">
        <f aca="false">IF(J973&lt;&gt;"","Enrolled",IF(I973&lt;&gt;"","Admitted",IF(H973&lt;&gt;"","Applied",IF(G973&lt;&gt;"","Contacted","New"))))</f>
        <v>Admitted</v>
      </c>
      <c r="M973" s="32" t="n">
        <f aca="false">IF(G973="","",G973-B973)</f>
        <v>3</v>
      </c>
      <c r="N973" s="24" t="str">
        <f aca="false">IF(COUNTIF($A$2:A973,A973)&gt;1,"Duplicate ID",IF(C973="","Missing source",IF(OR(AND(G973&lt;&gt;"",G973&lt;B973),AND(H973&lt;&gt;"",H973&lt;B973),AND(I973&lt;&gt;"",I973&lt;H973),AND(J973&lt;&gt;"",J973&lt;I973)),"Date error","OK")))</f>
        <v>OK</v>
      </c>
    </row>
    <row r="974" customFormat="false" ht="15" hidden="false" customHeight="false" outlineLevel="0" collapsed="false">
      <c r="A974" s="24" t="s">
        <v>1052</v>
      </c>
      <c r="B974" s="31" t="n">
        <v>46215</v>
      </c>
      <c r="C974" s="24" t="s">
        <v>27</v>
      </c>
      <c r="D974" s="24" t="s">
        <v>36</v>
      </c>
      <c r="E974" s="24" t="s">
        <v>89</v>
      </c>
      <c r="F974" s="24" t="s">
        <v>41</v>
      </c>
      <c r="G974" s="31" t="n">
        <v>46216</v>
      </c>
      <c r="H974" s="24"/>
      <c r="I974" s="24"/>
      <c r="J974" s="24"/>
      <c r="K974" s="24" t="n">
        <v>3</v>
      </c>
      <c r="L974" s="24" t="str">
        <f aca="false">IF(J974&lt;&gt;"","Enrolled",IF(I974&lt;&gt;"","Admitted",IF(H974&lt;&gt;"","Applied",IF(G974&lt;&gt;"","Contacted","New"))))</f>
        <v>Contacted</v>
      </c>
      <c r="M974" s="32" t="n">
        <f aca="false">IF(G974="","",G974-B974)</f>
        <v>1</v>
      </c>
      <c r="N974" s="24" t="str">
        <f aca="false">IF(COUNTIF($A$2:A974,A974)&gt;1,"Duplicate ID",IF(C974="","Missing source",IF(OR(AND(G974&lt;&gt;"",G974&lt;B974),AND(H974&lt;&gt;"",H974&lt;B974),AND(I974&lt;&gt;"",I974&lt;H974),AND(J974&lt;&gt;"",J974&lt;I974)),"Date error","OK")))</f>
        <v>OK</v>
      </c>
    </row>
    <row r="975" customFormat="false" ht="15" hidden="false" customHeight="false" outlineLevel="0" collapsed="false">
      <c r="A975" s="24" t="s">
        <v>1053</v>
      </c>
      <c r="B975" s="31" t="n">
        <v>46215</v>
      </c>
      <c r="C975" s="24" t="s">
        <v>26</v>
      </c>
      <c r="D975" s="24" t="s">
        <v>34</v>
      </c>
      <c r="E975" s="24" t="s">
        <v>81</v>
      </c>
      <c r="F975" s="24" t="s">
        <v>42</v>
      </c>
      <c r="G975" s="31" t="n">
        <v>46215</v>
      </c>
      <c r="H975" s="24"/>
      <c r="I975" s="24"/>
      <c r="J975" s="24"/>
      <c r="K975" s="24" t="n">
        <v>2</v>
      </c>
      <c r="L975" s="24" t="str">
        <f aca="false">IF(J975&lt;&gt;"","Enrolled",IF(I975&lt;&gt;"","Admitted",IF(H975&lt;&gt;"","Applied",IF(G975&lt;&gt;"","Contacted","New"))))</f>
        <v>Contacted</v>
      </c>
      <c r="M975" s="32" t="n">
        <f aca="false">IF(G975="","",G975-B975)</f>
        <v>0</v>
      </c>
      <c r="N975" s="24" t="str">
        <f aca="false">IF(COUNTIF($A$2:A975,A975)&gt;1,"Duplicate ID",IF(C975="","Missing source",IF(OR(AND(G975&lt;&gt;"",G975&lt;B975),AND(H975&lt;&gt;"",H975&lt;B975),AND(I975&lt;&gt;"",I975&lt;H975),AND(J975&lt;&gt;"",J975&lt;I975)),"Date error","OK")))</f>
        <v>OK</v>
      </c>
    </row>
    <row r="976" customFormat="false" ht="15" hidden="false" customHeight="false" outlineLevel="0" collapsed="false">
      <c r="A976" s="24" t="s">
        <v>1054</v>
      </c>
      <c r="B976" s="31" t="n">
        <v>46215</v>
      </c>
      <c r="C976" s="24" t="s">
        <v>26</v>
      </c>
      <c r="D976" s="24" t="s">
        <v>32</v>
      </c>
      <c r="E976" s="24" t="s">
        <v>79</v>
      </c>
      <c r="F976" s="24" t="s">
        <v>42</v>
      </c>
      <c r="G976" s="31" t="n">
        <v>46218</v>
      </c>
      <c r="H976" s="24"/>
      <c r="I976" s="24"/>
      <c r="J976" s="24"/>
      <c r="K976" s="24" t="n">
        <v>2</v>
      </c>
      <c r="L976" s="24" t="str">
        <f aca="false">IF(J976&lt;&gt;"","Enrolled",IF(I976&lt;&gt;"","Admitted",IF(H976&lt;&gt;"","Applied",IF(G976&lt;&gt;"","Contacted","New"))))</f>
        <v>Contacted</v>
      </c>
      <c r="M976" s="32" t="n">
        <f aca="false">IF(G976="","",G976-B976)</f>
        <v>3</v>
      </c>
      <c r="N976" s="24" t="str">
        <f aca="false">IF(COUNTIF($A$2:A976,A976)&gt;1,"Duplicate ID",IF(C976="","Missing source",IF(OR(AND(G976&lt;&gt;"",G976&lt;B976),AND(H976&lt;&gt;"",H976&lt;B976),AND(I976&lt;&gt;"",I976&lt;H976),AND(J976&lt;&gt;"",J976&lt;I976)),"Date error","OK")))</f>
        <v>OK</v>
      </c>
    </row>
    <row r="977" customFormat="false" ht="15" hidden="false" customHeight="false" outlineLevel="0" collapsed="false">
      <c r="A977" s="24" t="s">
        <v>1055</v>
      </c>
      <c r="B977" s="31" t="n">
        <v>46215</v>
      </c>
      <c r="C977" s="24" t="s">
        <v>26</v>
      </c>
      <c r="D977" s="24" t="s">
        <v>34</v>
      </c>
      <c r="E977" s="24" t="s">
        <v>79</v>
      </c>
      <c r="F977" s="24" t="s">
        <v>45</v>
      </c>
      <c r="G977" s="31" t="n">
        <v>46217</v>
      </c>
      <c r="H977" s="24"/>
      <c r="I977" s="24"/>
      <c r="J977" s="24"/>
      <c r="K977" s="24" t="n">
        <v>1</v>
      </c>
      <c r="L977" s="24" t="str">
        <f aca="false">IF(J977&lt;&gt;"","Enrolled",IF(I977&lt;&gt;"","Admitted",IF(H977&lt;&gt;"","Applied",IF(G977&lt;&gt;"","Contacted","New"))))</f>
        <v>Contacted</v>
      </c>
      <c r="M977" s="32" t="n">
        <f aca="false">IF(G977="","",G977-B977)</f>
        <v>2</v>
      </c>
      <c r="N977" s="24" t="str">
        <f aca="false">IF(COUNTIF($A$2:A977,A977)&gt;1,"Duplicate ID",IF(C977="","Missing source",IF(OR(AND(G977&lt;&gt;"",G977&lt;B977),AND(H977&lt;&gt;"",H977&lt;B977),AND(I977&lt;&gt;"",I977&lt;H977),AND(J977&lt;&gt;"",J977&lt;I977)),"Date error","OK")))</f>
        <v>OK</v>
      </c>
    </row>
    <row r="978" customFormat="false" ht="15" hidden="false" customHeight="false" outlineLevel="0" collapsed="false">
      <c r="A978" s="24" t="s">
        <v>1056</v>
      </c>
      <c r="B978" s="31" t="n">
        <v>46215</v>
      </c>
      <c r="C978" s="24" t="s">
        <v>26</v>
      </c>
      <c r="D978" s="24" t="s">
        <v>35</v>
      </c>
      <c r="E978" s="24" t="s">
        <v>94</v>
      </c>
      <c r="F978" s="24" t="s">
        <v>43</v>
      </c>
      <c r="G978" s="31" t="n">
        <v>46219</v>
      </c>
      <c r="H978" s="24"/>
      <c r="I978" s="24"/>
      <c r="J978" s="24"/>
      <c r="K978" s="24" t="n">
        <v>2</v>
      </c>
      <c r="L978" s="24" t="str">
        <f aca="false">IF(J978&lt;&gt;"","Enrolled",IF(I978&lt;&gt;"","Admitted",IF(H978&lt;&gt;"","Applied",IF(G978&lt;&gt;"","Contacted","New"))))</f>
        <v>Contacted</v>
      </c>
      <c r="M978" s="32" t="n">
        <f aca="false">IF(G978="","",G978-B978)</f>
        <v>4</v>
      </c>
      <c r="N978" s="24" t="str">
        <f aca="false">IF(COUNTIF($A$2:A978,A978)&gt;1,"Duplicate ID",IF(C978="","Missing source",IF(OR(AND(G978&lt;&gt;"",G978&lt;B978),AND(H978&lt;&gt;"",H978&lt;B978),AND(I978&lt;&gt;"",I978&lt;H978),AND(J978&lt;&gt;"",J978&lt;I978)),"Date error","OK")))</f>
        <v>OK</v>
      </c>
    </row>
    <row r="979" customFormat="false" ht="15" hidden="false" customHeight="false" outlineLevel="0" collapsed="false">
      <c r="A979" s="24" t="s">
        <v>1057</v>
      </c>
      <c r="B979" s="31" t="n">
        <v>46215</v>
      </c>
      <c r="C979" s="24" t="s">
        <v>23</v>
      </c>
      <c r="D979" s="24" t="s">
        <v>36</v>
      </c>
      <c r="E979" s="24" t="s">
        <v>94</v>
      </c>
      <c r="F979" s="24" t="s">
        <v>41</v>
      </c>
      <c r="G979" s="31" t="n">
        <v>46215</v>
      </c>
      <c r="H979" s="24"/>
      <c r="I979" s="24"/>
      <c r="J979" s="24"/>
      <c r="K979" s="24" t="n">
        <v>2</v>
      </c>
      <c r="L979" s="24" t="str">
        <f aca="false">IF(J979&lt;&gt;"","Enrolled",IF(I979&lt;&gt;"","Admitted",IF(H979&lt;&gt;"","Applied",IF(G979&lt;&gt;"","Contacted","New"))))</f>
        <v>Contacted</v>
      </c>
      <c r="M979" s="32" t="n">
        <f aca="false">IF(G979="","",G979-B979)</f>
        <v>0</v>
      </c>
      <c r="N979" s="24" t="str">
        <f aca="false">IF(COUNTIF($A$2:A979,A979)&gt;1,"Duplicate ID",IF(C979="","Missing source",IF(OR(AND(G979&lt;&gt;"",G979&lt;B979),AND(H979&lt;&gt;"",H979&lt;B979),AND(I979&lt;&gt;"",I979&lt;H979),AND(J979&lt;&gt;"",J979&lt;I979)),"Date error","OK")))</f>
        <v>OK</v>
      </c>
    </row>
    <row r="980" customFormat="false" ht="15" hidden="false" customHeight="false" outlineLevel="0" collapsed="false">
      <c r="A980" s="24" t="s">
        <v>1058</v>
      </c>
      <c r="B980" s="31" t="n">
        <v>46216</v>
      </c>
      <c r="C980" s="24" t="s">
        <v>24</v>
      </c>
      <c r="D980" s="24" t="s">
        <v>32</v>
      </c>
      <c r="E980" s="24" t="s">
        <v>89</v>
      </c>
      <c r="F980" s="24" t="s">
        <v>41</v>
      </c>
      <c r="G980" s="31" t="n">
        <v>46216</v>
      </c>
      <c r="H980" s="31" t="n">
        <v>46241</v>
      </c>
      <c r="I980" s="31" t="n">
        <v>46255</v>
      </c>
      <c r="J980" s="24"/>
      <c r="K980" s="24" t="n">
        <v>5</v>
      </c>
      <c r="L980" s="24" t="str">
        <f aca="false">IF(J980&lt;&gt;"","Enrolled",IF(I980&lt;&gt;"","Admitted",IF(H980&lt;&gt;"","Applied",IF(G980&lt;&gt;"","Contacted","New"))))</f>
        <v>Admitted</v>
      </c>
      <c r="M980" s="32" t="n">
        <f aca="false">IF(G980="","",G980-B980)</f>
        <v>0</v>
      </c>
      <c r="N980" s="24" t="str">
        <f aca="false">IF(COUNTIF($A$2:A980,A980)&gt;1,"Duplicate ID",IF(C980="","Missing source",IF(OR(AND(G980&lt;&gt;"",G980&lt;B980),AND(H980&lt;&gt;"",H980&lt;B980),AND(I980&lt;&gt;"",I980&lt;H980),AND(J980&lt;&gt;"",J980&lt;I980)),"Date error","OK")))</f>
        <v>OK</v>
      </c>
    </row>
    <row r="981" customFormat="false" ht="15" hidden="false" customHeight="false" outlineLevel="0" collapsed="false">
      <c r="A981" s="24" t="s">
        <v>1059</v>
      </c>
      <c r="B981" s="31" t="n">
        <v>46216</v>
      </c>
      <c r="C981" s="24" t="s">
        <v>24</v>
      </c>
      <c r="D981" s="24" t="s">
        <v>32</v>
      </c>
      <c r="E981" s="24" t="s">
        <v>89</v>
      </c>
      <c r="F981" s="24" t="s">
        <v>44</v>
      </c>
      <c r="G981" s="31" t="n">
        <v>46216</v>
      </c>
      <c r="H981" s="31" t="n">
        <v>46229</v>
      </c>
      <c r="I981" s="31" t="n">
        <v>46235</v>
      </c>
      <c r="J981" s="24"/>
      <c r="K981" s="24" t="n">
        <v>2</v>
      </c>
      <c r="L981" s="24" t="str">
        <f aca="false">IF(J981&lt;&gt;"","Enrolled",IF(I981&lt;&gt;"","Admitted",IF(H981&lt;&gt;"","Applied",IF(G981&lt;&gt;"","Contacted","New"))))</f>
        <v>Admitted</v>
      </c>
      <c r="M981" s="32" t="n">
        <f aca="false">IF(G981="","",G981-B981)</f>
        <v>0</v>
      </c>
      <c r="N981" s="24" t="str">
        <f aca="false">IF(COUNTIF($A$2:A981,A981)&gt;1,"Duplicate ID",IF(C981="","Missing source",IF(OR(AND(G981&lt;&gt;"",G981&lt;B981),AND(H981&lt;&gt;"",H981&lt;B981),AND(I981&lt;&gt;"",I981&lt;H981),AND(J981&lt;&gt;"",J981&lt;I981)),"Date error","OK")))</f>
        <v>OK</v>
      </c>
    </row>
    <row r="982" customFormat="false" ht="15" hidden="false" customHeight="false" outlineLevel="0" collapsed="false">
      <c r="A982" s="24" t="s">
        <v>1060</v>
      </c>
      <c r="B982" s="31" t="n">
        <v>46216</v>
      </c>
      <c r="C982" s="24" t="s">
        <v>27</v>
      </c>
      <c r="D982" s="24" t="s">
        <v>35</v>
      </c>
      <c r="E982" s="24" t="s">
        <v>89</v>
      </c>
      <c r="F982" s="24" t="s">
        <v>41</v>
      </c>
      <c r="G982" s="31" t="n">
        <v>46216</v>
      </c>
      <c r="H982" s="24"/>
      <c r="I982" s="24"/>
      <c r="J982" s="24"/>
      <c r="K982" s="24" t="n">
        <v>3</v>
      </c>
      <c r="L982" s="24" t="str">
        <f aca="false">IF(J982&lt;&gt;"","Enrolled",IF(I982&lt;&gt;"","Admitted",IF(H982&lt;&gt;"","Applied",IF(G982&lt;&gt;"","Contacted","New"))))</f>
        <v>Contacted</v>
      </c>
      <c r="M982" s="32" t="n">
        <f aca="false">IF(G982="","",G982-B982)</f>
        <v>0</v>
      </c>
      <c r="N982" s="24" t="str">
        <f aca="false">IF(COUNTIF($A$2:A982,A982)&gt;1,"Duplicate ID",IF(C982="","Missing source",IF(OR(AND(G982&lt;&gt;"",G982&lt;B982),AND(H982&lt;&gt;"",H982&lt;B982),AND(I982&lt;&gt;"",I982&lt;H982),AND(J982&lt;&gt;"",J982&lt;I982)),"Date error","OK")))</f>
        <v>OK</v>
      </c>
    </row>
    <row r="983" customFormat="false" ht="15" hidden="false" customHeight="false" outlineLevel="0" collapsed="false">
      <c r="A983" s="24" t="s">
        <v>1061</v>
      </c>
      <c r="B983" s="31" t="n">
        <v>46216</v>
      </c>
      <c r="C983" s="24" t="s">
        <v>22</v>
      </c>
      <c r="D983" s="24" t="s">
        <v>36</v>
      </c>
      <c r="E983" s="24" t="s">
        <v>89</v>
      </c>
      <c r="F983" s="24" t="s">
        <v>45</v>
      </c>
      <c r="G983" s="31" t="n">
        <v>46218</v>
      </c>
      <c r="H983" s="24"/>
      <c r="I983" s="24"/>
      <c r="J983" s="24"/>
      <c r="K983" s="24" t="n">
        <v>3</v>
      </c>
      <c r="L983" s="24" t="str">
        <f aca="false">IF(J983&lt;&gt;"","Enrolled",IF(I983&lt;&gt;"","Admitted",IF(H983&lt;&gt;"","Applied",IF(G983&lt;&gt;"","Contacted","New"))))</f>
        <v>Contacted</v>
      </c>
      <c r="M983" s="32" t="n">
        <f aca="false">IF(G983="","",G983-B983)</f>
        <v>2</v>
      </c>
      <c r="N983" s="24" t="str">
        <f aca="false">IF(COUNTIF($A$2:A983,A983)&gt;1,"Duplicate ID",IF(C983="","Missing source",IF(OR(AND(G983&lt;&gt;"",G983&lt;B983),AND(H983&lt;&gt;"",H983&lt;B983),AND(I983&lt;&gt;"",I983&lt;H983),AND(J983&lt;&gt;"",J983&lt;I983)),"Date error","OK")))</f>
        <v>OK</v>
      </c>
    </row>
    <row r="984" customFormat="false" ht="15" hidden="false" customHeight="false" outlineLevel="0" collapsed="false">
      <c r="A984" s="24" t="s">
        <v>1062</v>
      </c>
      <c r="B984" s="31" t="n">
        <v>46216</v>
      </c>
      <c r="C984" s="24" t="s">
        <v>26</v>
      </c>
      <c r="D984" s="24" t="s">
        <v>32</v>
      </c>
      <c r="E984" s="24" t="s">
        <v>79</v>
      </c>
      <c r="F984" s="24" t="s">
        <v>44</v>
      </c>
      <c r="G984" s="24"/>
      <c r="H984" s="24"/>
      <c r="I984" s="24"/>
      <c r="J984" s="24"/>
      <c r="K984" s="24" t="n">
        <v>0</v>
      </c>
      <c r="L984" s="24" t="str">
        <f aca="false">IF(J984&lt;&gt;"","Enrolled",IF(I984&lt;&gt;"","Admitted",IF(H984&lt;&gt;"","Applied",IF(G984&lt;&gt;"","Contacted","New"))))</f>
        <v>New</v>
      </c>
      <c r="M984" s="32" t="str">
        <f aca="false">IF(G984="","",G984-B984)</f>
        <v/>
      </c>
      <c r="N984" s="24" t="str">
        <f aca="false">IF(COUNTIF($A$2:A984,A984)&gt;1,"Duplicate ID",IF(C984="","Missing source",IF(OR(AND(G984&lt;&gt;"",G984&lt;B984),AND(H984&lt;&gt;"",H984&lt;B984),AND(I984&lt;&gt;"",I984&lt;H984),AND(J984&lt;&gt;"",J984&lt;I984)),"Date error","OK")))</f>
        <v>OK</v>
      </c>
    </row>
    <row r="985" customFormat="false" ht="15" hidden="false" customHeight="false" outlineLevel="0" collapsed="false">
      <c r="A985" s="24" t="s">
        <v>1063</v>
      </c>
      <c r="B985" s="31" t="n">
        <v>46216</v>
      </c>
      <c r="C985" s="24" t="s">
        <v>25</v>
      </c>
      <c r="D985" s="24" t="s">
        <v>33</v>
      </c>
      <c r="E985" s="24" t="s">
        <v>89</v>
      </c>
      <c r="F985" s="24" t="s">
        <v>45</v>
      </c>
      <c r="G985" s="31" t="n">
        <v>46217</v>
      </c>
      <c r="H985" s="31" t="n">
        <v>46227</v>
      </c>
      <c r="I985" s="31" t="n">
        <v>46240</v>
      </c>
      <c r="J985" s="24"/>
      <c r="K985" s="24" t="n">
        <v>2</v>
      </c>
      <c r="L985" s="24" t="str">
        <f aca="false">IF(J985&lt;&gt;"","Enrolled",IF(I985&lt;&gt;"","Admitted",IF(H985&lt;&gt;"","Applied",IF(G985&lt;&gt;"","Contacted","New"))))</f>
        <v>Admitted</v>
      </c>
      <c r="M985" s="32" t="n">
        <f aca="false">IF(G985="","",G985-B985)</f>
        <v>1</v>
      </c>
      <c r="N985" s="24" t="str">
        <f aca="false">IF(COUNTIF($A$2:A985,A985)&gt;1,"Duplicate ID",IF(C985="","Missing source",IF(OR(AND(G985&lt;&gt;"",G985&lt;B985),AND(H985&lt;&gt;"",H985&lt;B985),AND(I985&lt;&gt;"",I985&lt;H985),AND(J985&lt;&gt;"",J985&lt;I985)),"Date error","OK")))</f>
        <v>OK</v>
      </c>
    </row>
    <row r="986" customFormat="false" ht="15" hidden="false" customHeight="false" outlineLevel="0" collapsed="false">
      <c r="A986" s="24" t="s">
        <v>1064</v>
      </c>
      <c r="B986" s="31" t="n">
        <v>46216</v>
      </c>
      <c r="C986" s="24" t="s">
        <v>26</v>
      </c>
      <c r="D986" s="24" t="s">
        <v>32</v>
      </c>
      <c r="E986" s="24" t="s">
        <v>89</v>
      </c>
      <c r="F986" s="24" t="s">
        <v>40</v>
      </c>
      <c r="G986" s="31" t="n">
        <v>46216</v>
      </c>
      <c r="H986" s="24"/>
      <c r="I986" s="24"/>
      <c r="J986" s="24"/>
      <c r="K986" s="24" t="n">
        <v>4</v>
      </c>
      <c r="L986" s="24" t="str">
        <f aca="false">IF(J986&lt;&gt;"","Enrolled",IF(I986&lt;&gt;"","Admitted",IF(H986&lt;&gt;"","Applied",IF(G986&lt;&gt;"","Contacted","New"))))</f>
        <v>Contacted</v>
      </c>
      <c r="M986" s="32" t="n">
        <f aca="false">IF(G986="","",G986-B986)</f>
        <v>0</v>
      </c>
      <c r="N986" s="24" t="str">
        <f aca="false">IF(COUNTIF($A$2:A986,A986)&gt;1,"Duplicate ID",IF(C986="","Missing source",IF(OR(AND(G986&lt;&gt;"",G986&lt;B986),AND(H986&lt;&gt;"",H986&lt;B986),AND(I986&lt;&gt;"",I986&lt;H986),AND(J986&lt;&gt;"",J986&lt;I986)),"Date error","OK")))</f>
        <v>OK</v>
      </c>
    </row>
    <row r="987" customFormat="false" ht="15" hidden="false" customHeight="false" outlineLevel="0" collapsed="false">
      <c r="A987" s="24" t="s">
        <v>1065</v>
      </c>
      <c r="B987" s="31" t="n">
        <v>46216</v>
      </c>
      <c r="C987" s="24" t="s">
        <v>22</v>
      </c>
      <c r="D987" s="24" t="s">
        <v>33</v>
      </c>
      <c r="E987" s="24" t="s">
        <v>84</v>
      </c>
      <c r="F987" s="24" t="s">
        <v>44</v>
      </c>
      <c r="G987" s="31" t="n">
        <v>46223</v>
      </c>
      <c r="H987" s="24"/>
      <c r="I987" s="24"/>
      <c r="J987" s="24"/>
      <c r="K987" s="24" t="n">
        <v>3</v>
      </c>
      <c r="L987" s="24" t="str">
        <f aca="false">IF(J987&lt;&gt;"","Enrolled",IF(I987&lt;&gt;"","Admitted",IF(H987&lt;&gt;"","Applied",IF(G987&lt;&gt;"","Contacted","New"))))</f>
        <v>Contacted</v>
      </c>
      <c r="M987" s="32" t="n">
        <f aca="false">IF(G987="","",G987-B987)</f>
        <v>7</v>
      </c>
      <c r="N987" s="24" t="str">
        <f aca="false">IF(COUNTIF($A$2:A987,A987)&gt;1,"Duplicate ID",IF(C987="","Missing source",IF(OR(AND(G987&lt;&gt;"",G987&lt;B987),AND(H987&lt;&gt;"",H987&lt;B987),AND(I987&lt;&gt;"",I987&lt;H987),AND(J987&lt;&gt;"",J987&lt;I987)),"Date error","OK")))</f>
        <v>OK</v>
      </c>
    </row>
    <row r="988" customFormat="false" ht="15" hidden="false" customHeight="false" outlineLevel="0" collapsed="false">
      <c r="A988" s="24" t="s">
        <v>1066</v>
      </c>
      <c r="B988" s="31" t="n">
        <v>46216</v>
      </c>
      <c r="C988" s="24" t="s">
        <v>22</v>
      </c>
      <c r="D988" s="24" t="s">
        <v>36</v>
      </c>
      <c r="E988" s="24" t="s">
        <v>79</v>
      </c>
      <c r="F988" s="24" t="s">
        <v>43</v>
      </c>
      <c r="G988" s="31" t="n">
        <v>46219</v>
      </c>
      <c r="H988" s="31" t="n">
        <v>46222</v>
      </c>
      <c r="I988" s="31" t="n">
        <v>46234</v>
      </c>
      <c r="J988" s="24"/>
      <c r="K988" s="24" t="n">
        <v>2</v>
      </c>
      <c r="L988" s="24" t="str">
        <f aca="false">IF(J988&lt;&gt;"","Enrolled",IF(I988&lt;&gt;"","Admitted",IF(H988&lt;&gt;"","Applied",IF(G988&lt;&gt;"","Contacted","New"))))</f>
        <v>Admitted</v>
      </c>
      <c r="M988" s="32" t="n">
        <f aca="false">IF(G988="","",G988-B988)</f>
        <v>3</v>
      </c>
      <c r="N988" s="24" t="str">
        <f aca="false">IF(COUNTIF($A$2:A988,A988)&gt;1,"Duplicate ID",IF(C988="","Missing source",IF(OR(AND(G988&lt;&gt;"",G988&lt;B988),AND(H988&lt;&gt;"",H988&lt;B988),AND(I988&lt;&gt;"",I988&lt;H988),AND(J988&lt;&gt;"",J988&lt;I988)),"Date error","OK")))</f>
        <v>OK</v>
      </c>
    </row>
    <row r="989" customFormat="false" ht="15" hidden="false" customHeight="false" outlineLevel="0" collapsed="false">
      <c r="A989" s="24" t="s">
        <v>1067</v>
      </c>
      <c r="B989" s="31" t="n">
        <v>46217</v>
      </c>
      <c r="C989" s="24" t="s">
        <v>26</v>
      </c>
      <c r="D989" s="24" t="s">
        <v>35</v>
      </c>
      <c r="E989" s="24" t="s">
        <v>94</v>
      </c>
      <c r="F989" s="24" t="s">
        <v>42</v>
      </c>
      <c r="G989" s="31" t="n">
        <v>46218</v>
      </c>
      <c r="H989" s="24"/>
      <c r="I989" s="24"/>
      <c r="J989" s="24"/>
      <c r="K989" s="24" t="n">
        <v>2</v>
      </c>
      <c r="L989" s="24" t="str">
        <f aca="false">IF(J989&lt;&gt;"","Enrolled",IF(I989&lt;&gt;"","Admitted",IF(H989&lt;&gt;"","Applied",IF(G989&lt;&gt;"","Contacted","New"))))</f>
        <v>Contacted</v>
      </c>
      <c r="M989" s="32" t="n">
        <f aca="false">IF(G989="","",G989-B989)</f>
        <v>1</v>
      </c>
      <c r="N989" s="24" t="str">
        <f aca="false">IF(COUNTIF($A$2:A989,A989)&gt;1,"Duplicate ID",IF(C989="","Missing source",IF(OR(AND(G989&lt;&gt;"",G989&lt;B989),AND(H989&lt;&gt;"",H989&lt;B989),AND(I989&lt;&gt;"",I989&lt;H989),AND(J989&lt;&gt;"",J989&lt;I989)),"Date error","OK")))</f>
        <v>OK</v>
      </c>
    </row>
    <row r="990" customFormat="false" ht="15" hidden="false" customHeight="false" outlineLevel="0" collapsed="false">
      <c r="A990" s="24" t="s">
        <v>1068</v>
      </c>
      <c r="B990" s="31" t="n">
        <v>46217</v>
      </c>
      <c r="C990" s="24" t="s">
        <v>24</v>
      </c>
      <c r="D990" s="24" t="s">
        <v>36</v>
      </c>
      <c r="E990" s="24" t="s">
        <v>79</v>
      </c>
      <c r="F990" s="24" t="s">
        <v>44</v>
      </c>
      <c r="G990" s="31" t="n">
        <v>46219</v>
      </c>
      <c r="H990" s="24"/>
      <c r="I990" s="24"/>
      <c r="J990" s="24"/>
      <c r="K990" s="24" t="n">
        <v>1</v>
      </c>
      <c r="L990" s="24" t="str">
        <f aca="false">IF(J990&lt;&gt;"","Enrolled",IF(I990&lt;&gt;"","Admitted",IF(H990&lt;&gt;"","Applied",IF(G990&lt;&gt;"","Contacted","New"))))</f>
        <v>Contacted</v>
      </c>
      <c r="M990" s="32" t="n">
        <f aca="false">IF(G990="","",G990-B990)</f>
        <v>2</v>
      </c>
      <c r="N990" s="24" t="str">
        <f aca="false">IF(COUNTIF($A$2:A990,A990)&gt;1,"Duplicate ID",IF(C990="","Missing source",IF(OR(AND(G990&lt;&gt;"",G990&lt;B990),AND(H990&lt;&gt;"",H990&lt;B990),AND(I990&lt;&gt;"",I990&lt;H990),AND(J990&lt;&gt;"",J990&lt;I990)),"Date error","OK")))</f>
        <v>OK</v>
      </c>
    </row>
    <row r="991" customFormat="false" ht="15" hidden="false" customHeight="false" outlineLevel="0" collapsed="false">
      <c r="A991" s="24" t="s">
        <v>1069</v>
      </c>
      <c r="B991" s="31" t="n">
        <v>46217</v>
      </c>
      <c r="C991" s="24" t="s">
        <v>23</v>
      </c>
      <c r="D991" s="24" t="s">
        <v>33</v>
      </c>
      <c r="E991" s="24" t="s">
        <v>79</v>
      </c>
      <c r="F991" s="24" t="s">
        <v>43</v>
      </c>
      <c r="G991" s="31" t="n">
        <v>46219</v>
      </c>
      <c r="H991" s="31" t="n">
        <v>46224</v>
      </c>
      <c r="I991" s="31" t="n">
        <v>46231</v>
      </c>
      <c r="J991" s="31" t="n">
        <v>46245</v>
      </c>
      <c r="K991" s="24" t="n">
        <v>1</v>
      </c>
      <c r="L991" s="24" t="str">
        <f aca="false">IF(J991&lt;&gt;"","Enrolled",IF(I991&lt;&gt;"","Admitted",IF(H991&lt;&gt;"","Applied",IF(G991&lt;&gt;"","Contacted","New"))))</f>
        <v>Enrolled</v>
      </c>
      <c r="M991" s="32" t="n">
        <f aca="false">IF(G991="","",G991-B991)</f>
        <v>2</v>
      </c>
      <c r="N991" s="24" t="str">
        <f aca="false">IF(COUNTIF($A$2:A991,A991)&gt;1,"Duplicate ID",IF(C991="","Missing source",IF(OR(AND(G991&lt;&gt;"",G991&lt;B991),AND(H991&lt;&gt;"",H991&lt;B991),AND(I991&lt;&gt;"",I991&lt;H991),AND(J991&lt;&gt;"",J991&lt;I991)),"Date error","OK")))</f>
        <v>OK</v>
      </c>
    </row>
    <row r="992" customFormat="false" ht="15" hidden="false" customHeight="false" outlineLevel="0" collapsed="false">
      <c r="A992" s="24" t="s">
        <v>1070</v>
      </c>
      <c r="B992" s="31" t="n">
        <v>46217</v>
      </c>
      <c r="C992" s="24" t="s">
        <v>23</v>
      </c>
      <c r="D992" s="24" t="s">
        <v>36</v>
      </c>
      <c r="E992" s="24" t="s">
        <v>89</v>
      </c>
      <c r="F992" s="24" t="s">
        <v>42</v>
      </c>
      <c r="G992" s="31" t="n">
        <v>46218</v>
      </c>
      <c r="H992" s="24"/>
      <c r="I992" s="24"/>
      <c r="J992" s="24"/>
      <c r="K992" s="24" t="n">
        <v>2</v>
      </c>
      <c r="L992" s="24" t="str">
        <f aca="false">IF(J992&lt;&gt;"","Enrolled",IF(I992&lt;&gt;"","Admitted",IF(H992&lt;&gt;"","Applied",IF(G992&lt;&gt;"","Contacted","New"))))</f>
        <v>Contacted</v>
      </c>
      <c r="M992" s="32" t="n">
        <f aca="false">IF(G992="","",G992-B992)</f>
        <v>1</v>
      </c>
      <c r="N992" s="24" t="str">
        <f aca="false">IF(COUNTIF($A$2:A992,A992)&gt;1,"Duplicate ID",IF(C992="","Missing source",IF(OR(AND(G992&lt;&gt;"",G992&lt;B992),AND(H992&lt;&gt;"",H992&lt;B992),AND(I992&lt;&gt;"",I992&lt;H992),AND(J992&lt;&gt;"",J992&lt;I992)),"Date error","OK")))</f>
        <v>OK</v>
      </c>
    </row>
    <row r="993" customFormat="false" ht="15" hidden="false" customHeight="false" outlineLevel="0" collapsed="false">
      <c r="A993" s="24" t="s">
        <v>1071</v>
      </c>
      <c r="B993" s="31" t="n">
        <v>46217</v>
      </c>
      <c r="C993" s="24" t="s">
        <v>26</v>
      </c>
      <c r="D993" s="24" t="s">
        <v>34</v>
      </c>
      <c r="E993" s="24" t="s">
        <v>94</v>
      </c>
      <c r="F993" s="24" t="s">
        <v>40</v>
      </c>
      <c r="G993" s="31" t="n">
        <v>46217</v>
      </c>
      <c r="H993" s="24"/>
      <c r="I993" s="24"/>
      <c r="J993" s="24"/>
      <c r="K993" s="24" t="n">
        <v>6</v>
      </c>
      <c r="L993" s="24" t="str">
        <f aca="false">IF(J993&lt;&gt;"","Enrolled",IF(I993&lt;&gt;"","Admitted",IF(H993&lt;&gt;"","Applied",IF(G993&lt;&gt;"","Contacted","New"))))</f>
        <v>Contacted</v>
      </c>
      <c r="M993" s="32" t="n">
        <f aca="false">IF(G993="","",G993-B993)</f>
        <v>0</v>
      </c>
      <c r="N993" s="24" t="str">
        <f aca="false">IF(COUNTIF($A$2:A993,A993)&gt;1,"Duplicate ID",IF(C993="","Missing source",IF(OR(AND(G993&lt;&gt;"",G993&lt;B993),AND(H993&lt;&gt;"",H993&lt;B993),AND(I993&lt;&gt;"",I993&lt;H993),AND(J993&lt;&gt;"",J993&lt;I993)),"Date error","OK")))</f>
        <v>OK</v>
      </c>
    </row>
    <row r="994" customFormat="false" ht="15" hidden="false" customHeight="false" outlineLevel="0" collapsed="false">
      <c r="A994" s="24" t="s">
        <v>1072</v>
      </c>
      <c r="B994" s="31" t="n">
        <v>46217</v>
      </c>
      <c r="C994" s="24" t="s">
        <v>25</v>
      </c>
      <c r="D994" s="24" t="s">
        <v>32</v>
      </c>
      <c r="E994" s="24" t="s">
        <v>94</v>
      </c>
      <c r="F994" s="24" t="s">
        <v>44</v>
      </c>
      <c r="G994" s="31" t="n">
        <v>46218</v>
      </c>
      <c r="H994" s="24"/>
      <c r="I994" s="24"/>
      <c r="J994" s="24"/>
      <c r="K994" s="24" t="n">
        <v>0</v>
      </c>
      <c r="L994" s="24" t="str">
        <f aca="false">IF(J994&lt;&gt;"","Enrolled",IF(I994&lt;&gt;"","Admitted",IF(H994&lt;&gt;"","Applied",IF(G994&lt;&gt;"","Contacted","New"))))</f>
        <v>Contacted</v>
      </c>
      <c r="M994" s="32" t="n">
        <f aca="false">IF(G994="","",G994-B994)</f>
        <v>1</v>
      </c>
      <c r="N994" s="24" t="str">
        <f aca="false">IF(COUNTIF($A$2:A994,A994)&gt;1,"Duplicate ID",IF(C994="","Missing source",IF(OR(AND(G994&lt;&gt;"",G994&lt;B994),AND(H994&lt;&gt;"",H994&lt;B994),AND(I994&lt;&gt;"",I994&lt;H994),AND(J994&lt;&gt;"",J994&lt;I994)),"Date error","OK")))</f>
        <v>OK</v>
      </c>
    </row>
    <row r="995" customFormat="false" ht="15" hidden="false" customHeight="false" outlineLevel="0" collapsed="false">
      <c r="A995" s="24" t="s">
        <v>1073</v>
      </c>
      <c r="B995" s="31" t="n">
        <v>46217</v>
      </c>
      <c r="C995" s="24" t="s">
        <v>26</v>
      </c>
      <c r="D995" s="24" t="s">
        <v>36</v>
      </c>
      <c r="E995" s="24" t="s">
        <v>84</v>
      </c>
      <c r="F995" s="24" t="s">
        <v>40</v>
      </c>
      <c r="G995" s="31" t="n">
        <v>46217</v>
      </c>
      <c r="H995" s="24"/>
      <c r="I995" s="24"/>
      <c r="J995" s="24"/>
      <c r="K995" s="24" t="n">
        <v>2</v>
      </c>
      <c r="L995" s="24" t="str">
        <f aca="false">IF(J995&lt;&gt;"","Enrolled",IF(I995&lt;&gt;"","Admitted",IF(H995&lt;&gt;"","Applied",IF(G995&lt;&gt;"","Contacted","New"))))</f>
        <v>Contacted</v>
      </c>
      <c r="M995" s="32" t="n">
        <f aca="false">IF(G995="","",G995-B995)</f>
        <v>0</v>
      </c>
      <c r="N995" s="24" t="str">
        <f aca="false">IF(COUNTIF($A$2:A995,A995)&gt;1,"Duplicate ID",IF(C995="","Missing source",IF(OR(AND(G995&lt;&gt;"",G995&lt;B995),AND(H995&lt;&gt;"",H995&lt;B995),AND(I995&lt;&gt;"",I995&lt;H995),AND(J995&lt;&gt;"",J995&lt;I995)),"Date error","OK")))</f>
        <v>OK</v>
      </c>
    </row>
    <row r="996" customFormat="false" ht="15" hidden="false" customHeight="false" outlineLevel="0" collapsed="false">
      <c r="A996" s="24" t="s">
        <v>1074</v>
      </c>
      <c r="B996" s="31" t="n">
        <v>46217</v>
      </c>
      <c r="C996" s="24" t="s">
        <v>22</v>
      </c>
      <c r="D996" s="24" t="s">
        <v>32</v>
      </c>
      <c r="E996" s="24" t="s">
        <v>79</v>
      </c>
      <c r="F996" s="24" t="s">
        <v>44</v>
      </c>
      <c r="G996" s="31" t="n">
        <v>46218</v>
      </c>
      <c r="H996" s="31" t="n">
        <v>46221</v>
      </c>
      <c r="I996" s="31" t="n">
        <v>46232</v>
      </c>
      <c r="J996" s="24"/>
      <c r="K996" s="24" t="n">
        <v>4</v>
      </c>
      <c r="L996" s="24" t="str">
        <f aca="false">IF(J996&lt;&gt;"","Enrolled",IF(I996&lt;&gt;"","Admitted",IF(H996&lt;&gt;"","Applied",IF(G996&lt;&gt;"","Contacted","New"))))</f>
        <v>Admitted</v>
      </c>
      <c r="M996" s="32" t="n">
        <f aca="false">IF(G996="","",G996-B996)</f>
        <v>1</v>
      </c>
      <c r="N996" s="24" t="str">
        <f aca="false">IF(COUNTIF($A$2:A996,A996)&gt;1,"Duplicate ID",IF(C996="","Missing source",IF(OR(AND(G996&lt;&gt;"",G996&lt;B996),AND(H996&lt;&gt;"",H996&lt;B996),AND(I996&lt;&gt;"",I996&lt;H996),AND(J996&lt;&gt;"",J996&lt;I996)),"Date error","OK")))</f>
        <v>OK</v>
      </c>
    </row>
    <row r="997" customFormat="false" ht="15" hidden="false" customHeight="false" outlineLevel="0" collapsed="false">
      <c r="A997" s="24" t="s">
        <v>1075</v>
      </c>
      <c r="B997" s="31" t="n">
        <v>46217</v>
      </c>
      <c r="C997" s="24" t="s">
        <v>21</v>
      </c>
      <c r="D997" s="24" t="s">
        <v>32</v>
      </c>
      <c r="E997" s="24" t="s">
        <v>79</v>
      </c>
      <c r="F997" s="24" t="s">
        <v>43</v>
      </c>
      <c r="G997" s="31" t="n">
        <v>46218</v>
      </c>
      <c r="H997" s="31" t="n">
        <v>46226</v>
      </c>
      <c r="I997" s="31" t="n">
        <v>46232</v>
      </c>
      <c r="J997" s="31" t="n">
        <v>46239</v>
      </c>
      <c r="K997" s="24" t="n">
        <v>6</v>
      </c>
      <c r="L997" s="24" t="str">
        <f aca="false">IF(J997&lt;&gt;"","Enrolled",IF(I997&lt;&gt;"","Admitted",IF(H997&lt;&gt;"","Applied",IF(G997&lt;&gt;"","Contacted","New"))))</f>
        <v>Enrolled</v>
      </c>
      <c r="M997" s="32" t="n">
        <f aca="false">IF(G997="","",G997-B997)</f>
        <v>1</v>
      </c>
      <c r="N997" s="24" t="str">
        <f aca="false">IF(COUNTIF($A$2:A997,A997)&gt;1,"Duplicate ID",IF(C997="","Missing source",IF(OR(AND(G997&lt;&gt;"",G997&lt;B997),AND(H997&lt;&gt;"",H997&lt;B997),AND(I997&lt;&gt;"",I997&lt;H997),AND(J997&lt;&gt;"",J997&lt;I997)),"Date error","OK")))</f>
        <v>OK</v>
      </c>
    </row>
    <row r="998" customFormat="false" ht="15" hidden="false" customHeight="false" outlineLevel="0" collapsed="false">
      <c r="A998" s="24" t="s">
        <v>1076</v>
      </c>
      <c r="B998" s="31" t="n">
        <v>46217</v>
      </c>
      <c r="C998" s="24" t="s">
        <v>23</v>
      </c>
      <c r="D998" s="24" t="s">
        <v>35</v>
      </c>
      <c r="E998" s="24" t="s">
        <v>94</v>
      </c>
      <c r="F998" s="24" t="s">
        <v>42</v>
      </c>
      <c r="G998" s="31" t="n">
        <v>46218</v>
      </c>
      <c r="H998" s="31" t="n">
        <v>46241</v>
      </c>
      <c r="I998" s="31" t="n">
        <v>46252</v>
      </c>
      <c r="J998" s="24"/>
      <c r="K998" s="24" t="n">
        <v>3</v>
      </c>
      <c r="L998" s="24" t="str">
        <f aca="false">IF(J998&lt;&gt;"","Enrolled",IF(I998&lt;&gt;"","Admitted",IF(H998&lt;&gt;"","Applied",IF(G998&lt;&gt;"","Contacted","New"))))</f>
        <v>Admitted</v>
      </c>
      <c r="M998" s="32" t="n">
        <f aca="false">IF(G998="","",G998-B998)</f>
        <v>1</v>
      </c>
      <c r="N998" s="24" t="str">
        <f aca="false">IF(COUNTIF($A$2:A998,A998)&gt;1,"Duplicate ID",IF(C998="","Missing source",IF(OR(AND(G998&lt;&gt;"",G998&lt;B998),AND(H998&lt;&gt;"",H998&lt;B998),AND(I998&lt;&gt;"",I998&lt;H998),AND(J998&lt;&gt;"",J998&lt;I998)),"Date error","OK")))</f>
        <v>OK</v>
      </c>
    </row>
    <row r="999" customFormat="false" ht="15" hidden="false" customHeight="false" outlineLevel="0" collapsed="false">
      <c r="A999" s="24" t="s">
        <v>1077</v>
      </c>
      <c r="B999" s="31" t="n">
        <v>46217</v>
      </c>
      <c r="C999" s="24" t="s">
        <v>27</v>
      </c>
      <c r="D999" s="24" t="s">
        <v>32</v>
      </c>
      <c r="E999" s="24" t="s">
        <v>81</v>
      </c>
      <c r="F999" s="24" t="s">
        <v>44</v>
      </c>
      <c r="G999" s="31" t="n">
        <v>46218</v>
      </c>
      <c r="H999" s="31" t="n">
        <v>46215</v>
      </c>
      <c r="I999" s="31" t="n">
        <v>46245</v>
      </c>
      <c r="J999" s="24"/>
      <c r="K999" s="24" t="n">
        <v>3</v>
      </c>
      <c r="L999" s="24" t="str">
        <f aca="false">IF(J999&lt;&gt;"","Enrolled",IF(I999&lt;&gt;"","Admitted",IF(H999&lt;&gt;"","Applied",IF(G999&lt;&gt;"","Contacted","New"))))</f>
        <v>Admitted</v>
      </c>
      <c r="M999" s="32" t="n">
        <f aca="false">IF(G999="","",G999-B999)</f>
        <v>1</v>
      </c>
      <c r="N999" s="24" t="str">
        <f aca="false">IF(COUNTIF($A$2:A999,A999)&gt;1,"Duplicate ID",IF(C999="","Missing source",IF(OR(AND(G999&lt;&gt;"",G999&lt;B999),AND(H999&lt;&gt;"",H999&lt;B999),AND(I999&lt;&gt;"",I999&lt;H999),AND(J999&lt;&gt;"",J999&lt;I999)),"Date error","OK")))</f>
        <v>Date error</v>
      </c>
    </row>
    <row r="1000" customFormat="false" ht="15" hidden="false" customHeight="false" outlineLevel="0" collapsed="false">
      <c r="A1000" s="24" t="s">
        <v>1078</v>
      </c>
      <c r="B1000" s="31" t="n">
        <v>46217</v>
      </c>
      <c r="C1000" s="24" t="s">
        <v>26</v>
      </c>
      <c r="D1000" s="24" t="s">
        <v>35</v>
      </c>
      <c r="E1000" s="24" t="s">
        <v>89</v>
      </c>
      <c r="F1000" s="24" t="s">
        <v>41</v>
      </c>
      <c r="G1000" s="24"/>
      <c r="H1000" s="24"/>
      <c r="I1000" s="24"/>
      <c r="J1000" s="24"/>
      <c r="K1000" s="24" t="n">
        <v>0</v>
      </c>
      <c r="L1000" s="24" t="str">
        <f aca="false">IF(J1000&lt;&gt;"","Enrolled",IF(I1000&lt;&gt;"","Admitted",IF(H1000&lt;&gt;"","Applied",IF(G1000&lt;&gt;"","Contacted","New"))))</f>
        <v>New</v>
      </c>
      <c r="M1000" s="32" t="str">
        <f aca="false">IF(G1000="","",G1000-B1000)</f>
        <v/>
      </c>
      <c r="N1000" s="24" t="str">
        <f aca="false">IF(COUNTIF($A$2:A1000,A1000)&gt;1,"Duplicate ID",IF(C1000="","Missing source",IF(OR(AND(G1000&lt;&gt;"",G1000&lt;B1000),AND(H1000&lt;&gt;"",H1000&lt;B1000),AND(I1000&lt;&gt;"",I1000&lt;H1000),AND(J1000&lt;&gt;"",J1000&lt;I1000)),"Date error","OK")))</f>
        <v>OK</v>
      </c>
    </row>
    <row r="1001" customFormat="false" ht="15" hidden="false" customHeight="false" outlineLevel="0" collapsed="false">
      <c r="A1001" s="24" t="s">
        <v>1079</v>
      </c>
      <c r="B1001" s="31" t="n">
        <v>46217</v>
      </c>
      <c r="C1001" s="24" t="s">
        <v>27</v>
      </c>
      <c r="D1001" s="24" t="s">
        <v>36</v>
      </c>
      <c r="E1001" s="24" t="s">
        <v>89</v>
      </c>
      <c r="F1001" s="24" t="s">
        <v>40</v>
      </c>
      <c r="G1001" s="31" t="n">
        <v>46217</v>
      </c>
      <c r="H1001" s="24"/>
      <c r="I1001" s="24"/>
      <c r="J1001" s="24"/>
      <c r="K1001" s="24" t="n">
        <v>2</v>
      </c>
      <c r="L1001" s="24" t="str">
        <f aca="false">IF(J1001&lt;&gt;"","Enrolled",IF(I1001&lt;&gt;"","Admitted",IF(H1001&lt;&gt;"","Applied",IF(G1001&lt;&gt;"","Contacted","New"))))</f>
        <v>Contacted</v>
      </c>
      <c r="M1001" s="32" t="n">
        <f aca="false">IF(G1001="","",G1001-B1001)</f>
        <v>0</v>
      </c>
      <c r="N1001" s="24" t="str">
        <f aca="false">IF(COUNTIF($A$2:A1001,A1001)&gt;1,"Duplicate ID",IF(C1001="","Missing source",IF(OR(AND(G1001&lt;&gt;"",G1001&lt;B1001),AND(H1001&lt;&gt;"",H1001&lt;B1001),AND(I1001&lt;&gt;"",I1001&lt;H1001),AND(J1001&lt;&gt;"",J1001&lt;I1001)),"Date error","OK")))</f>
        <v>OK</v>
      </c>
    </row>
    <row r="1002" customFormat="false" ht="15" hidden="false" customHeight="false" outlineLevel="0" collapsed="false">
      <c r="A1002" s="24" t="s">
        <v>1080</v>
      </c>
      <c r="B1002" s="31" t="n">
        <v>46218</v>
      </c>
      <c r="C1002" s="24" t="s">
        <v>25</v>
      </c>
      <c r="D1002" s="24" t="s">
        <v>36</v>
      </c>
      <c r="E1002" s="24" t="s">
        <v>89</v>
      </c>
      <c r="F1002" s="24" t="s">
        <v>45</v>
      </c>
      <c r="G1002" s="31" t="n">
        <v>46222</v>
      </c>
      <c r="H1002" s="24"/>
      <c r="I1002" s="24"/>
      <c r="J1002" s="24"/>
      <c r="K1002" s="24" t="n">
        <v>4</v>
      </c>
      <c r="L1002" s="24" t="str">
        <f aca="false">IF(J1002&lt;&gt;"","Enrolled",IF(I1002&lt;&gt;"","Admitted",IF(H1002&lt;&gt;"","Applied",IF(G1002&lt;&gt;"","Contacted","New"))))</f>
        <v>Contacted</v>
      </c>
      <c r="M1002" s="32" t="n">
        <f aca="false">IF(G1002="","",G1002-B1002)</f>
        <v>4</v>
      </c>
      <c r="N1002" s="24" t="str">
        <f aca="false">IF(COUNTIF($A$2:A1002,A1002)&gt;1,"Duplicate ID",IF(C1002="","Missing source",IF(OR(AND(G1002&lt;&gt;"",G1002&lt;B1002),AND(H1002&lt;&gt;"",H1002&lt;B1002),AND(I1002&lt;&gt;"",I1002&lt;H1002),AND(J1002&lt;&gt;"",J1002&lt;I1002)),"Date error","OK")))</f>
        <v>OK</v>
      </c>
    </row>
    <row r="1003" customFormat="false" ht="15" hidden="false" customHeight="false" outlineLevel="0" collapsed="false">
      <c r="A1003" s="24" t="s">
        <v>1081</v>
      </c>
      <c r="B1003" s="31" t="n">
        <v>46218</v>
      </c>
      <c r="C1003" s="24" t="s">
        <v>23</v>
      </c>
      <c r="D1003" s="24" t="s">
        <v>32</v>
      </c>
      <c r="E1003" s="24" t="s">
        <v>89</v>
      </c>
      <c r="F1003" s="24" t="s">
        <v>41</v>
      </c>
      <c r="G1003" s="31" t="n">
        <v>46219</v>
      </c>
      <c r="H1003" s="31" t="n">
        <v>46236</v>
      </c>
      <c r="I1003" s="24"/>
      <c r="J1003" s="24"/>
      <c r="K1003" s="24" t="n">
        <v>3</v>
      </c>
      <c r="L1003" s="24" t="str">
        <f aca="false">IF(J1003&lt;&gt;"","Enrolled",IF(I1003&lt;&gt;"","Admitted",IF(H1003&lt;&gt;"","Applied",IF(G1003&lt;&gt;"","Contacted","New"))))</f>
        <v>Applied</v>
      </c>
      <c r="M1003" s="32" t="n">
        <f aca="false">IF(G1003="","",G1003-B1003)</f>
        <v>1</v>
      </c>
      <c r="N1003" s="24" t="str">
        <f aca="false">IF(COUNTIF($A$2:A1003,A1003)&gt;1,"Duplicate ID",IF(C1003="","Missing source",IF(OR(AND(G1003&lt;&gt;"",G1003&lt;B1003),AND(H1003&lt;&gt;"",H1003&lt;B1003),AND(I1003&lt;&gt;"",I1003&lt;H1003),AND(J1003&lt;&gt;"",J1003&lt;I1003)),"Date error","OK")))</f>
        <v>OK</v>
      </c>
    </row>
    <row r="1004" customFormat="false" ht="15" hidden="false" customHeight="false" outlineLevel="0" collapsed="false">
      <c r="A1004" s="24" t="s">
        <v>1082</v>
      </c>
      <c r="B1004" s="31" t="n">
        <v>46218</v>
      </c>
      <c r="C1004" s="24" t="s">
        <v>24</v>
      </c>
      <c r="D1004" s="24" t="s">
        <v>33</v>
      </c>
      <c r="E1004" s="24" t="s">
        <v>89</v>
      </c>
      <c r="F1004" s="24" t="s">
        <v>44</v>
      </c>
      <c r="G1004" s="31" t="n">
        <v>46218</v>
      </c>
      <c r="H1004" s="24"/>
      <c r="I1004" s="24"/>
      <c r="J1004" s="24"/>
      <c r="K1004" s="24" t="n">
        <v>2</v>
      </c>
      <c r="L1004" s="24" t="str">
        <f aca="false">IF(J1004&lt;&gt;"","Enrolled",IF(I1004&lt;&gt;"","Admitted",IF(H1004&lt;&gt;"","Applied",IF(G1004&lt;&gt;"","Contacted","New"))))</f>
        <v>Contacted</v>
      </c>
      <c r="M1004" s="32" t="n">
        <f aca="false">IF(G1004="","",G1004-B1004)</f>
        <v>0</v>
      </c>
      <c r="N1004" s="24" t="str">
        <f aca="false">IF(COUNTIF($A$2:A1004,A1004)&gt;1,"Duplicate ID",IF(C1004="","Missing source",IF(OR(AND(G1004&lt;&gt;"",G1004&lt;B1004),AND(H1004&lt;&gt;"",H1004&lt;B1004),AND(I1004&lt;&gt;"",I1004&lt;H1004),AND(J1004&lt;&gt;"",J1004&lt;I1004)),"Date error","OK")))</f>
        <v>OK</v>
      </c>
    </row>
    <row r="1005" customFormat="false" ht="15" hidden="false" customHeight="false" outlineLevel="0" collapsed="false">
      <c r="A1005" s="24" t="s">
        <v>1083</v>
      </c>
      <c r="B1005" s="31" t="n">
        <v>46218</v>
      </c>
      <c r="C1005" s="24" t="s">
        <v>26</v>
      </c>
      <c r="D1005" s="24" t="s">
        <v>35</v>
      </c>
      <c r="E1005" s="24" t="s">
        <v>81</v>
      </c>
      <c r="F1005" s="24" t="s">
        <v>45</v>
      </c>
      <c r="G1005" s="31" t="n">
        <v>46219</v>
      </c>
      <c r="H1005" s="24"/>
      <c r="I1005" s="24"/>
      <c r="J1005" s="24"/>
      <c r="K1005" s="24" t="n">
        <v>2</v>
      </c>
      <c r="L1005" s="24" t="str">
        <f aca="false">IF(J1005&lt;&gt;"","Enrolled",IF(I1005&lt;&gt;"","Admitted",IF(H1005&lt;&gt;"","Applied",IF(G1005&lt;&gt;"","Contacted","New"))))</f>
        <v>Contacted</v>
      </c>
      <c r="M1005" s="32" t="n">
        <f aca="false">IF(G1005="","",G1005-B1005)</f>
        <v>1</v>
      </c>
      <c r="N1005" s="24" t="str">
        <f aca="false">IF(COUNTIF($A$2:A1005,A1005)&gt;1,"Duplicate ID",IF(C1005="","Missing source",IF(OR(AND(G1005&lt;&gt;"",G1005&lt;B1005),AND(H1005&lt;&gt;"",H1005&lt;B1005),AND(I1005&lt;&gt;"",I1005&lt;H1005),AND(J1005&lt;&gt;"",J1005&lt;I1005)),"Date error","OK")))</f>
        <v>OK</v>
      </c>
    </row>
    <row r="1006" customFormat="false" ht="15" hidden="false" customHeight="false" outlineLevel="0" collapsed="false">
      <c r="A1006" s="24" t="s">
        <v>1084</v>
      </c>
      <c r="B1006" s="31" t="n">
        <v>46218</v>
      </c>
      <c r="C1006" s="24" t="s">
        <v>26</v>
      </c>
      <c r="D1006" s="24" t="s">
        <v>34</v>
      </c>
      <c r="E1006" s="24" t="s">
        <v>89</v>
      </c>
      <c r="F1006" s="24" t="s">
        <v>44</v>
      </c>
      <c r="G1006" s="24"/>
      <c r="H1006" s="24"/>
      <c r="I1006" s="24"/>
      <c r="J1006" s="24"/>
      <c r="K1006" s="24" t="n">
        <v>0</v>
      </c>
      <c r="L1006" s="24" t="str">
        <f aca="false">IF(J1006&lt;&gt;"","Enrolled",IF(I1006&lt;&gt;"","Admitted",IF(H1006&lt;&gt;"","Applied",IF(G1006&lt;&gt;"","Contacted","New"))))</f>
        <v>New</v>
      </c>
      <c r="M1006" s="32" t="str">
        <f aca="false">IF(G1006="","",G1006-B1006)</f>
        <v/>
      </c>
      <c r="N1006" s="24" t="str">
        <f aca="false">IF(COUNTIF($A$2:A1006,A1006)&gt;1,"Duplicate ID",IF(C1006="","Missing source",IF(OR(AND(G1006&lt;&gt;"",G1006&lt;B1006),AND(H1006&lt;&gt;"",H1006&lt;B1006),AND(I1006&lt;&gt;"",I1006&lt;H1006),AND(J1006&lt;&gt;"",J1006&lt;I1006)),"Date error","OK")))</f>
        <v>OK</v>
      </c>
    </row>
    <row r="1007" customFormat="false" ht="15" hidden="false" customHeight="false" outlineLevel="0" collapsed="false">
      <c r="A1007" s="24" t="s">
        <v>1085</v>
      </c>
      <c r="B1007" s="31" t="n">
        <v>46219</v>
      </c>
      <c r="C1007" s="24" t="s">
        <v>21</v>
      </c>
      <c r="D1007" s="24" t="s">
        <v>36</v>
      </c>
      <c r="E1007" s="24" t="s">
        <v>79</v>
      </c>
      <c r="F1007" s="24" t="s">
        <v>40</v>
      </c>
      <c r="G1007" s="31" t="n">
        <v>46221</v>
      </c>
      <c r="H1007" s="24"/>
      <c r="I1007" s="24"/>
      <c r="J1007" s="24"/>
      <c r="K1007" s="24" t="n">
        <v>3</v>
      </c>
      <c r="L1007" s="24" t="str">
        <f aca="false">IF(J1007&lt;&gt;"","Enrolled",IF(I1007&lt;&gt;"","Admitted",IF(H1007&lt;&gt;"","Applied",IF(G1007&lt;&gt;"","Contacted","New"))))</f>
        <v>Contacted</v>
      </c>
      <c r="M1007" s="32" t="n">
        <f aca="false">IF(G1007="","",G1007-B1007)</f>
        <v>2</v>
      </c>
      <c r="N1007" s="24" t="str">
        <f aca="false">IF(COUNTIF($A$2:A1007,A1007)&gt;1,"Duplicate ID",IF(C1007="","Missing source",IF(OR(AND(G1007&lt;&gt;"",G1007&lt;B1007),AND(H1007&lt;&gt;"",H1007&lt;B1007),AND(I1007&lt;&gt;"",I1007&lt;H1007),AND(J1007&lt;&gt;"",J1007&lt;I1007)),"Date error","OK")))</f>
        <v>OK</v>
      </c>
    </row>
    <row r="1008" customFormat="false" ht="15" hidden="false" customHeight="false" outlineLevel="0" collapsed="false">
      <c r="A1008" s="24" t="s">
        <v>1086</v>
      </c>
      <c r="B1008" s="31" t="n">
        <v>46219</v>
      </c>
      <c r="C1008" s="24" t="s">
        <v>22</v>
      </c>
      <c r="D1008" s="24" t="s">
        <v>32</v>
      </c>
      <c r="E1008" s="24" t="s">
        <v>81</v>
      </c>
      <c r="F1008" s="24" t="s">
        <v>40</v>
      </c>
      <c r="G1008" s="31" t="n">
        <v>46220</v>
      </c>
      <c r="H1008" s="24"/>
      <c r="I1008" s="24"/>
      <c r="J1008" s="24"/>
      <c r="K1008" s="24" t="n">
        <v>2</v>
      </c>
      <c r="L1008" s="24" t="str">
        <f aca="false">IF(J1008&lt;&gt;"","Enrolled",IF(I1008&lt;&gt;"","Admitted",IF(H1008&lt;&gt;"","Applied",IF(G1008&lt;&gt;"","Contacted","New"))))</f>
        <v>Contacted</v>
      </c>
      <c r="M1008" s="32" t="n">
        <f aca="false">IF(G1008="","",G1008-B1008)</f>
        <v>1</v>
      </c>
      <c r="N1008" s="24" t="str">
        <f aca="false">IF(COUNTIF($A$2:A1008,A1008)&gt;1,"Duplicate ID",IF(C1008="","Missing source",IF(OR(AND(G1008&lt;&gt;"",G1008&lt;B1008),AND(H1008&lt;&gt;"",H1008&lt;B1008),AND(I1008&lt;&gt;"",I1008&lt;H1008),AND(J1008&lt;&gt;"",J1008&lt;I1008)),"Date error","OK")))</f>
        <v>OK</v>
      </c>
    </row>
    <row r="1009" customFormat="false" ht="15" hidden="false" customHeight="false" outlineLevel="0" collapsed="false">
      <c r="A1009" s="24" t="s">
        <v>1087</v>
      </c>
      <c r="B1009" s="31" t="n">
        <v>46219</v>
      </c>
      <c r="C1009" s="24" t="s">
        <v>26</v>
      </c>
      <c r="D1009" s="24" t="s">
        <v>35</v>
      </c>
      <c r="E1009" s="24" t="s">
        <v>79</v>
      </c>
      <c r="F1009" s="24" t="s">
        <v>40</v>
      </c>
      <c r="G1009" s="31" t="n">
        <v>46219</v>
      </c>
      <c r="H1009" s="24"/>
      <c r="I1009" s="24"/>
      <c r="J1009" s="24"/>
      <c r="K1009" s="24" t="n">
        <v>0</v>
      </c>
      <c r="L1009" s="24" t="str">
        <f aca="false">IF(J1009&lt;&gt;"","Enrolled",IF(I1009&lt;&gt;"","Admitted",IF(H1009&lt;&gt;"","Applied",IF(G1009&lt;&gt;"","Contacted","New"))))</f>
        <v>Contacted</v>
      </c>
      <c r="M1009" s="32" t="n">
        <f aca="false">IF(G1009="","",G1009-B1009)</f>
        <v>0</v>
      </c>
      <c r="N1009" s="24" t="str">
        <f aca="false">IF(COUNTIF($A$2:A1009,A1009)&gt;1,"Duplicate ID",IF(C1009="","Missing source",IF(OR(AND(G1009&lt;&gt;"",G1009&lt;B1009),AND(H1009&lt;&gt;"",H1009&lt;B1009),AND(I1009&lt;&gt;"",I1009&lt;H1009),AND(J1009&lt;&gt;"",J1009&lt;I1009)),"Date error","OK")))</f>
        <v>OK</v>
      </c>
    </row>
    <row r="1010" customFormat="false" ht="15" hidden="false" customHeight="false" outlineLevel="0" collapsed="false">
      <c r="A1010" s="24" t="s">
        <v>1088</v>
      </c>
      <c r="B1010" s="31" t="n">
        <v>46219</v>
      </c>
      <c r="C1010" s="24" t="s">
        <v>26</v>
      </c>
      <c r="D1010" s="24" t="s">
        <v>32</v>
      </c>
      <c r="E1010" s="24" t="s">
        <v>81</v>
      </c>
      <c r="F1010" s="24" t="s">
        <v>42</v>
      </c>
      <c r="G1010" s="31" t="n">
        <v>46221</v>
      </c>
      <c r="H1010" s="31" t="n">
        <v>46244</v>
      </c>
      <c r="I1010" s="24"/>
      <c r="J1010" s="24"/>
      <c r="K1010" s="24" t="n">
        <v>3</v>
      </c>
      <c r="L1010" s="24" t="str">
        <f aca="false">IF(J1010&lt;&gt;"","Enrolled",IF(I1010&lt;&gt;"","Admitted",IF(H1010&lt;&gt;"","Applied",IF(G1010&lt;&gt;"","Contacted","New"))))</f>
        <v>Applied</v>
      </c>
      <c r="M1010" s="32" t="n">
        <f aca="false">IF(G1010="","",G1010-B1010)</f>
        <v>2</v>
      </c>
      <c r="N1010" s="24" t="str">
        <f aca="false">IF(COUNTIF($A$2:A1010,A1010)&gt;1,"Duplicate ID",IF(C1010="","Missing source",IF(OR(AND(G1010&lt;&gt;"",G1010&lt;B1010),AND(H1010&lt;&gt;"",H1010&lt;B1010),AND(I1010&lt;&gt;"",I1010&lt;H1010),AND(J1010&lt;&gt;"",J1010&lt;I1010)),"Date error","OK")))</f>
        <v>OK</v>
      </c>
    </row>
    <row r="1011" customFormat="false" ht="15" hidden="false" customHeight="false" outlineLevel="0" collapsed="false">
      <c r="A1011" s="24" t="s">
        <v>1089</v>
      </c>
      <c r="B1011" s="31" t="n">
        <v>46219</v>
      </c>
      <c r="C1011" s="24" t="s">
        <v>23</v>
      </c>
      <c r="D1011" s="24" t="s">
        <v>36</v>
      </c>
      <c r="E1011" s="24" t="s">
        <v>79</v>
      </c>
      <c r="F1011" s="24" t="s">
        <v>42</v>
      </c>
      <c r="G1011" s="31" t="n">
        <v>46220</v>
      </c>
      <c r="H1011" s="24"/>
      <c r="I1011" s="24"/>
      <c r="J1011" s="24"/>
      <c r="K1011" s="24" t="n">
        <v>4</v>
      </c>
      <c r="L1011" s="24" t="str">
        <f aca="false">IF(J1011&lt;&gt;"","Enrolled",IF(I1011&lt;&gt;"","Admitted",IF(H1011&lt;&gt;"","Applied",IF(G1011&lt;&gt;"","Contacted","New"))))</f>
        <v>Contacted</v>
      </c>
      <c r="M1011" s="32" t="n">
        <f aca="false">IF(G1011="","",G1011-B1011)</f>
        <v>1</v>
      </c>
      <c r="N1011" s="24" t="str">
        <f aca="false">IF(COUNTIF($A$2:A1011,A1011)&gt;1,"Duplicate ID",IF(C1011="","Missing source",IF(OR(AND(G1011&lt;&gt;"",G1011&lt;B1011),AND(H1011&lt;&gt;"",H1011&lt;B1011),AND(I1011&lt;&gt;"",I1011&lt;H1011),AND(J1011&lt;&gt;"",J1011&lt;I1011)),"Date error","OK")))</f>
        <v>OK</v>
      </c>
    </row>
    <row r="1012" customFormat="false" ht="15" hidden="false" customHeight="false" outlineLevel="0" collapsed="false">
      <c r="A1012" s="24" t="s">
        <v>1090</v>
      </c>
      <c r="B1012" s="31" t="n">
        <v>46219</v>
      </c>
      <c r="C1012" s="24" t="s">
        <v>25</v>
      </c>
      <c r="D1012" s="24" t="s">
        <v>35</v>
      </c>
      <c r="E1012" s="24" t="s">
        <v>94</v>
      </c>
      <c r="F1012" s="24" t="s">
        <v>42</v>
      </c>
      <c r="G1012" s="31" t="n">
        <v>46220</v>
      </c>
      <c r="H1012" s="24"/>
      <c r="I1012" s="24"/>
      <c r="J1012" s="24"/>
      <c r="K1012" s="24" t="n">
        <v>2</v>
      </c>
      <c r="L1012" s="24" t="str">
        <f aca="false">IF(J1012&lt;&gt;"","Enrolled",IF(I1012&lt;&gt;"","Admitted",IF(H1012&lt;&gt;"","Applied",IF(G1012&lt;&gt;"","Contacted","New"))))</f>
        <v>Contacted</v>
      </c>
      <c r="M1012" s="32" t="n">
        <f aca="false">IF(G1012="","",G1012-B1012)</f>
        <v>1</v>
      </c>
      <c r="N1012" s="24" t="str">
        <f aca="false">IF(COUNTIF($A$2:A1012,A1012)&gt;1,"Duplicate ID",IF(C1012="","Missing source",IF(OR(AND(G1012&lt;&gt;"",G1012&lt;B1012),AND(H1012&lt;&gt;"",H1012&lt;B1012),AND(I1012&lt;&gt;"",I1012&lt;H1012),AND(J1012&lt;&gt;"",J1012&lt;I1012)),"Date error","OK")))</f>
        <v>OK</v>
      </c>
    </row>
    <row r="1013" customFormat="false" ht="15" hidden="false" customHeight="false" outlineLevel="0" collapsed="false">
      <c r="A1013" s="24" t="s">
        <v>1091</v>
      </c>
      <c r="B1013" s="31" t="n">
        <v>46219</v>
      </c>
      <c r="C1013" s="24" t="s">
        <v>22</v>
      </c>
      <c r="D1013" s="24" t="s">
        <v>35</v>
      </c>
      <c r="E1013" s="24" t="s">
        <v>79</v>
      </c>
      <c r="F1013" s="24" t="s">
        <v>44</v>
      </c>
      <c r="G1013" s="31" t="n">
        <v>46219</v>
      </c>
      <c r="H1013" s="24"/>
      <c r="I1013" s="24"/>
      <c r="J1013" s="24"/>
      <c r="K1013" s="24" t="n">
        <v>2</v>
      </c>
      <c r="L1013" s="24" t="str">
        <f aca="false">IF(J1013&lt;&gt;"","Enrolled",IF(I1013&lt;&gt;"","Admitted",IF(H1013&lt;&gt;"","Applied",IF(G1013&lt;&gt;"","Contacted","New"))))</f>
        <v>Contacted</v>
      </c>
      <c r="M1013" s="32" t="n">
        <f aca="false">IF(G1013="","",G1013-B1013)</f>
        <v>0</v>
      </c>
      <c r="N1013" s="24" t="str">
        <f aca="false">IF(COUNTIF($A$2:A1013,A1013)&gt;1,"Duplicate ID",IF(C1013="","Missing source",IF(OR(AND(G1013&lt;&gt;"",G1013&lt;B1013),AND(H1013&lt;&gt;"",H1013&lt;B1013),AND(I1013&lt;&gt;"",I1013&lt;H1013),AND(J1013&lt;&gt;"",J1013&lt;I1013)),"Date error","OK")))</f>
        <v>OK</v>
      </c>
    </row>
    <row r="1014" customFormat="false" ht="15" hidden="false" customHeight="false" outlineLevel="0" collapsed="false">
      <c r="A1014" s="24" t="s">
        <v>1092</v>
      </c>
      <c r="B1014" s="31" t="n">
        <v>46219</v>
      </c>
      <c r="C1014" s="24" t="s">
        <v>22</v>
      </c>
      <c r="D1014" s="24" t="s">
        <v>35</v>
      </c>
      <c r="E1014" s="24" t="s">
        <v>84</v>
      </c>
      <c r="F1014" s="24" t="s">
        <v>43</v>
      </c>
      <c r="G1014" s="31" t="n">
        <v>46222</v>
      </c>
      <c r="H1014" s="31" t="n">
        <v>46230</v>
      </c>
      <c r="I1014" s="31" t="n">
        <v>46235</v>
      </c>
      <c r="J1014" s="31" t="n">
        <v>46263</v>
      </c>
      <c r="K1014" s="24" t="n">
        <v>3</v>
      </c>
      <c r="L1014" s="24" t="str">
        <f aca="false">IF(J1014&lt;&gt;"","Enrolled",IF(I1014&lt;&gt;"","Admitted",IF(H1014&lt;&gt;"","Applied",IF(G1014&lt;&gt;"","Contacted","New"))))</f>
        <v>Enrolled</v>
      </c>
      <c r="M1014" s="32" t="n">
        <f aca="false">IF(G1014="","",G1014-B1014)</f>
        <v>3</v>
      </c>
      <c r="N1014" s="24" t="str">
        <f aca="false">IF(COUNTIF($A$2:A1014,A1014)&gt;1,"Duplicate ID",IF(C1014="","Missing source",IF(OR(AND(G1014&lt;&gt;"",G1014&lt;B1014),AND(H1014&lt;&gt;"",H1014&lt;B1014),AND(I1014&lt;&gt;"",I1014&lt;H1014),AND(J1014&lt;&gt;"",J1014&lt;I1014)),"Date error","OK")))</f>
        <v>OK</v>
      </c>
    </row>
    <row r="1015" customFormat="false" ht="15" hidden="false" customHeight="false" outlineLevel="0" collapsed="false">
      <c r="A1015" s="24" t="s">
        <v>1093</v>
      </c>
      <c r="B1015" s="31" t="n">
        <v>46219</v>
      </c>
      <c r="C1015" s="24" t="s">
        <v>26</v>
      </c>
      <c r="D1015" s="24" t="s">
        <v>32</v>
      </c>
      <c r="E1015" s="24" t="s">
        <v>89</v>
      </c>
      <c r="F1015" s="24" t="s">
        <v>44</v>
      </c>
      <c r="G1015" s="24"/>
      <c r="H1015" s="24"/>
      <c r="I1015" s="24"/>
      <c r="J1015" s="24"/>
      <c r="K1015" s="24" t="n">
        <v>0</v>
      </c>
      <c r="L1015" s="24" t="str">
        <f aca="false">IF(J1015&lt;&gt;"","Enrolled",IF(I1015&lt;&gt;"","Admitted",IF(H1015&lt;&gt;"","Applied",IF(G1015&lt;&gt;"","Contacted","New"))))</f>
        <v>New</v>
      </c>
      <c r="M1015" s="32" t="str">
        <f aca="false">IF(G1015="","",G1015-B1015)</f>
        <v/>
      </c>
      <c r="N1015" s="24" t="str">
        <f aca="false">IF(COUNTIF($A$2:A1015,A1015)&gt;1,"Duplicate ID",IF(C1015="","Missing source",IF(OR(AND(G1015&lt;&gt;"",G1015&lt;B1015),AND(H1015&lt;&gt;"",H1015&lt;B1015),AND(I1015&lt;&gt;"",I1015&lt;H1015),AND(J1015&lt;&gt;"",J1015&lt;I1015)),"Date error","OK")))</f>
        <v>OK</v>
      </c>
    </row>
    <row r="1016" customFormat="false" ht="15" hidden="false" customHeight="false" outlineLevel="0" collapsed="false">
      <c r="A1016" s="24" t="s">
        <v>1094</v>
      </c>
      <c r="B1016" s="31" t="n">
        <v>46219</v>
      </c>
      <c r="C1016" s="24" t="s">
        <v>23</v>
      </c>
      <c r="D1016" s="24" t="s">
        <v>32</v>
      </c>
      <c r="E1016" s="24" t="s">
        <v>94</v>
      </c>
      <c r="F1016" s="24" t="s">
        <v>43</v>
      </c>
      <c r="G1016" s="31" t="n">
        <v>46221</v>
      </c>
      <c r="H1016" s="24"/>
      <c r="I1016" s="24"/>
      <c r="J1016" s="24"/>
      <c r="K1016" s="24" t="n">
        <v>4</v>
      </c>
      <c r="L1016" s="24" t="str">
        <f aca="false">IF(J1016&lt;&gt;"","Enrolled",IF(I1016&lt;&gt;"","Admitted",IF(H1016&lt;&gt;"","Applied",IF(G1016&lt;&gt;"","Contacted","New"))))</f>
        <v>Contacted</v>
      </c>
      <c r="M1016" s="32" t="n">
        <f aca="false">IF(G1016="","",G1016-B1016)</f>
        <v>2</v>
      </c>
      <c r="N1016" s="24" t="str">
        <f aca="false">IF(COUNTIF($A$2:A1016,A1016)&gt;1,"Duplicate ID",IF(C1016="","Missing source",IF(OR(AND(G1016&lt;&gt;"",G1016&lt;B1016),AND(H1016&lt;&gt;"",H1016&lt;B1016),AND(I1016&lt;&gt;"",I1016&lt;H1016),AND(J1016&lt;&gt;"",J1016&lt;I1016)),"Date error","OK")))</f>
        <v>OK</v>
      </c>
    </row>
    <row r="1017" customFormat="false" ht="15" hidden="false" customHeight="false" outlineLevel="0" collapsed="false">
      <c r="A1017" s="24" t="s">
        <v>1095</v>
      </c>
      <c r="B1017" s="31" t="n">
        <v>46219</v>
      </c>
      <c r="C1017" s="24" t="s">
        <v>21</v>
      </c>
      <c r="D1017" s="24" t="s">
        <v>35</v>
      </c>
      <c r="E1017" s="24" t="s">
        <v>79</v>
      </c>
      <c r="F1017" s="24" t="s">
        <v>45</v>
      </c>
      <c r="G1017" s="31" t="n">
        <v>46220</v>
      </c>
      <c r="H1017" s="24"/>
      <c r="I1017" s="24"/>
      <c r="J1017" s="24"/>
      <c r="K1017" s="24" t="n">
        <v>3</v>
      </c>
      <c r="L1017" s="24" t="str">
        <f aca="false">IF(J1017&lt;&gt;"","Enrolled",IF(I1017&lt;&gt;"","Admitted",IF(H1017&lt;&gt;"","Applied",IF(G1017&lt;&gt;"","Contacted","New"))))</f>
        <v>Contacted</v>
      </c>
      <c r="M1017" s="32" t="n">
        <f aca="false">IF(G1017="","",G1017-B1017)</f>
        <v>1</v>
      </c>
      <c r="N1017" s="24" t="str">
        <f aca="false">IF(COUNTIF($A$2:A1017,A1017)&gt;1,"Duplicate ID",IF(C1017="","Missing source",IF(OR(AND(G1017&lt;&gt;"",G1017&lt;B1017),AND(H1017&lt;&gt;"",H1017&lt;B1017),AND(I1017&lt;&gt;"",I1017&lt;H1017),AND(J1017&lt;&gt;"",J1017&lt;I1017)),"Date error","OK")))</f>
        <v>OK</v>
      </c>
    </row>
    <row r="1018" customFormat="false" ht="15" hidden="false" customHeight="false" outlineLevel="0" collapsed="false">
      <c r="A1018" s="24" t="s">
        <v>1096</v>
      </c>
      <c r="B1018" s="31" t="n">
        <v>46219</v>
      </c>
      <c r="C1018" s="24" t="s">
        <v>26</v>
      </c>
      <c r="D1018" s="24" t="s">
        <v>33</v>
      </c>
      <c r="E1018" s="24" t="s">
        <v>81</v>
      </c>
      <c r="F1018" s="24" t="s">
        <v>43</v>
      </c>
      <c r="G1018" s="31" t="n">
        <v>46222</v>
      </c>
      <c r="H1018" s="24"/>
      <c r="I1018" s="24"/>
      <c r="J1018" s="24"/>
      <c r="K1018" s="24" t="n">
        <v>4</v>
      </c>
      <c r="L1018" s="24" t="str">
        <f aca="false">IF(J1018&lt;&gt;"","Enrolled",IF(I1018&lt;&gt;"","Admitted",IF(H1018&lt;&gt;"","Applied",IF(G1018&lt;&gt;"","Contacted","New"))))</f>
        <v>Contacted</v>
      </c>
      <c r="M1018" s="32" t="n">
        <f aca="false">IF(G1018="","",G1018-B1018)</f>
        <v>3</v>
      </c>
      <c r="N1018" s="24" t="str">
        <f aca="false">IF(COUNTIF($A$2:A1018,A1018)&gt;1,"Duplicate ID",IF(C1018="","Missing source",IF(OR(AND(G1018&lt;&gt;"",G1018&lt;B1018),AND(H1018&lt;&gt;"",H1018&lt;B1018),AND(I1018&lt;&gt;"",I1018&lt;H1018),AND(J1018&lt;&gt;"",J1018&lt;I1018)),"Date error","OK")))</f>
        <v>OK</v>
      </c>
    </row>
    <row r="1019" customFormat="false" ht="15" hidden="false" customHeight="false" outlineLevel="0" collapsed="false">
      <c r="A1019" s="24" t="s">
        <v>1097</v>
      </c>
      <c r="B1019" s="31" t="n">
        <v>46219</v>
      </c>
      <c r="C1019" s="24" t="s">
        <v>21</v>
      </c>
      <c r="D1019" s="24" t="s">
        <v>35</v>
      </c>
      <c r="E1019" s="24" t="s">
        <v>89</v>
      </c>
      <c r="F1019" s="24" t="s">
        <v>42</v>
      </c>
      <c r="G1019" s="31" t="n">
        <v>46219</v>
      </c>
      <c r="H1019" s="31" t="n">
        <v>46232</v>
      </c>
      <c r="I1019" s="24"/>
      <c r="J1019" s="24"/>
      <c r="K1019" s="24" t="n">
        <v>2</v>
      </c>
      <c r="L1019" s="24" t="str">
        <f aca="false">IF(J1019&lt;&gt;"","Enrolled",IF(I1019&lt;&gt;"","Admitted",IF(H1019&lt;&gt;"","Applied",IF(G1019&lt;&gt;"","Contacted","New"))))</f>
        <v>Applied</v>
      </c>
      <c r="M1019" s="32" t="n">
        <f aca="false">IF(G1019="","",G1019-B1019)</f>
        <v>0</v>
      </c>
      <c r="N1019" s="24" t="str">
        <f aca="false">IF(COUNTIF($A$2:A1019,A1019)&gt;1,"Duplicate ID",IF(C1019="","Missing source",IF(OR(AND(G1019&lt;&gt;"",G1019&lt;B1019),AND(H1019&lt;&gt;"",H1019&lt;B1019),AND(I1019&lt;&gt;"",I1019&lt;H1019),AND(J1019&lt;&gt;"",J1019&lt;I1019)),"Date error","OK")))</f>
        <v>OK</v>
      </c>
    </row>
    <row r="1020" customFormat="false" ht="15" hidden="false" customHeight="false" outlineLevel="0" collapsed="false">
      <c r="A1020" s="24" t="s">
        <v>1098</v>
      </c>
      <c r="B1020" s="31" t="n">
        <v>46219</v>
      </c>
      <c r="C1020" s="24" t="s">
        <v>22</v>
      </c>
      <c r="D1020" s="24" t="s">
        <v>32</v>
      </c>
      <c r="E1020" s="24" t="s">
        <v>81</v>
      </c>
      <c r="F1020" s="24" t="s">
        <v>43</v>
      </c>
      <c r="G1020" s="31" t="n">
        <v>46220</v>
      </c>
      <c r="H1020" s="31" t="n">
        <v>46244</v>
      </c>
      <c r="I1020" s="31" t="n">
        <v>46249</v>
      </c>
      <c r="J1020" s="24"/>
      <c r="K1020" s="24" t="n">
        <v>1</v>
      </c>
      <c r="L1020" s="24" t="str">
        <f aca="false">IF(J1020&lt;&gt;"","Enrolled",IF(I1020&lt;&gt;"","Admitted",IF(H1020&lt;&gt;"","Applied",IF(G1020&lt;&gt;"","Contacted","New"))))</f>
        <v>Admitted</v>
      </c>
      <c r="M1020" s="32" t="n">
        <f aca="false">IF(G1020="","",G1020-B1020)</f>
        <v>1</v>
      </c>
      <c r="N1020" s="24" t="str">
        <f aca="false">IF(COUNTIF($A$2:A1020,A1020)&gt;1,"Duplicate ID",IF(C1020="","Missing source",IF(OR(AND(G1020&lt;&gt;"",G1020&lt;B1020),AND(H1020&lt;&gt;"",H1020&lt;B1020),AND(I1020&lt;&gt;"",I1020&lt;H1020),AND(J1020&lt;&gt;"",J1020&lt;I1020)),"Date error","OK")))</f>
        <v>OK</v>
      </c>
    </row>
    <row r="1021" customFormat="false" ht="15" hidden="false" customHeight="false" outlineLevel="0" collapsed="false">
      <c r="A1021" s="24" t="s">
        <v>1099</v>
      </c>
      <c r="B1021" s="31" t="n">
        <v>46219</v>
      </c>
      <c r="C1021" s="24" t="s">
        <v>26</v>
      </c>
      <c r="D1021" s="24" t="s">
        <v>35</v>
      </c>
      <c r="E1021" s="24" t="s">
        <v>89</v>
      </c>
      <c r="F1021" s="24" t="s">
        <v>43</v>
      </c>
      <c r="G1021" s="24"/>
      <c r="H1021" s="24"/>
      <c r="I1021" s="24"/>
      <c r="J1021" s="24"/>
      <c r="K1021" s="24" t="n">
        <v>0</v>
      </c>
      <c r="L1021" s="24" t="str">
        <f aca="false">IF(J1021&lt;&gt;"","Enrolled",IF(I1021&lt;&gt;"","Admitted",IF(H1021&lt;&gt;"","Applied",IF(G1021&lt;&gt;"","Contacted","New"))))</f>
        <v>New</v>
      </c>
      <c r="M1021" s="32" t="str">
        <f aca="false">IF(G1021="","",G1021-B1021)</f>
        <v/>
      </c>
      <c r="N1021" s="24" t="str">
        <f aca="false">IF(COUNTIF($A$2:A1021,A1021)&gt;1,"Duplicate ID",IF(C1021="","Missing source",IF(OR(AND(G1021&lt;&gt;"",G1021&lt;B1021),AND(H1021&lt;&gt;"",H1021&lt;B1021),AND(I1021&lt;&gt;"",I1021&lt;H1021),AND(J1021&lt;&gt;"",J1021&lt;I1021)),"Date error","OK")))</f>
        <v>OK</v>
      </c>
    </row>
    <row r="1022" customFormat="false" ht="15" hidden="false" customHeight="false" outlineLevel="0" collapsed="false">
      <c r="A1022" s="24" t="s">
        <v>1100</v>
      </c>
      <c r="B1022" s="31" t="n">
        <v>46219</v>
      </c>
      <c r="C1022" s="24" t="s">
        <v>26</v>
      </c>
      <c r="D1022" s="24" t="s">
        <v>32</v>
      </c>
      <c r="E1022" s="24" t="s">
        <v>89</v>
      </c>
      <c r="F1022" s="24" t="s">
        <v>45</v>
      </c>
      <c r="G1022" s="31" t="n">
        <v>46219</v>
      </c>
      <c r="H1022" s="24"/>
      <c r="I1022" s="24"/>
      <c r="J1022" s="24"/>
      <c r="K1022" s="24" t="n">
        <v>2</v>
      </c>
      <c r="L1022" s="24" t="str">
        <f aca="false">IF(J1022&lt;&gt;"","Enrolled",IF(I1022&lt;&gt;"","Admitted",IF(H1022&lt;&gt;"","Applied",IF(G1022&lt;&gt;"","Contacted","New"))))</f>
        <v>Contacted</v>
      </c>
      <c r="M1022" s="32" t="n">
        <f aca="false">IF(G1022="","",G1022-B1022)</f>
        <v>0</v>
      </c>
      <c r="N1022" s="24" t="str">
        <f aca="false">IF(COUNTIF($A$2:A1022,A1022)&gt;1,"Duplicate ID",IF(C1022="","Missing source",IF(OR(AND(G1022&lt;&gt;"",G1022&lt;B1022),AND(H1022&lt;&gt;"",H1022&lt;B1022),AND(I1022&lt;&gt;"",I1022&lt;H1022),AND(J1022&lt;&gt;"",J1022&lt;I1022)),"Date error","OK")))</f>
        <v>OK</v>
      </c>
    </row>
    <row r="1023" customFormat="false" ht="15" hidden="false" customHeight="false" outlineLevel="0" collapsed="false">
      <c r="A1023" s="24" t="s">
        <v>1101</v>
      </c>
      <c r="B1023" s="31" t="n">
        <v>46219</v>
      </c>
      <c r="C1023" s="24" t="s">
        <v>23</v>
      </c>
      <c r="D1023" s="24" t="s">
        <v>34</v>
      </c>
      <c r="E1023" s="24" t="s">
        <v>94</v>
      </c>
      <c r="F1023" s="24" t="s">
        <v>40</v>
      </c>
      <c r="G1023" s="31" t="n">
        <v>46219</v>
      </c>
      <c r="H1023" s="24"/>
      <c r="I1023" s="24"/>
      <c r="J1023" s="24"/>
      <c r="K1023" s="24" t="n">
        <v>0</v>
      </c>
      <c r="L1023" s="24" t="str">
        <f aca="false">IF(J1023&lt;&gt;"","Enrolled",IF(I1023&lt;&gt;"","Admitted",IF(H1023&lt;&gt;"","Applied",IF(G1023&lt;&gt;"","Contacted","New"))))</f>
        <v>Contacted</v>
      </c>
      <c r="M1023" s="32" t="n">
        <f aca="false">IF(G1023="","",G1023-B1023)</f>
        <v>0</v>
      </c>
      <c r="N1023" s="24" t="str">
        <f aca="false">IF(COUNTIF($A$2:A1023,A1023)&gt;1,"Duplicate ID",IF(C1023="","Missing source",IF(OR(AND(G1023&lt;&gt;"",G1023&lt;B1023),AND(H1023&lt;&gt;"",H1023&lt;B1023),AND(I1023&lt;&gt;"",I1023&lt;H1023),AND(J1023&lt;&gt;"",J1023&lt;I1023)),"Date error","OK")))</f>
        <v>OK</v>
      </c>
    </row>
    <row r="1024" customFormat="false" ht="15" hidden="false" customHeight="false" outlineLevel="0" collapsed="false">
      <c r="A1024" s="24" t="s">
        <v>1102</v>
      </c>
      <c r="B1024" s="31" t="n">
        <v>46220</v>
      </c>
      <c r="C1024" s="24" t="s">
        <v>27</v>
      </c>
      <c r="D1024" s="24" t="s">
        <v>35</v>
      </c>
      <c r="E1024" s="24" t="s">
        <v>94</v>
      </c>
      <c r="F1024" s="24" t="s">
        <v>42</v>
      </c>
      <c r="G1024" s="31" t="n">
        <v>46221</v>
      </c>
      <c r="H1024" s="24"/>
      <c r="I1024" s="24"/>
      <c r="J1024" s="24"/>
      <c r="K1024" s="24" t="n">
        <v>4</v>
      </c>
      <c r="L1024" s="24" t="str">
        <f aca="false">IF(J1024&lt;&gt;"","Enrolled",IF(I1024&lt;&gt;"","Admitted",IF(H1024&lt;&gt;"","Applied",IF(G1024&lt;&gt;"","Contacted","New"))))</f>
        <v>Contacted</v>
      </c>
      <c r="M1024" s="32" t="n">
        <f aca="false">IF(G1024="","",G1024-B1024)</f>
        <v>1</v>
      </c>
      <c r="N1024" s="24" t="str">
        <f aca="false">IF(COUNTIF($A$2:A1024,A1024)&gt;1,"Duplicate ID",IF(C1024="","Missing source",IF(OR(AND(G1024&lt;&gt;"",G1024&lt;B1024),AND(H1024&lt;&gt;"",H1024&lt;B1024),AND(I1024&lt;&gt;"",I1024&lt;H1024),AND(J1024&lt;&gt;"",J1024&lt;I1024)),"Date error","OK")))</f>
        <v>OK</v>
      </c>
    </row>
    <row r="1025" customFormat="false" ht="15" hidden="false" customHeight="false" outlineLevel="0" collapsed="false">
      <c r="A1025" s="24" t="s">
        <v>1103</v>
      </c>
      <c r="B1025" s="31" t="n">
        <v>46220</v>
      </c>
      <c r="C1025" s="24" t="s">
        <v>25</v>
      </c>
      <c r="D1025" s="24" t="s">
        <v>33</v>
      </c>
      <c r="E1025" s="24" t="s">
        <v>89</v>
      </c>
      <c r="F1025" s="24" t="s">
        <v>45</v>
      </c>
      <c r="G1025" s="31" t="n">
        <v>46220</v>
      </c>
      <c r="H1025" s="24"/>
      <c r="I1025" s="24"/>
      <c r="J1025" s="24"/>
      <c r="K1025" s="24" t="n">
        <v>3</v>
      </c>
      <c r="L1025" s="24" t="str">
        <f aca="false">IF(J1025&lt;&gt;"","Enrolled",IF(I1025&lt;&gt;"","Admitted",IF(H1025&lt;&gt;"","Applied",IF(G1025&lt;&gt;"","Contacted","New"))))</f>
        <v>Contacted</v>
      </c>
      <c r="M1025" s="32" t="n">
        <f aca="false">IF(G1025="","",G1025-B1025)</f>
        <v>0</v>
      </c>
      <c r="N1025" s="24" t="str">
        <f aca="false">IF(COUNTIF($A$2:A1025,A1025)&gt;1,"Duplicate ID",IF(C1025="","Missing source",IF(OR(AND(G1025&lt;&gt;"",G1025&lt;B1025),AND(H1025&lt;&gt;"",H1025&lt;B1025),AND(I1025&lt;&gt;"",I1025&lt;H1025),AND(J1025&lt;&gt;"",J1025&lt;I1025)),"Date error","OK")))</f>
        <v>OK</v>
      </c>
    </row>
    <row r="1026" customFormat="false" ht="15" hidden="false" customHeight="false" outlineLevel="0" collapsed="false">
      <c r="A1026" s="24" t="s">
        <v>1104</v>
      </c>
      <c r="B1026" s="31" t="n">
        <v>46220</v>
      </c>
      <c r="C1026" s="24" t="s">
        <v>22</v>
      </c>
      <c r="D1026" s="24" t="s">
        <v>34</v>
      </c>
      <c r="E1026" s="24" t="s">
        <v>79</v>
      </c>
      <c r="F1026" s="24" t="s">
        <v>44</v>
      </c>
      <c r="G1026" s="31" t="n">
        <v>46222</v>
      </c>
      <c r="H1026" s="31" t="n">
        <v>46241</v>
      </c>
      <c r="I1026" s="24"/>
      <c r="J1026" s="24"/>
      <c r="K1026" s="24" t="n">
        <v>1</v>
      </c>
      <c r="L1026" s="24" t="str">
        <f aca="false">IF(J1026&lt;&gt;"","Enrolled",IF(I1026&lt;&gt;"","Admitted",IF(H1026&lt;&gt;"","Applied",IF(G1026&lt;&gt;"","Contacted","New"))))</f>
        <v>Applied</v>
      </c>
      <c r="M1026" s="32" t="n">
        <f aca="false">IF(G1026="","",G1026-B1026)</f>
        <v>2</v>
      </c>
      <c r="N1026" s="24" t="str">
        <f aca="false">IF(COUNTIF($A$2:A1026,A1026)&gt;1,"Duplicate ID",IF(C1026="","Missing source",IF(OR(AND(G1026&lt;&gt;"",G1026&lt;B1026),AND(H1026&lt;&gt;"",H1026&lt;B1026),AND(I1026&lt;&gt;"",I1026&lt;H1026),AND(J1026&lt;&gt;"",J1026&lt;I1026)),"Date error","OK")))</f>
        <v>OK</v>
      </c>
    </row>
    <row r="1027" customFormat="false" ht="15" hidden="false" customHeight="false" outlineLevel="0" collapsed="false">
      <c r="A1027" s="24" t="s">
        <v>1105</v>
      </c>
      <c r="B1027" s="31" t="n">
        <v>46220</v>
      </c>
      <c r="C1027" s="24" t="s">
        <v>26</v>
      </c>
      <c r="D1027" s="24" t="s">
        <v>32</v>
      </c>
      <c r="E1027" s="24" t="s">
        <v>81</v>
      </c>
      <c r="F1027" s="24" t="s">
        <v>41</v>
      </c>
      <c r="G1027" s="31" t="n">
        <v>46220</v>
      </c>
      <c r="H1027" s="24"/>
      <c r="I1027" s="24"/>
      <c r="J1027" s="24"/>
      <c r="K1027" s="24" t="n">
        <v>3</v>
      </c>
      <c r="L1027" s="24" t="str">
        <f aca="false">IF(J1027&lt;&gt;"","Enrolled",IF(I1027&lt;&gt;"","Admitted",IF(H1027&lt;&gt;"","Applied",IF(G1027&lt;&gt;"","Contacted","New"))))</f>
        <v>Contacted</v>
      </c>
      <c r="M1027" s="32" t="n">
        <f aca="false">IF(G1027="","",G1027-B1027)</f>
        <v>0</v>
      </c>
      <c r="N1027" s="24" t="str">
        <f aca="false">IF(COUNTIF($A$2:A1027,A1027)&gt;1,"Duplicate ID",IF(C1027="","Missing source",IF(OR(AND(G1027&lt;&gt;"",G1027&lt;B1027),AND(H1027&lt;&gt;"",H1027&lt;B1027),AND(I1027&lt;&gt;"",I1027&lt;H1027),AND(J1027&lt;&gt;"",J1027&lt;I1027)),"Date error","OK")))</f>
        <v>OK</v>
      </c>
    </row>
    <row r="1028" customFormat="false" ht="15" hidden="false" customHeight="false" outlineLevel="0" collapsed="false">
      <c r="A1028" s="24" t="s">
        <v>1106</v>
      </c>
      <c r="B1028" s="31" t="n">
        <v>46220</v>
      </c>
      <c r="C1028" s="24" t="s">
        <v>27</v>
      </c>
      <c r="D1028" s="24" t="s">
        <v>33</v>
      </c>
      <c r="E1028" s="24" t="s">
        <v>89</v>
      </c>
      <c r="F1028" s="24" t="s">
        <v>43</v>
      </c>
      <c r="G1028" s="31" t="n">
        <v>46225</v>
      </c>
      <c r="H1028" s="24"/>
      <c r="I1028" s="24"/>
      <c r="J1028" s="24"/>
      <c r="K1028" s="24" t="n">
        <v>2</v>
      </c>
      <c r="L1028" s="24" t="str">
        <f aca="false">IF(J1028&lt;&gt;"","Enrolled",IF(I1028&lt;&gt;"","Admitted",IF(H1028&lt;&gt;"","Applied",IF(G1028&lt;&gt;"","Contacted","New"))))</f>
        <v>Contacted</v>
      </c>
      <c r="M1028" s="32" t="n">
        <f aca="false">IF(G1028="","",G1028-B1028)</f>
        <v>5</v>
      </c>
      <c r="N1028" s="24" t="str">
        <f aca="false">IF(COUNTIF($A$2:A1028,A1028)&gt;1,"Duplicate ID",IF(C1028="","Missing source",IF(OR(AND(G1028&lt;&gt;"",G1028&lt;B1028),AND(H1028&lt;&gt;"",H1028&lt;B1028),AND(I1028&lt;&gt;"",I1028&lt;H1028),AND(J1028&lt;&gt;"",J1028&lt;I1028)),"Date error","OK")))</f>
        <v>OK</v>
      </c>
    </row>
    <row r="1029" customFormat="false" ht="15" hidden="false" customHeight="false" outlineLevel="0" collapsed="false">
      <c r="A1029" s="24" t="s">
        <v>1107</v>
      </c>
      <c r="B1029" s="31" t="n">
        <v>46220</v>
      </c>
      <c r="C1029" s="24" t="s">
        <v>26</v>
      </c>
      <c r="D1029" s="24" t="s">
        <v>34</v>
      </c>
      <c r="E1029" s="24" t="s">
        <v>89</v>
      </c>
      <c r="F1029" s="24" t="s">
        <v>43</v>
      </c>
      <c r="G1029" s="31" t="n">
        <v>46221</v>
      </c>
      <c r="H1029" s="24"/>
      <c r="I1029" s="24"/>
      <c r="J1029" s="24"/>
      <c r="K1029" s="24" t="n">
        <v>3</v>
      </c>
      <c r="L1029" s="24" t="str">
        <f aca="false">IF(J1029&lt;&gt;"","Enrolled",IF(I1029&lt;&gt;"","Admitted",IF(H1029&lt;&gt;"","Applied",IF(G1029&lt;&gt;"","Contacted","New"))))</f>
        <v>Contacted</v>
      </c>
      <c r="M1029" s="32" t="n">
        <f aca="false">IF(G1029="","",G1029-B1029)</f>
        <v>1</v>
      </c>
      <c r="N1029" s="24" t="str">
        <f aca="false">IF(COUNTIF($A$2:A1029,A1029)&gt;1,"Duplicate ID",IF(C1029="","Missing source",IF(OR(AND(G1029&lt;&gt;"",G1029&lt;B1029),AND(H1029&lt;&gt;"",H1029&lt;B1029),AND(I1029&lt;&gt;"",I1029&lt;H1029),AND(J1029&lt;&gt;"",J1029&lt;I1029)),"Date error","OK")))</f>
        <v>OK</v>
      </c>
    </row>
    <row r="1030" customFormat="false" ht="15" hidden="false" customHeight="false" outlineLevel="0" collapsed="false">
      <c r="A1030" s="24" t="s">
        <v>1108</v>
      </c>
      <c r="B1030" s="31" t="n">
        <v>46220</v>
      </c>
      <c r="C1030" s="24" t="s">
        <v>26</v>
      </c>
      <c r="D1030" s="24" t="s">
        <v>33</v>
      </c>
      <c r="E1030" s="24" t="s">
        <v>89</v>
      </c>
      <c r="F1030" s="24" t="s">
        <v>44</v>
      </c>
      <c r="G1030" s="31" t="n">
        <v>46234</v>
      </c>
      <c r="H1030" s="24"/>
      <c r="I1030" s="24"/>
      <c r="J1030" s="24"/>
      <c r="K1030" s="24" t="n">
        <v>2</v>
      </c>
      <c r="L1030" s="24" t="str">
        <f aca="false">IF(J1030&lt;&gt;"","Enrolled",IF(I1030&lt;&gt;"","Admitted",IF(H1030&lt;&gt;"","Applied",IF(G1030&lt;&gt;"","Contacted","New"))))</f>
        <v>Contacted</v>
      </c>
      <c r="M1030" s="32" t="n">
        <f aca="false">IF(G1030="","",G1030-B1030)</f>
        <v>14</v>
      </c>
      <c r="N1030" s="24" t="str">
        <f aca="false">IF(COUNTIF($A$2:A1030,A1030)&gt;1,"Duplicate ID",IF(C1030="","Missing source",IF(OR(AND(G1030&lt;&gt;"",G1030&lt;B1030),AND(H1030&lt;&gt;"",H1030&lt;B1030),AND(I1030&lt;&gt;"",I1030&lt;H1030),AND(J1030&lt;&gt;"",J1030&lt;I1030)),"Date error","OK")))</f>
        <v>OK</v>
      </c>
    </row>
    <row r="1031" customFormat="false" ht="15" hidden="false" customHeight="false" outlineLevel="0" collapsed="false">
      <c r="A1031" s="24" t="s">
        <v>1109</v>
      </c>
      <c r="B1031" s="31" t="n">
        <v>46220</v>
      </c>
      <c r="C1031" s="24" t="s">
        <v>27</v>
      </c>
      <c r="D1031" s="24" t="s">
        <v>36</v>
      </c>
      <c r="E1031" s="24" t="s">
        <v>79</v>
      </c>
      <c r="F1031" s="24" t="s">
        <v>40</v>
      </c>
      <c r="G1031" s="31" t="n">
        <v>46220</v>
      </c>
      <c r="H1031" s="31" t="n">
        <v>46238</v>
      </c>
      <c r="I1031" s="31" t="n">
        <v>46246</v>
      </c>
      <c r="J1031" s="24"/>
      <c r="K1031" s="24" t="n">
        <v>3</v>
      </c>
      <c r="L1031" s="24" t="str">
        <f aca="false">IF(J1031&lt;&gt;"","Enrolled",IF(I1031&lt;&gt;"","Admitted",IF(H1031&lt;&gt;"","Applied",IF(G1031&lt;&gt;"","Contacted","New"))))</f>
        <v>Admitted</v>
      </c>
      <c r="M1031" s="32" t="n">
        <f aca="false">IF(G1031="","",G1031-B1031)</f>
        <v>0</v>
      </c>
      <c r="N1031" s="24" t="str">
        <f aca="false">IF(COUNTIF($A$2:A1031,A1031)&gt;1,"Duplicate ID",IF(C1031="","Missing source",IF(OR(AND(G1031&lt;&gt;"",G1031&lt;B1031),AND(H1031&lt;&gt;"",H1031&lt;B1031),AND(I1031&lt;&gt;"",I1031&lt;H1031),AND(J1031&lt;&gt;"",J1031&lt;I1031)),"Date error","OK")))</f>
        <v>OK</v>
      </c>
    </row>
    <row r="1032" customFormat="false" ht="15" hidden="false" customHeight="false" outlineLevel="0" collapsed="false">
      <c r="A1032" s="24" t="s">
        <v>1110</v>
      </c>
      <c r="B1032" s="31" t="n">
        <v>46220</v>
      </c>
      <c r="C1032" s="24" t="s">
        <v>23</v>
      </c>
      <c r="D1032" s="24" t="s">
        <v>32</v>
      </c>
      <c r="E1032" s="24" t="s">
        <v>84</v>
      </c>
      <c r="F1032" s="24" t="s">
        <v>44</v>
      </c>
      <c r="G1032" s="31" t="n">
        <v>46223</v>
      </c>
      <c r="H1032" s="24"/>
      <c r="I1032" s="24"/>
      <c r="J1032" s="24"/>
      <c r="K1032" s="24" t="n">
        <v>4</v>
      </c>
      <c r="L1032" s="24" t="str">
        <f aca="false">IF(J1032&lt;&gt;"","Enrolled",IF(I1032&lt;&gt;"","Admitted",IF(H1032&lt;&gt;"","Applied",IF(G1032&lt;&gt;"","Contacted","New"))))</f>
        <v>Contacted</v>
      </c>
      <c r="M1032" s="32" t="n">
        <f aca="false">IF(G1032="","",G1032-B1032)</f>
        <v>3</v>
      </c>
      <c r="N1032" s="24" t="str">
        <f aca="false">IF(COUNTIF($A$2:A1032,A1032)&gt;1,"Duplicate ID",IF(C1032="","Missing source",IF(OR(AND(G1032&lt;&gt;"",G1032&lt;B1032),AND(H1032&lt;&gt;"",H1032&lt;B1032),AND(I1032&lt;&gt;"",I1032&lt;H1032),AND(J1032&lt;&gt;"",J1032&lt;I1032)),"Date error","OK")))</f>
        <v>OK</v>
      </c>
    </row>
    <row r="1033" customFormat="false" ht="15" hidden="false" customHeight="false" outlineLevel="0" collapsed="false">
      <c r="A1033" s="24" t="s">
        <v>1111</v>
      </c>
      <c r="B1033" s="31" t="n">
        <v>46220</v>
      </c>
      <c r="C1033" s="24" t="s">
        <v>21</v>
      </c>
      <c r="D1033" s="24" t="s">
        <v>32</v>
      </c>
      <c r="E1033" s="24" t="s">
        <v>89</v>
      </c>
      <c r="F1033" s="24" t="s">
        <v>41</v>
      </c>
      <c r="G1033" s="31" t="n">
        <v>46220</v>
      </c>
      <c r="H1033" s="31" t="n">
        <v>46223</v>
      </c>
      <c r="I1033" s="31" t="n">
        <v>46236</v>
      </c>
      <c r="J1033" s="31" t="n">
        <v>46245</v>
      </c>
      <c r="K1033" s="24" t="n">
        <v>3</v>
      </c>
      <c r="L1033" s="24" t="str">
        <f aca="false">IF(J1033&lt;&gt;"","Enrolled",IF(I1033&lt;&gt;"","Admitted",IF(H1033&lt;&gt;"","Applied",IF(G1033&lt;&gt;"","Contacted","New"))))</f>
        <v>Enrolled</v>
      </c>
      <c r="M1033" s="32" t="n">
        <f aca="false">IF(G1033="","",G1033-B1033)</f>
        <v>0</v>
      </c>
      <c r="N1033" s="24" t="str">
        <f aca="false">IF(COUNTIF($A$2:A1033,A1033)&gt;1,"Duplicate ID",IF(C1033="","Missing source",IF(OR(AND(G1033&lt;&gt;"",G1033&lt;B1033),AND(H1033&lt;&gt;"",H1033&lt;B1033),AND(I1033&lt;&gt;"",I1033&lt;H1033),AND(J1033&lt;&gt;"",J1033&lt;I1033)),"Date error","OK")))</f>
        <v>OK</v>
      </c>
    </row>
    <row r="1034" customFormat="false" ht="15" hidden="false" customHeight="false" outlineLevel="0" collapsed="false">
      <c r="A1034" s="24" t="s">
        <v>1112</v>
      </c>
      <c r="B1034" s="31" t="n">
        <v>46220</v>
      </c>
      <c r="C1034" s="24" t="s">
        <v>27</v>
      </c>
      <c r="D1034" s="24" t="s">
        <v>32</v>
      </c>
      <c r="E1034" s="24" t="s">
        <v>89</v>
      </c>
      <c r="F1034" s="24" t="s">
        <v>45</v>
      </c>
      <c r="G1034" s="31" t="n">
        <v>46221</v>
      </c>
      <c r="H1034" s="24"/>
      <c r="I1034" s="24"/>
      <c r="J1034" s="24"/>
      <c r="K1034" s="24" t="n">
        <v>4</v>
      </c>
      <c r="L1034" s="24" t="str">
        <f aca="false">IF(J1034&lt;&gt;"","Enrolled",IF(I1034&lt;&gt;"","Admitted",IF(H1034&lt;&gt;"","Applied",IF(G1034&lt;&gt;"","Contacted","New"))))</f>
        <v>Contacted</v>
      </c>
      <c r="M1034" s="32" t="n">
        <f aca="false">IF(G1034="","",G1034-B1034)</f>
        <v>1</v>
      </c>
      <c r="N1034" s="24" t="str">
        <f aca="false">IF(COUNTIF($A$2:A1034,A1034)&gt;1,"Duplicate ID",IF(C1034="","Missing source",IF(OR(AND(G1034&lt;&gt;"",G1034&lt;B1034),AND(H1034&lt;&gt;"",H1034&lt;B1034),AND(I1034&lt;&gt;"",I1034&lt;H1034),AND(J1034&lt;&gt;"",J1034&lt;I1034)),"Date error","OK")))</f>
        <v>OK</v>
      </c>
    </row>
    <row r="1035" customFormat="false" ht="15" hidden="false" customHeight="false" outlineLevel="0" collapsed="false">
      <c r="A1035" s="24" t="s">
        <v>1113</v>
      </c>
      <c r="B1035" s="31" t="n">
        <v>46220</v>
      </c>
      <c r="C1035" s="24" t="s">
        <v>23</v>
      </c>
      <c r="D1035" s="24" t="s">
        <v>36</v>
      </c>
      <c r="E1035" s="24" t="s">
        <v>89</v>
      </c>
      <c r="F1035" s="24" t="s">
        <v>42</v>
      </c>
      <c r="G1035" s="31" t="n">
        <v>46221</v>
      </c>
      <c r="H1035" s="24"/>
      <c r="I1035" s="24"/>
      <c r="J1035" s="24"/>
      <c r="K1035" s="24" t="n">
        <v>1</v>
      </c>
      <c r="L1035" s="24" t="str">
        <f aca="false">IF(J1035&lt;&gt;"","Enrolled",IF(I1035&lt;&gt;"","Admitted",IF(H1035&lt;&gt;"","Applied",IF(G1035&lt;&gt;"","Contacted","New"))))</f>
        <v>Contacted</v>
      </c>
      <c r="M1035" s="32" t="n">
        <f aca="false">IF(G1035="","",G1035-B1035)</f>
        <v>1</v>
      </c>
      <c r="N1035" s="24" t="str">
        <f aca="false">IF(COUNTIF($A$2:A1035,A1035)&gt;1,"Duplicate ID",IF(C1035="","Missing source",IF(OR(AND(G1035&lt;&gt;"",G1035&lt;B1035),AND(H1035&lt;&gt;"",H1035&lt;B1035),AND(I1035&lt;&gt;"",I1035&lt;H1035),AND(J1035&lt;&gt;"",J1035&lt;I1035)),"Date error","OK")))</f>
        <v>OK</v>
      </c>
    </row>
    <row r="1036" customFormat="false" ht="15" hidden="false" customHeight="false" outlineLevel="0" collapsed="false">
      <c r="A1036" s="24" t="s">
        <v>1114</v>
      </c>
      <c r="B1036" s="31" t="n">
        <v>46220</v>
      </c>
      <c r="C1036" s="24" t="s">
        <v>24</v>
      </c>
      <c r="D1036" s="24" t="s">
        <v>34</v>
      </c>
      <c r="E1036" s="24" t="s">
        <v>79</v>
      </c>
      <c r="F1036" s="24" t="s">
        <v>45</v>
      </c>
      <c r="G1036" s="31" t="n">
        <v>46220</v>
      </c>
      <c r="H1036" s="24"/>
      <c r="I1036" s="24"/>
      <c r="J1036" s="24"/>
      <c r="K1036" s="24" t="n">
        <v>2</v>
      </c>
      <c r="L1036" s="24" t="str">
        <f aca="false">IF(J1036&lt;&gt;"","Enrolled",IF(I1036&lt;&gt;"","Admitted",IF(H1036&lt;&gt;"","Applied",IF(G1036&lt;&gt;"","Contacted","New"))))</f>
        <v>Contacted</v>
      </c>
      <c r="M1036" s="32" t="n">
        <f aca="false">IF(G1036="","",G1036-B1036)</f>
        <v>0</v>
      </c>
      <c r="N1036" s="24" t="str">
        <f aca="false">IF(COUNTIF($A$2:A1036,A1036)&gt;1,"Duplicate ID",IF(C1036="","Missing source",IF(OR(AND(G1036&lt;&gt;"",G1036&lt;B1036),AND(H1036&lt;&gt;"",H1036&lt;B1036),AND(I1036&lt;&gt;"",I1036&lt;H1036),AND(J1036&lt;&gt;"",J1036&lt;I1036)),"Date error","OK")))</f>
        <v>OK</v>
      </c>
    </row>
    <row r="1037" customFormat="false" ht="15" hidden="false" customHeight="false" outlineLevel="0" collapsed="false">
      <c r="A1037" s="24" t="s">
        <v>1115</v>
      </c>
      <c r="B1037" s="31" t="n">
        <v>46221</v>
      </c>
      <c r="C1037" s="24" t="s">
        <v>21</v>
      </c>
      <c r="D1037" s="24" t="s">
        <v>32</v>
      </c>
      <c r="E1037" s="24" t="s">
        <v>89</v>
      </c>
      <c r="F1037" s="24" t="s">
        <v>43</v>
      </c>
      <c r="G1037" s="31" t="n">
        <v>46221</v>
      </c>
      <c r="H1037" s="24"/>
      <c r="I1037" s="24"/>
      <c r="J1037" s="24"/>
      <c r="K1037" s="24" t="n">
        <v>6</v>
      </c>
      <c r="L1037" s="24" t="str">
        <f aca="false">IF(J1037&lt;&gt;"","Enrolled",IF(I1037&lt;&gt;"","Admitted",IF(H1037&lt;&gt;"","Applied",IF(G1037&lt;&gt;"","Contacted","New"))))</f>
        <v>Contacted</v>
      </c>
      <c r="M1037" s="32" t="n">
        <f aca="false">IF(G1037="","",G1037-B1037)</f>
        <v>0</v>
      </c>
      <c r="N1037" s="24" t="str">
        <f aca="false">IF(COUNTIF($A$2:A1037,A1037)&gt;1,"Duplicate ID",IF(C1037="","Missing source",IF(OR(AND(G1037&lt;&gt;"",G1037&lt;B1037),AND(H1037&lt;&gt;"",H1037&lt;B1037),AND(I1037&lt;&gt;"",I1037&lt;H1037),AND(J1037&lt;&gt;"",J1037&lt;I1037)),"Date error","OK")))</f>
        <v>OK</v>
      </c>
    </row>
    <row r="1038" customFormat="false" ht="15" hidden="false" customHeight="false" outlineLevel="0" collapsed="false">
      <c r="A1038" s="24" t="s">
        <v>1116</v>
      </c>
      <c r="B1038" s="31" t="n">
        <v>46221</v>
      </c>
      <c r="C1038" s="24" t="s">
        <v>24</v>
      </c>
      <c r="D1038" s="24" t="s">
        <v>32</v>
      </c>
      <c r="E1038" s="24" t="s">
        <v>89</v>
      </c>
      <c r="F1038" s="24" t="s">
        <v>44</v>
      </c>
      <c r="G1038" s="31" t="n">
        <v>46235</v>
      </c>
      <c r="H1038" s="24"/>
      <c r="I1038" s="24"/>
      <c r="J1038" s="24"/>
      <c r="K1038" s="24" t="n">
        <v>2</v>
      </c>
      <c r="L1038" s="24" t="str">
        <f aca="false">IF(J1038&lt;&gt;"","Enrolled",IF(I1038&lt;&gt;"","Admitted",IF(H1038&lt;&gt;"","Applied",IF(G1038&lt;&gt;"","Contacted","New"))))</f>
        <v>Contacted</v>
      </c>
      <c r="M1038" s="32" t="n">
        <f aca="false">IF(G1038="","",G1038-B1038)</f>
        <v>14</v>
      </c>
      <c r="N1038" s="24" t="str">
        <f aca="false">IF(COUNTIF($A$2:A1038,A1038)&gt;1,"Duplicate ID",IF(C1038="","Missing source",IF(OR(AND(G1038&lt;&gt;"",G1038&lt;B1038),AND(H1038&lt;&gt;"",H1038&lt;B1038),AND(I1038&lt;&gt;"",I1038&lt;H1038),AND(J1038&lt;&gt;"",J1038&lt;I1038)),"Date error","OK")))</f>
        <v>OK</v>
      </c>
    </row>
    <row r="1039" customFormat="false" ht="15" hidden="false" customHeight="false" outlineLevel="0" collapsed="false">
      <c r="A1039" s="24" t="s">
        <v>1117</v>
      </c>
      <c r="B1039" s="31" t="n">
        <v>46221</v>
      </c>
      <c r="C1039" s="24" t="s">
        <v>26</v>
      </c>
      <c r="D1039" s="24" t="s">
        <v>36</v>
      </c>
      <c r="E1039" s="24" t="s">
        <v>89</v>
      </c>
      <c r="F1039" s="24" t="s">
        <v>40</v>
      </c>
      <c r="G1039" s="31" t="n">
        <v>46221</v>
      </c>
      <c r="H1039" s="31" t="n">
        <v>46224</v>
      </c>
      <c r="I1039" s="31" t="n">
        <v>46230</v>
      </c>
      <c r="J1039" s="31" t="n">
        <v>46252</v>
      </c>
      <c r="K1039" s="24" t="n">
        <v>3</v>
      </c>
      <c r="L1039" s="24" t="str">
        <f aca="false">IF(J1039&lt;&gt;"","Enrolled",IF(I1039&lt;&gt;"","Admitted",IF(H1039&lt;&gt;"","Applied",IF(G1039&lt;&gt;"","Contacted","New"))))</f>
        <v>Enrolled</v>
      </c>
      <c r="M1039" s="32" t="n">
        <f aca="false">IF(G1039="","",G1039-B1039)</f>
        <v>0</v>
      </c>
      <c r="N1039" s="24" t="str">
        <f aca="false">IF(COUNTIF($A$2:A1039,A1039)&gt;1,"Duplicate ID",IF(C1039="","Missing source",IF(OR(AND(G1039&lt;&gt;"",G1039&lt;B1039),AND(H1039&lt;&gt;"",H1039&lt;B1039),AND(I1039&lt;&gt;"",I1039&lt;H1039),AND(J1039&lt;&gt;"",J1039&lt;I1039)),"Date error","OK")))</f>
        <v>OK</v>
      </c>
    </row>
    <row r="1040" customFormat="false" ht="15" hidden="false" customHeight="false" outlineLevel="0" collapsed="false">
      <c r="A1040" s="24" t="s">
        <v>1118</v>
      </c>
      <c r="B1040" s="31" t="n">
        <v>46221</v>
      </c>
      <c r="C1040" s="24" t="s">
        <v>24</v>
      </c>
      <c r="D1040" s="24" t="s">
        <v>33</v>
      </c>
      <c r="E1040" s="24" t="s">
        <v>94</v>
      </c>
      <c r="F1040" s="24" t="s">
        <v>41</v>
      </c>
      <c r="G1040" s="31" t="n">
        <v>46221</v>
      </c>
      <c r="H1040" s="24"/>
      <c r="I1040" s="24"/>
      <c r="J1040" s="24"/>
      <c r="K1040" s="24" t="n">
        <v>2</v>
      </c>
      <c r="L1040" s="24" t="str">
        <f aca="false">IF(J1040&lt;&gt;"","Enrolled",IF(I1040&lt;&gt;"","Admitted",IF(H1040&lt;&gt;"","Applied",IF(G1040&lt;&gt;"","Contacted","New"))))</f>
        <v>Contacted</v>
      </c>
      <c r="M1040" s="32" t="n">
        <f aca="false">IF(G1040="","",G1040-B1040)</f>
        <v>0</v>
      </c>
      <c r="N1040" s="24" t="str">
        <f aca="false">IF(COUNTIF($A$2:A1040,A1040)&gt;1,"Duplicate ID",IF(C1040="","Missing source",IF(OR(AND(G1040&lt;&gt;"",G1040&lt;B1040),AND(H1040&lt;&gt;"",H1040&lt;B1040),AND(I1040&lt;&gt;"",I1040&lt;H1040),AND(J1040&lt;&gt;"",J1040&lt;I1040)),"Date error","OK")))</f>
        <v>OK</v>
      </c>
    </row>
    <row r="1041" customFormat="false" ht="15" hidden="false" customHeight="false" outlineLevel="0" collapsed="false">
      <c r="A1041" s="24" t="s">
        <v>1119</v>
      </c>
      <c r="B1041" s="31" t="n">
        <v>46221</v>
      </c>
      <c r="C1041" s="24"/>
      <c r="D1041" s="24" t="s">
        <v>36</v>
      </c>
      <c r="E1041" s="24" t="s">
        <v>84</v>
      </c>
      <c r="F1041" s="24" t="s">
        <v>42</v>
      </c>
      <c r="G1041" s="31" t="n">
        <v>46222</v>
      </c>
      <c r="H1041" s="24"/>
      <c r="I1041" s="24"/>
      <c r="J1041" s="24"/>
      <c r="K1041" s="24" t="n">
        <v>0</v>
      </c>
      <c r="L1041" s="24" t="str">
        <f aca="false">IF(J1041&lt;&gt;"","Enrolled",IF(I1041&lt;&gt;"","Admitted",IF(H1041&lt;&gt;"","Applied",IF(G1041&lt;&gt;"","Contacted","New"))))</f>
        <v>Contacted</v>
      </c>
      <c r="M1041" s="32" t="n">
        <f aca="false">IF(G1041="","",G1041-B1041)</f>
        <v>1</v>
      </c>
      <c r="N1041" s="24" t="str">
        <f aca="false">IF(COUNTIF($A$2:A1041,A1041)&gt;1,"Duplicate ID",IF(C1041="","Missing source",IF(OR(AND(G1041&lt;&gt;"",G1041&lt;B1041),AND(H1041&lt;&gt;"",H1041&lt;B1041),AND(I1041&lt;&gt;"",I1041&lt;H1041),AND(J1041&lt;&gt;"",J1041&lt;I1041)),"Date error","OK")))</f>
        <v>Missing source</v>
      </c>
    </row>
    <row r="1042" customFormat="false" ht="15" hidden="false" customHeight="false" outlineLevel="0" collapsed="false">
      <c r="A1042" s="24" t="s">
        <v>1120</v>
      </c>
      <c r="B1042" s="31" t="n">
        <v>46222</v>
      </c>
      <c r="C1042" s="24" t="s">
        <v>25</v>
      </c>
      <c r="D1042" s="24" t="s">
        <v>33</v>
      </c>
      <c r="E1042" s="24" t="s">
        <v>94</v>
      </c>
      <c r="F1042" s="24" t="s">
        <v>42</v>
      </c>
      <c r="G1042" s="31" t="n">
        <v>46222</v>
      </c>
      <c r="H1042" s="24"/>
      <c r="I1042" s="24"/>
      <c r="J1042" s="24"/>
      <c r="K1042" s="24" t="n">
        <v>2</v>
      </c>
      <c r="L1042" s="24" t="str">
        <f aca="false">IF(J1042&lt;&gt;"","Enrolled",IF(I1042&lt;&gt;"","Admitted",IF(H1042&lt;&gt;"","Applied",IF(G1042&lt;&gt;"","Contacted","New"))))</f>
        <v>Contacted</v>
      </c>
      <c r="M1042" s="32" t="n">
        <f aca="false">IF(G1042="","",G1042-B1042)</f>
        <v>0</v>
      </c>
      <c r="N1042" s="24" t="str">
        <f aca="false">IF(COUNTIF($A$2:A1042,A1042)&gt;1,"Duplicate ID",IF(C1042="","Missing source",IF(OR(AND(G1042&lt;&gt;"",G1042&lt;B1042),AND(H1042&lt;&gt;"",H1042&lt;B1042),AND(I1042&lt;&gt;"",I1042&lt;H1042),AND(J1042&lt;&gt;"",J1042&lt;I1042)),"Date error","OK")))</f>
        <v>OK</v>
      </c>
    </row>
    <row r="1043" customFormat="false" ht="15" hidden="false" customHeight="false" outlineLevel="0" collapsed="false">
      <c r="A1043" s="24" t="s">
        <v>1121</v>
      </c>
      <c r="B1043" s="31" t="n">
        <v>46222</v>
      </c>
      <c r="C1043" s="24" t="s">
        <v>26</v>
      </c>
      <c r="D1043" s="24" t="s">
        <v>35</v>
      </c>
      <c r="E1043" s="24" t="s">
        <v>81</v>
      </c>
      <c r="F1043" s="24" t="s">
        <v>40</v>
      </c>
      <c r="G1043" s="31" t="n">
        <v>46223</v>
      </c>
      <c r="H1043" s="24"/>
      <c r="I1043" s="24"/>
      <c r="J1043" s="24"/>
      <c r="K1043" s="24" t="n">
        <v>3</v>
      </c>
      <c r="L1043" s="24" t="str">
        <f aca="false">IF(J1043&lt;&gt;"","Enrolled",IF(I1043&lt;&gt;"","Admitted",IF(H1043&lt;&gt;"","Applied",IF(G1043&lt;&gt;"","Contacted","New"))))</f>
        <v>Contacted</v>
      </c>
      <c r="M1043" s="32" t="n">
        <f aca="false">IF(G1043="","",G1043-B1043)</f>
        <v>1</v>
      </c>
      <c r="N1043" s="24" t="str">
        <f aca="false">IF(COUNTIF($A$2:A1043,A1043)&gt;1,"Duplicate ID",IF(C1043="","Missing source",IF(OR(AND(G1043&lt;&gt;"",G1043&lt;B1043),AND(H1043&lt;&gt;"",H1043&lt;B1043),AND(I1043&lt;&gt;"",I1043&lt;H1043),AND(J1043&lt;&gt;"",J1043&lt;I1043)),"Date error","OK")))</f>
        <v>OK</v>
      </c>
    </row>
    <row r="1044" customFormat="false" ht="15" hidden="false" customHeight="false" outlineLevel="0" collapsed="false">
      <c r="A1044" s="24" t="s">
        <v>1122</v>
      </c>
      <c r="B1044" s="31" t="n">
        <v>46222</v>
      </c>
      <c r="C1044" s="24" t="s">
        <v>26</v>
      </c>
      <c r="D1044" s="24" t="s">
        <v>35</v>
      </c>
      <c r="E1044" s="24" t="s">
        <v>94</v>
      </c>
      <c r="F1044" s="24" t="s">
        <v>44</v>
      </c>
      <c r="G1044" s="31" t="n">
        <v>46226</v>
      </c>
      <c r="H1044" s="31" t="n">
        <v>46233</v>
      </c>
      <c r="I1044" s="24"/>
      <c r="J1044" s="24"/>
      <c r="K1044" s="24" t="n">
        <v>2</v>
      </c>
      <c r="L1044" s="24" t="str">
        <f aca="false">IF(J1044&lt;&gt;"","Enrolled",IF(I1044&lt;&gt;"","Admitted",IF(H1044&lt;&gt;"","Applied",IF(G1044&lt;&gt;"","Contacted","New"))))</f>
        <v>Applied</v>
      </c>
      <c r="M1044" s="32" t="n">
        <f aca="false">IF(G1044="","",G1044-B1044)</f>
        <v>4</v>
      </c>
      <c r="N1044" s="24" t="str">
        <f aca="false">IF(COUNTIF($A$2:A1044,A1044)&gt;1,"Duplicate ID",IF(C1044="","Missing source",IF(OR(AND(G1044&lt;&gt;"",G1044&lt;B1044),AND(H1044&lt;&gt;"",H1044&lt;B1044),AND(I1044&lt;&gt;"",I1044&lt;H1044),AND(J1044&lt;&gt;"",J1044&lt;I1044)),"Date error","OK")))</f>
        <v>OK</v>
      </c>
    </row>
    <row r="1045" customFormat="false" ht="15" hidden="false" customHeight="false" outlineLevel="0" collapsed="false">
      <c r="A1045" s="24" t="s">
        <v>1123</v>
      </c>
      <c r="B1045" s="31" t="n">
        <v>46222</v>
      </c>
      <c r="C1045" s="24" t="s">
        <v>26</v>
      </c>
      <c r="D1045" s="24" t="s">
        <v>33</v>
      </c>
      <c r="E1045" s="24" t="s">
        <v>94</v>
      </c>
      <c r="F1045" s="24" t="s">
        <v>45</v>
      </c>
      <c r="G1045" s="31" t="n">
        <v>46223</v>
      </c>
      <c r="H1045" s="31" t="n">
        <v>46239</v>
      </c>
      <c r="I1045" s="31" t="n">
        <v>46245</v>
      </c>
      <c r="J1045" s="24"/>
      <c r="K1045" s="24" t="n">
        <v>4</v>
      </c>
      <c r="L1045" s="24" t="str">
        <f aca="false">IF(J1045&lt;&gt;"","Enrolled",IF(I1045&lt;&gt;"","Admitted",IF(H1045&lt;&gt;"","Applied",IF(G1045&lt;&gt;"","Contacted","New"))))</f>
        <v>Admitted</v>
      </c>
      <c r="M1045" s="32" t="n">
        <f aca="false">IF(G1045="","",G1045-B1045)</f>
        <v>1</v>
      </c>
      <c r="N1045" s="24" t="str">
        <f aca="false">IF(COUNTIF($A$2:A1045,A1045)&gt;1,"Duplicate ID",IF(C1045="","Missing source",IF(OR(AND(G1045&lt;&gt;"",G1045&lt;B1045),AND(H1045&lt;&gt;"",H1045&lt;B1045),AND(I1045&lt;&gt;"",I1045&lt;H1045),AND(J1045&lt;&gt;"",J1045&lt;I1045)),"Date error","OK")))</f>
        <v>OK</v>
      </c>
    </row>
    <row r="1046" customFormat="false" ht="15" hidden="false" customHeight="false" outlineLevel="0" collapsed="false">
      <c r="A1046" s="24" t="s">
        <v>1124</v>
      </c>
      <c r="B1046" s="31" t="n">
        <v>46222</v>
      </c>
      <c r="C1046" s="24" t="s">
        <v>26</v>
      </c>
      <c r="D1046" s="24" t="s">
        <v>36</v>
      </c>
      <c r="E1046" s="24" t="s">
        <v>81</v>
      </c>
      <c r="F1046" s="24" t="s">
        <v>41</v>
      </c>
      <c r="G1046" s="31" t="n">
        <v>46222</v>
      </c>
      <c r="H1046" s="24"/>
      <c r="I1046" s="24"/>
      <c r="J1046" s="24"/>
      <c r="K1046" s="24" t="n">
        <v>2</v>
      </c>
      <c r="L1046" s="24" t="str">
        <f aca="false">IF(J1046&lt;&gt;"","Enrolled",IF(I1046&lt;&gt;"","Admitted",IF(H1046&lt;&gt;"","Applied",IF(G1046&lt;&gt;"","Contacted","New"))))</f>
        <v>Contacted</v>
      </c>
      <c r="M1046" s="32" t="n">
        <f aca="false">IF(G1046="","",G1046-B1046)</f>
        <v>0</v>
      </c>
      <c r="N1046" s="24" t="str">
        <f aca="false">IF(COUNTIF($A$2:A1046,A1046)&gt;1,"Duplicate ID",IF(C1046="","Missing source",IF(OR(AND(G1046&lt;&gt;"",G1046&lt;B1046),AND(H1046&lt;&gt;"",H1046&lt;B1046),AND(I1046&lt;&gt;"",I1046&lt;H1046),AND(J1046&lt;&gt;"",J1046&lt;I1046)),"Date error","OK")))</f>
        <v>OK</v>
      </c>
    </row>
    <row r="1047" customFormat="false" ht="15" hidden="false" customHeight="false" outlineLevel="0" collapsed="false">
      <c r="A1047" s="24" t="s">
        <v>1125</v>
      </c>
      <c r="B1047" s="31" t="n">
        <v>46222</v>
      </c>
      <c r="C1047" s="24" t="s">
        <v>24</v>
      </c>
      <c r="D1047" s="24" t="s">
        <v>33</v>
      </c>
      <c r="E1047" s="24" t="s">
        <v>89</v>
      </c>
      <c r="F1047" s="24" t="s">
        <v>41</v>
      </c>
      <c r="G1047" s="31" t="n">
        <v>46225</v>
      </c>
      <c r="H1047" s="24"/>
      <c r="I1047" s="24"/>
      <c r="J1047" s="24"/>
      <c r="K1047" s="24" t="n">
        <v>3</v>
      </c>
      <c r="L1047" s="24" t="str">
        <f aca="false">IF(J1047&lt;&gt;"","Enrolled",IF(I1047&lt;&gt;"","Admitted",IF(H1047&lt;&gt;"","Applied",IF(G1047&lt;&gt;"","Contacted","New"))))</f>
        <v>Contacted</v>
      </c>
      <c r="M1047" s="32" t="n">
        <f aca="false">IF(G1047="","",G1047-B1047)</f>
        <v>3</v>
      </c>
      <c r="N1047" s="24" t="str">
        <f aca="false">IF(COUNTIF($A$2:A1047,A1047)&gt;1,"Duplicate ID",IF(C1047="","Missing source",IF(OR(AND(G1047&lt;&gt;"",G1047&lt;B1047),AND(H1047&lt;&gt;"",H1047&lt;B1047),AND(I1047&lt;&gt;"",I1047&lt;H1047),AND(J1047&lt;&gt;"",J1047&lt;I1047)),"Date error","OK")))</f>
        <v>OK</v>
      </c>
    </row>
    <row r="1048" customFormat="false" ht="15" hidden="false" customHeight="false" outlineLevel="0" collapsed="false">
      <c r="A1048" s="24" t="s">
        <v>1126</v>
      </c>
      <c r="B1048" s="31" t="n">
        <v>46222</v>
      </c>
      <c r="C1048" s="24" t="s">
        <v>26</v>
      </c>
      <c r="D1048" s="24" t="s">
        <v>32</v>
      </c>
      <c r="E1048" s="24" t="s">
        <v>89</v>
      </c>
      <c r="F1048" s="24" t="s">
        <v>41</v>
      </c>
      <c r="G1048" s="31" t="n">
        <v>46225</v>
      </c>
      <c r="H1048" s="24"/>
      <c r="I1048" s="24"/>
      <c r="J1048" s="24"/>
      <c r="K1048" s="24" t="n">
        <v>1</v>
      </c>
      <c r="L1048" s="24" t="str">
        <f aca="false">IF(J1048&lt;&gt;"","Enrolled",IF(I1048&lt;&gt;"","Admitted",IF(H1048&lt;&gt;"","Applied",IF(G1048&lt;&gt;"","Contacted","New"))))</f>
        <v>Contacted</v>
      </c>
      <c r="M1048" s="32" t="n">
        <f aca="false">IF(G1048="","",G1048-B1048)</f>
        <v>3</v>
      </c>
      <c r="N1048" s="24" t="str">
        <f aca="false">IF(COUNTIF($A$2:A1048,A1048)&gt;1,"Duplicate ID",IF(C1048="","Missing source",IF(OR(AND(G1048&lt;&gt;"",G1048&lt;B1048),AND(H1048&lt;&gt;"",H1048&lt;B1048),AND(I1048&lt;&gt;"",I1048&lt;H1048),AND(J1048&lt;&gt;"",J1048&lt;I1048)),"Date error","OK")))</f>
        <v>OK</v>
      </c>
    </row>
    <row r="1049" customFormat="false" ht="15" hidden="false" customHeight="false" outlineLevel="0" collapsed="false">
      <c r="A1049" s="24" t="s">
        <v>1127</v>
      </c>
      <c r="B1049" s="31" t="n">
        <v>46222</v>
      </c>
      <c r="C1049" s="24" t="s">
        <v>25</v>
      </c>
      <c r="D1049" s="24" t="s">
        <v>35</v>
      </c>
      <c r="E1049" s="24" t="s">
        <v>89</v>
      </c>
      <c r="F1049" s="24" t="s">
        <v>45</v>
      </c>
      <c r="G1049" s="31" t="n">
        <v>46223</v>
      </c>
      <c r="H1049" s="24"/>
      <c r="I1049" s="24"/>
      <c r="J1049" s="24"/>
      <c r="K1049" s="24" t="n">
        <v>1</v>
      </c>
      <c r="L1049" s="24" t="str">
        <f aca="false">IF(J1049&lt;&gt;"","Enrolled",IF(I1049&lt;&gt;"","Admitted",IF(H1049&lt;&gt;"","Applied",IF(G1049&lt;&gt;"","Contacted","New"))))</f>
        <v>Contacted</v>
      </c>
      <c r="M1049" s="32" t="n">
        <f aca="false">IF(G1049="","",G1049-B1049)</f>
        <v>1</v>
      </c>
      <c r="N1049" s="24" t="str">
        <f aca="false">IF(COUNTIF($A$2:A1049,A1049)&gt;1,"Duplicate ID",IF(C1049="","Missing source",IF(OR(AND(G1049&lt;&gt;"",G1049&lt;B1049),AND(H1049&lt;&gt;"",H1049&lt;B1049),AND(I1049&lt;&gt;"",I1049&lt;H1049),AND(J1049&lt;&gt;"",J1049&lt;I1049)),"Date error","OK")))</f>
        <v>OK</v>
      </c>
    </row>
    <row r="1050" customFormat="false" ht="15" hidden="false" customHeight="false" outlineLevel="0" collapsed="false">
      <c r="A1050" s="24" t="s">
        <v>1128</v>
      </c>
      <c r="B1050" s="31" t="n">
        <v>46222</v>
      </c>
      <c r="C1050" s="24" t="s">
        <v>26</v>
      </c>
      <c r="D1050" s="24" t="s">
        <v>32</v>
      </c>
      <c r="E1050" s="24" t="s">
        <v>94</v>
      </c>
      <c r="F1050" s="24" t="s">
        <v>41</v>
      </c>
      <c r="G1050" s="31" t="n">
        <v>46225</v>
      </c>
      <c r="H1050" s="24"/>
      <c r="I1050" s="24"/>
      <c r="J1050" s="24"/>
      <c r="K1050" s="24" t="n">
        <v>5</v>
      </c>
      <c r="L1050" s="24" t="str">
        <f aca="false">IF(J1050&lt;&gt;"","Enrolled",IF(I1050&lt;&gt;"","Admitted",IF(H1050&lt;&gt;"","Applied",IF(G1050&lt;&gt;"","Contacted","New"))))</f>
        <v>Contacted</v>
      </c>
      <c r="M1050" s="32" t="n">
        <f aca="false">IF(G1050="","",G1050-B1050)</f>
        <v>3</v>
      </c>
      <c r="N1050" s="24" t="str">
        <f aca="false">IF(COUNTIF($A$2:A1050,A1050)&gt;1,"Duplicate ID",IF(C1050="","Missing source",IF(OR(AND(G1050&lt;&gt;"",G1050&lt;B1050),AND(H1050&lt;&gt;"",H1050&lt;B1050),AND(I1050&lt;&gt;"",I1050&lt;H1050),AND(J1050&lt;&gt;"",J1050&lt;I1050)),"Date error","OK")))</f>
        <v>OK</v>
      </c>
    </row>
    <row r="1051" customFormat="false" ht="15" hidden="false" customHeight="false" outlineLevel="0" collapsed="false">
      <c r="A1051" s="24" t="s">
        <v>1129</v>
      </c>
      <c r="B1051" s="31" t="n">
        <v>46222</v>
      </c>
      <c r="C1051" s="24" t="s">
        <v>21</v>
      </c>
      <c r="D1051" s="24" t="s">
        <v>33</v>
      </c>
      <c r="E1051" s="24" t="s">
        <v>79</v>
      </c>
      <c r="F1051" s="24" t="s">
        <v>40</v>
      </c>
      <c r="G1051" s="31" t="n">
        <v>46223</v>
      </c>
      <c r="H1051" s="31" t="n">
        <v>46237</v>
      </c>
      <c r="I1051" s="31" t="n">
        <v>46243</v>
      </c>
      <c r="J1051" s="24"/>
      <c r="K1051" s="24" t="n">
        <v>4</v>
      </c>
      <c r="L1051" s="24" t="str">
        <f aca="false">IF(J1051&lt;&gt;"","Enrolled",IF(I1051&lt;&gt;"","Admitted",IF(H1051&lt;&gt;"","Applied",IF(G1051&lt;&gt;"","Contacted","New"))))</f>
        <v>Admitted</v>
      </c>
      <c r="M1051" s="32" t="n">
        <f aca="false">IF(G1051="","",G1051-B1051)</f>
        <v>1</v>
      </c>
      <c r="N1051" s="24" t="str">
        <f aca="false">IF(COUNTIF($A$2:A1051,A1051)&gt;1,"Duplicate ID",IF(C1051="","Missing source",IF(OR(AND(G1051&lt;&gt;"",G1051&lt;B1051),AND(H1051&lt;&gt;"",H1051&lt;B1051),AND(I1051&lt;&gt;"",I1051&lt;H1051),AND(J1051&lt;&gt;"",J1051&lt;I1051)),"Date error","OK")))</f>
        <v>OK</v>
      </c>
    </row>
    <row r="1052" customFormat="false" ht="15" hidden="false" customHeight="false" outlineLevel="0" collapsed="false">
      <c r="A1052" s="24" t="s">
        <v>1130</v>
      </c>
      <c r="B1052" s="31" t="n">
        <v>46222</v>
      </c>
      <c r="C1052" s="24" t="s">
        <v>24</v>
      </c>
      <c r="D1052" s="24" t="s">
        <v>32</v>
      </c>
      <c r="E1052" s="24" t="s">
        <v>94</v>
      </c>
      <c r="F1052" s="24" t="s">
        <v>42</v>
      </c>
      <c r="G1052" s="31" t="n">
        <v>46223</v>
      </c>
      <c r="H1052" s="24"/>
      <c r="I1052" s="24"/>
      <c r="J1052" s="24"/>
      <c r="K1052" s="24" t="n">
        <v>1</v>
      </c>
      <c r="L1052" s="24" t="str">
        <f aca="false">IF(J1052&lt;&gt;"","Enrolled",IF(I1052&lt;&gt;"","Admitted",IF(H1052&lt;&gt;"","Applied",IF(G1052&lt;&gt;"","Contacted","New"))))</f>
        <v>Contacted</v>
      </c>
      <c r="M1052" s="32" t="n">
        <f aca="false">IF(G1052="","",G1052-B1052)</f>
        <v>1</v>
      </c>
      <c r="N1052" s="24" t="str">
        <f aca="false">IF(COUNTIF($A$2:A1052,A1052)&gt;1,"Duplicate ID",IF(C1052="","Missing source",IF(OR(AND(G1052&lt;&gt;"",G1052&lt;B1052),AND(H1052&lt;&gt;"",H1052&lt;B1052),AND(I1052&lt;&gt;"",I1052&lt;H1052),AND(J1052&lt;&gt;"",J1052&lt;I1052)),"Date error","OK")))</f>
        <v>OK</v>
      </c>
    </row>
    <row r="1053" customFormat="false" ht="15" hidden="false" customHeight="false" outlineLevel="0" collapsed="false">
      <c r="A1053" s="24" t="s">
        <v>1131</v>
      </c>
      <c r="B1053" s="31" t="n">
        <v>46222</v>
      </c>
      <c r="C1053" s="24" t="s">
        <v>25</v>
      </c>
      <c r="D1053" s="24" t="s">
        <v>32</v>
      </c>
      <c r="E1053" s="24" t="s">
        <v>94</v>
      </c>
      <c r="F1053" s="24" t="s">
        <v>42</v>
      </c>
      <c r="G1053" s="31" t="n">
        <v>46223</v>
      </c>
      <c r="H1053" s="24"/>
      <c r="I1053" s="24"/>
      <c r="J1053" s="24"/>
      <c r="K1053" s="24" t="n">
        <v>4</v>
      </c>
      <c r="L1053" s="24" t="str">
        <f aca="false">IF(J1053&lt;&gt;"","Enrolled",IF(I1053&lt;&gt;"","Admitted",IF(H1053&lt;&gt;"","Applied",IF(G1053&lt;&gt;"","Contacted","New"))))</f>
        <v>Contacted</v>
      </c>
      <c r="M1053" s="32" t="n">
        <f aca="false">IF(G1053="","",G1053-B1053)</f>
        <v>1</v>
      </c>
      <c r="N1053" s="24" t="str">
        <f aca="false">IF(COUNTIF($A$2:A1053,A1053)&gt;1,"Duplicate ID",IF(C1053="","Missing source",IF(OR(AND(G1053&lt;&gt;"",G1053&lt;B1053),AND(H1053&lt;&gt;"",H1053&lt;B1053),AND(I1053&lt;&gt;"",I1053&lt;H1053),AND(J1053&lt;&gt;"",J1053&lt;I1053)),"Date error","OK")))</f>
        <v>OK</v>
      </c>
    </row>
    <row r="1054" customFormat="false" ht="15" hidden="false" customHeight="false" outlineLevel="0" collapsed="false">
      <c r="A1054" s="24" t="s">
        <v>1132</v>
      </c>
      <c r="B1054" s="31" t="n">
        <v>46222</v>
      </c>
      <c r="C1054" s="24" t="s">
        <v>27</v>
      </c>
      <c r="D1054" s="24" t="s">
        <v>32</v>
      </c>
      <c r="E1054" s="24" t="s">
        <v>79</v>
      </c>
      <c r="F1054" s="24" t="s">
        <v>41</v>
      </c>
      <c r="G1054" s="31" t="n">
        <v>46222</v>
      </c>
      <c r="H1054" s="24"/>
      <c r="I1054" s="24"/>
      <c r="J1054" s="24"/>
      <c r="K1054" s="24" t="n">
        <v>3</v>
      </c>
      <c r="L1054" s="24" t="str">
        <f aca="false">IF(J1054&lt;&gt;"","Enrolled",IF(I1054&lt;&gt;"","Admitted",IF(H1054&lt;&gt;"","Applied",IF(G1054&lt;&gt;"","Contacted","New"))))</f>
        <v>Contacted</v>
      </c>
      <c r="M1054" s="32" t="n">
        <f aca="false">IF(G1054="","",G1054-B1054)</f>
        <v>0</v>
      </c>
      <c r="N1054" s="24" t="str">
        <f aca="false">IF(COUNTIF($A$2:A1054,A1054)&gt;1,"Duplicate ID",IF(C1054="","Missing source",IF(OR(AND(G1054&lt;&gt;"",G1054&lt;B1054),AND(H1054&lt;&gt;"",H1054&lt;B1054),AND(I1054&lt;&gt;"",I1054&lt;H1054),AND(J1054&lt;&gt;"",J1054&lt;I1054)),"Date error","OK")))</f>
        <v>OK</v>
      </c>
    </row>
    <row r="1055" customFormat="false" ht="15" hidden="false" customHeight="false" outlineLevel="0" collapsed="false">
      <c r="A1055" s="24" t="s">
        <v>1133</v>
      </c>
      <c r="B1055" s="31" t="n">
        <v>46222</v>
      </c>
      <c r="C1055" s="24" t="s">
        <v>24</v>
      </c>
      <c r="D1055" s="24" t="s">
        <v>36</v>
      </c>
      <c r="E1055" s="24" t="s">
        <v>89</v>
      </c>
      <c r="F1055" s="24" t="s">
        <v>40</v>
      </c>
      <c r="G1055" s="31" t="n">
        <v>46222</v>
      </c>
      <c r="H1055" s="31" t="n">
        <v>46231</v>
      </c>
      <c r="I1055" s="31" t="n">
        <v>46242</v>
      </c>
      <c r="J1055" s="24"/>
      <c r="K1055" s="24" t="n">
        <v>2</v>
      </c>
      <c r="L1055" s="24" t="str">
        <f aca="false">IF(J1055&lt;&gt;"","Enrolled",IF(I1055&lt;&gt;"","Admitted",IF(H1055&lt;&gt;"","Applied",IF(G1055&lt;&gt;"","Contacted","New"))))</f>
        <v>Admitted</v>
      </c>
      <c r="M1055" s="32" t="n">
        <f aca="false">IF(G1055="","",G1055-B1055)</f>
        <v>0</v>
      </c>
      <c r="N1055" s="24" t="str">
        <f aca="false">IF(COUNTIF($A$2:A1055,A1055)&gt;1,"Duplicate ID",IF(C1055="","Missing source",IF(OR(AND(G1055&lt;&gt;"",G1055&lt;B1055),AND(H1055&lt;&gt;"",H1055&lt;B1055),AND(I1055&lt;&gt;"",I1055&lt;H1055),AND(J1055&lt;&gt;"",J1055&lt;I1055)),"Date error","OK")))</f>
        <v>OK</v>
      </c>
    </row>
    <row r="1056" customFormat="false" ht="15" hidden="false" customHeight="false" outlineLevel="0" collapsed="false">
      <c r="A1056" s="24" t="s">
        <v>1134</v>
      </c>
      <c r="B1056" s="31" t="n">
        <v>46222</v>
      </c>
      <c r="C1056" s="24" t="s">
        <v>23</v>
      </c>
      <c r="D1056" s="24" t="s">
        <v>35</v>
      </c>
      <c r="E1056" s="24" t="s">
        <v>81</v>
      </c>
      <c r="F1056" s="24" t="s">
        <v>44</v>
      </c>
      <c r="G1056" s="31" t="n">
        <v>46222</v>
      </c>
      <c r="H1056" s="24"/>
      <c r="I1056" s="24"/>
      <c r="J1056" s="24"/>
      <c r="K1056" s="24" t="n">
        <v>2</v>
      </c>
      <c r="L1056" s="24" t="str">
        <f aca="false">IF(J1056&lt;&gt;"","Enrolled",IF(I1056&lt;&gt;"","Admitted",IF(H1056&lt;&gt;"","Applied",IF(G1056&lt;&gt;"","Contacted","New"))))</f>
        <v>Contacted</v>
      </c>
      <c r="M1056" s="32" t="n">
        <f aca="false">IF(G1056="","",G1056-B1056)</f>
        <v>0</v>
      </c>
      <c r="N1056" s="24" t="str">
        <f aca="false">IF(COUNTIF($A$2:A1056,A1056)&gt;1,"Duplicate ID",IF(C1056="","Missing source",IF(OR(AND(G1056&lt;&gt;"",G1056&lt;B1056),AND(H1056&lt;&gt;"",H1056&lt;B1056),AND(I1056&lt;&gt;"",I1056&lt;H1056),AND(J1056&lt;&gt;"",J1056&lt;I1056)),"Date error","OK")))</f>
        <v>OK</v>
      </c>
    </row>
    <row r="1057" customFormat="false" ht="15" hidden="false" customHeight="false" outlineLevel="0" collapsed="false">
      <c r="A1057" s="24" t="s">
        <v>1135</v>
      </c>
      <c r="B1057" s="31" t="n">
        <v>46222</v>
      </c>
      <c r="C1057" s="24" t="s">
        <v>26</v>
      </c>
      <c r="D1057" s="24" t="s">
        <v>34</v>
      </c>
      <c r="E1057" s="24" t="s">
        <v>94</v>
      </c>
      <c r="F1057" s="24" t="s">
        <v>43</v>
      </c>
      <c r="G1057" s="31" t="n">
        <v>46224</v>
      </c>
      <c r="H1057" s="24"/>
      <c r="I1057" s="24"/>
      <c r="J1057" s="24"/>
      <c r="K1057" s="24" t="n">
        <v>1</v>
      </c>
      <c r="L1057" s="24" t="str">
        <f aca="false">IF(J1057&lt;&gt;"","Enrolled",IF(I1057&lt;&gt;"","Admitted",IF(H1057&lt;&gt;"","Applied",IF(G1057&lt;&gt;"","Contacted","New"))))</f>
        <v>Contacted</v>
      </c>
      <c r="M1057" s="32" t="n">
        <f aca="false">IF(G1057="","",G1057-B1057)</f>
        <v>2</v>
      </c>
      <c r="N1057" s="24" t="str">
        <f aca="false">IF(COUNTIF($A$2:A1057,A1057)&gt;1,"Duplicate ID",IF(C1057="","Missing source",IF(OR(AND(G1057&lt;&gt;"",G1057&lt;B1057),AND(H1057&lt;&gt;"",H1057&lt;B1057),AND(I1057&lt;&gt;"",I1057&lt;H1057),AND(J1057&lt;&gt;"",J1057&lt;I1057)),"Date error","OK")))</f>
        <v>OK</v>
      </c>
    </row>
    <row r="1058" customFormat="false" ht="15" hidden="false" customHeight="false" outlineLevel="0" collapsed="false">
      <c r="A1058" s="24" t="s">
        <v>1136</v>
      </c>
      <c r="B1058" s="31" t="n">
        <v>46222</v>
      </c>
      <c r="C1058" s="24" t="s">
        <v>24</v>
      </c>
      <c r="D1058" s="24" t="s">
        <v>36</v>
      </c>
      <c r="E1058" s="24" t="s">
        <v>94</v>
      </c>
      <c r="F1058" s="24" t="s">
        <v>45</v>
      </c>
      <c r="G1058" s="31" t="n">
        <v>46222</v>
      </c>
      <c r="H1058" s="24"/>
      <c r="I1058" s="24"/>
      <c r="J1058" s="24"/>
      <c r="K1058" s="24" t="n">
        <v>5</v>
      </c>
      <c r="L1058" s="24" t="str">
        <f aca="false">IF(J1058&lt;&gt;"","Enrolled",IF(I1058&lt;&gt;"","Admitted",IF(H1058&lt;&gt;"","Applied",IF(G1058&lt;&gt;"","Contacted","New"))))</f>
        <v>Contacted</v>
      </c>
      <c r="M1058" s="32" t="n">
        <f aca="false">IF(G1058="","",G1058-B1058)</f>
        <v>0</v>
      </c>
      <c r="N1058" s="24" t="str">
        <f aca="false">IF(COUNTIF($A$2:A1058,A1058)&gt;1,"Duplicate ID",IF(C1058="","Missing source",IF(OR(AND(G1058&lt;&gt;"",G1058&lt;B1058),AND(H1058&lt;&gt;"",H1058&lt;B1058),AND(I1058&lt;&gt;"",I1058&lt;H1058),AND(J1058&lt;&gt;"",J1058&lt;I1058)),"Date error","OK")))</f>
        <v>OK</v>
      </c>
    </row>
    <row r="1059" customFormat="false" ht="15" hidden="false" customHeight="false" outlineLevel="0" collapsed="false">
      <c r="A1059" s="24" t="s">
        <v>1137</v>
      </c>
      <c r="B1059" s="31" t="n">
        <v>46222</v>
      </c>
      <c r="C1059" s="24" t="s">
        <v>27</v>
      </c>
      <c r="D1059" s="24" t="s">
        <v>36</v>
      </c>
      <c r="E1059" s="24" t="s">
        <v>84</v>
      </c>
      <c r="F1059" s="24" t="s">
        <v>43</v>
      </c>
      <c r="G1059" s="31" t="n">
        <v>46225</v>
      </c>
      <c r="H1059" s="24"/>
      <c r="I1059" s="24"/>
      <c r="J1059" s="24"/>
      <c r="K1059" s="24" t="n">
        <v>7</v>
      </c>
      <c r="L1059" s="24" t="str">
        <f aca="false">IF(J1059&lt;&gt;"","Enrolled",IF(I1059&lt;&gt;"","Admitted",IF(H1059&lt;&gt;"","Applied",IF(G1059&lt;&gt;"","Contacted","New"))))</f>
        <v>Contacted</v>
      </c>
      <c r="M1059" s="32" t="n">
        <f aca="false">IF(G1059="","",G1059-B1059)</f>
        <v>3</v>
      </c>
      <c r="N1059" s="24" t="str">
        <f aca="false">IF(COUNTIF($A$2:A1059,A1059)&gt;1,"Duplicate ID",IF(C1059="","Missing source",IF(OR(AND(G1059&lt;&gt;"",G1059&lt;B1059),AND(H1059&lt;&gt;"",H1059&lt;B1059),AND(I1059&lt;&gt;"",I1059&lt;H1059),AND(J1059&lt;&gt;"",J1059&lt;I1059)),"Date error","OK")))</f>
        <v>OK</v>
      </c>
    </row>
    <row r="1060" customFormat="false" ht="15" hidden="false" customHeight="false" outlineLevel="0" collapsed="false">
      <c r="A1060" s="24" t="s">
        <v>1138</v>
      </c>
      <c r="B1060" s="31" t="n">
        <v>46223</v>
      </c>
      <c r="C1060" s="24" t="s">
        <v>26</v>
      </c>
      <c r="D1060" s="24" t="s">
        <v>34</v>
      </c>
      <c r="E1060" s="24" t="s">
        <v>94</v>
      </c>
      <c r="F1060" s="24" t="s">
        <v>41</v>
      </c>
      <c r="G1060" s="31" t="n">
        <v>46225</v>
      </c>
      <c r="H1060" s="24"/>
      <c r="I1060" s="24"/>
      <c r="J1060" s="24"/>
      <c r="K1060" s="24" t="n">
        <v>1</v>
      </c>
      <c r="L1060" s="24" t="str">
        <f aca="false">IF(J1060&lt;&gt;"","Enrolled",IF(I1060&lt;&gt;"","Admitted",IF(H1060&lt;&gt;"","Applied",IF(G1060&lt;&gt;"","Contacted","New"))))</f>
        <v>Contacted</v>
      </c>
      <c r="M1060" s="32" t="n">
        <f aca="false">IF(G1060="","",G1060-B1060)</f>
        <v>2</v>
      </c>
      <c r="N1060" s="24" t="str">
        <f aca="false">IF(COUNTIF($A$2:A1060,A1060)&gt;1,"Duplicate ID",IF(C1060="","Missing source",IF(OR(AND(G1060&lt;&gt;"",G1060&lt;B1060),AND(H1060&lt;&gt;"",H1060&lt;B1060),AND(I1060&lt;&gt;"",I1060&lt;H1060),AND(J1060&lt;&gt;"",J1060&lt;I1060)),"Date error","OK")))</f>
        <v>OK</v>
      </c>
    </row>
    <row r="1061" customFormat="false" ht="15" hidden="false" customHeight="false" outlineLevel="0" collapsed="false">
      <c r="A1061" s="24" t="s">
        <v>1139</v>
      </c>
      <c r="B1061" s="31" t="n">
        <v>46223</v>
      </c>
      <c r="C1061" s="24" t="s">
        <v>24</v>
      </c>
      <c r="D1061" s="24" t="s">
        <v>32</v>
      </c>
      <c r="E1061" s="24" t="s">
        <v>79</v>
      </c>
      <c r="F1061" s="24" t="s">
        <v>45</v>
      </c>
      <c r="G1061" s="31" t="n">
        <v>46226</v>
      </c>
      <c r="H1061" s="24"/>
      <c r="I1061" s="24"/>
      <c r="J1061" s="24"/>
      <c r="K1061" s="24" t="n">
        <v>6</v>
      </c>
      <c r="L1061" s="24" t="str">
        <f aca="false">IF(J1061&lt;&gt;"","Enrolled",IF(I1061&lt;&gt;"","Admitted",IF(H1061&lt;&gt;"","Applied",IF(G1061&lt;&gt;"","Contacted","New"))))</f>
        <v>Contacted</v>
      </c>
      <c r="M1061" s="32" t="n">
        <f aca="false">IF(G1061="","",G1061-B1061)</f>
        <v>3</v>
      </c>
      <c r="N1061" s="24" t="str">
        <f aca="false">IF(COUNTIF($A$2:A1061,A1061)&gt;1,"Duplicate ID",IF(C1061="","Missing source",IF(OR(AND(G1061&lt;&gt;"",G1061&lt;B1061),AND(H1061&lt;&gt;"",H1061&lt;B1061),AND(I1061&lt;&gt;"",I1061&lt;H1061),AND(J1061&lt;&gt;"",J1061&lt;I1061)),"Date error","OK")))</f>
        <v>OK</v>
      </c>
    </row>
    <row r="1062" customFormat="false" ht="15" hidden="false" customHeight="false" outlineLevel="0" collapsed="false">
      <c r="A1062" s="24" t="s">
        <v>1140</v>
      </c>
      <c r="B1062" s="31" t="n">
        <v>46223</v>
      </c>
      <c r="C1062" s="24" t="s">
        <v>26</v>
      </c>
      <c r="D1062" s="24" t="s">
        <v>34</v>
      </c>
      <c r="E1062" s="24" t="s">
        <v>89</v>
      </c>
      <c r="F1062" s="24" t="s">
        <v>41</v>
      </c>
      <c r="G1062" s="31" t="n">
        <v>46224</v>
      </c>
      <c r="H1062" s="24"/>
      <c r="I1062" s="24"/>
      <c r="J1062" s="24"/>
      <c r="K1062" s="24" t="n">
        <v>2</v>
      </c>
      <c r="L1062" s="24" t="str">
        <f aca="false">IF(J1062&lt;&gt;"","Enrolled",IF(I1062&lt;&gt;"","Admitted",IF(H1062&lt;&gt;"","Applied",IF(G1062&lt;&gt;"","Contacted","New"))))</f>
        <v>Contacted</v>
      </c>
      <c r="M1062" s="32" t="n">
        <f aca="false">IF(G1062="","",G1062-B1062)</f>
        <v>1</v>
      </c>
      <c r="N1062" s="24" t="str">
        <f aca="false">IF(COUNTIF($A$2:A1062,A1062)&gt;1,"Duplicate ID",IF(C1062="","Missing source",IF(OR(AND(G1062&lt;&gt;"",G1062&lt;B1062),AND(H1062&lt;&gt;"",H1062&lt;B1062),AND(I1062&lt;&gt;"",I1062&lt;H1062),AND(J1062&lt;&gt;"",J1062&lt;I1062)),"Date error","OK")))</f>
        <v>OK</v>
      </c>
    </row>
    <row r="1063" customFormat="false" ht="15" hidden="false" customHeight="false" outlineLevel="0" collapsed="false">
      <c r="A1063" s="24" t="s">
        <v>1141</v>
      </c>
      <c r="B1063" s="31" t="n">
        <v>46223</v>
      </c>
      <c r="C1063" s="24" t="s">
        <v>26</v>
      </c>
      <c r="D1063" s="24" t="s">
        <v>33</v>
      </c>
      <c r="E1063" s="24" t="s">
        <v>79</v>
      </c>
      <c r="F1063" s="24" t="s">
        <v>41</v>
      </c>
      <c r="G1063" s="31" t="n">
        <v>46223</v>
      </c>
      <c r="H1063" s="24"/>
      <c r="I1063" s="24"/>
      <c r="J1063" s="24"/>
      <c r="K1063" s="24" t="n">
        <v>3</v>
      </c>
      <c r="L1063" s="24" t="str">
        <f aca="false">IF(J1063&lt;&gt;"","Enrolled",IF(I1063&lt;&gt;"","Admitted",IF(H1063&lt;&gt;"","Applied",IF(G1063&lt;&gt;"","Contacted","New"))))</f>
        <v>Contacted</v>
      </c>
      <c r="M1063" s="32" t="n">
        <f aca="false">IF(G1063="","",G1063-B1063)</f>
        <v>0</v>
      </c>
      <c r="N1063" s="24" t="str">
        <f aca="false">IF(COUNTIF($A$2:A1063,A1063)&gt;1,"Duplicate ID",IF(C1063="","Missing source",IF(OR(AND(G1063&lt;&gt;"",G1063&lt;B1063),AND(H1063&lt;&gt;"",H1063&lt;B1063),AND(I1063&lt;&gt;"",I1063&lt;H1063),AND(J1063&lt;&gt;"",J1063&lt;I1063)),"Date error","OK")))</f>
        <v>OK</v>
      </c>
    </row>
    <row r="1064" customFormat="false" ht="15" hidden="false" customHeight="false" outlineLevel="0" collapsed="false">
      <c r="A1064" s="24" t="s">
        <v>1142</v>
      </c>
      <c r="B1064" s="31" t="n">
        <v>46223</v>
      </c>
      <c r="C1064" s="24" t="s">
        <v>22</v>
      </c>
      <c r="D1064" s="24" t="s">
        <v>36</v>
      </c>
      <c r="E1064" s="24" t="s">
        <v>89</v>
      </c>
      <c r="F1064" s="24" t="s">
        <v>41</v>
      </c>
      <c r="G1064" s="31" t="n">
        <v>46224</v>
      </c>
      <c r="H1064" s="31" t="n">
        <v>46241</v>
      </c>
      <c r="I1064" s="31" t="n">
        <v>46252</v>
      </c>
      <c r="J1064" s="24"/>
      <c r="K1064" s="24" t="n">
        <v>7</v>
      </c>
      <c r="L1064" s="24" t="str">
        <f aca="false">IF(J1064&lt;&gt;"","Enrolled",IF(I1064&lt;&gt;"","Admitted",IF(H1064&lt;&gt;"","Applied",IF(G1064&lt;&gt;"","Contacted","New"))))</f>
        <v>Admitted</v>
      </c>
      <c r="M1064" s="32" t="n">
        <f aca="false">IF(G1064="","",G1064-B1064)</f>
        <v>1</v>
      </c>
      <c r="N1064" s="24" t="str">
        <f aca="false">IF(COUNTIF($A$2:A1064,A1064)&gt;1,"Duplicate ID",IF(C1064="","Missing source",IF(OR(AND(G1064&lt;&gt;"",G1064&lt;B1064),AND(H1064&lt;&gt;"",H1064&lt;B1064),AND(I1064&lt;&gt;"",I1064&lt;H1064),AND(J1064&lt;&gt;"",J1064&lt;I1064)),"Date error","OK")))</f>
        <v>OK</v>
      </c>
    </row>
    <row r="1065" customFormat="false" ht="15" hidden="false" customHeight="false" outlineLevel="0" collapsed="false">
      <c r="A1065" s="24" t="s">
        <v>1143</v>
      </c>
      <c r="B1065" s="31" t="n">
        <v>46223</v>
      </c>
      <c r="C1065" s="24" t="s">
        <v>24</v>
      </c>
      <c r="D1065" s="24" t="s">
        <v>32</v>
      </c>
      <c r="E1065" s="24" t="s">
        <v>81</v>
      </c>
      <c r="F1065" s="24" t="s">
        <v>45</v>
      </c>
      <c r="G1065" s="31" t="n">
        <v>46229</v>
      </c>
      <c r="H1065" s="24"/>
      <c r="I1065" s="24"/>
      <c r="J1065" s="24"/>
      <c r="K1065" s="24" t="n">
        <v>2</v>
      </c>
      <c r="L1065" s="24" t="str">
        <f aca="false">IF(J1065&lt;&gt;"","Enrolled",IF(I1065&lt;&gt;"","Admitted",IF(H1065&lt;&gt;"","Applied",IF(G1065&lt;&gt;"","Contacted","New"))))</f>
        <v>Contacted</v>
      </c>
      <c r="M1065" s="32" t="n">
        <f aca="false">IF(G1065="","",G1065-B1065)</f>
        <v>6</v>
      </c>
      <c r="N1065" s="24" t="str">
        <f aca="false">IF(COUNTIF($A$2:A1065,A1065)&gt;1,"Duplicate ID",IF(C1065="","Missing source",IF(OR(AND(G1065&lt;&gt;"",G1065&lt;B1065),AND(H1065&lt;&gt;"",H1065&lt;B1065),AND(I1065&lt;&gt;"",I1065&lt;H1065),AND(J1065&lt;&gt;"",J1065&lt;I1065)),"Date error","OK")))</f>
        <v>OK</v>
      </c>
    </row>
    <row r="1066" customFormat="false" ht="15" hidden="false" customHeight="false" outlineLevel="0" collapsed="false">
      <c r="A1066" s="24" t="s">
        <v>1144</v>
      </c>
      <c r="B1066" s="31" t="n">
        <v>46223</v>
      </c>
      <c r="C1066" s="24" t="s">
        <v>23</v>
      </c>
      <c r="D1066" s="24" t="s">
        <v>33</v>
      </c>
      <c r="E1066" s="24" t="s">
        <v>89</v>
      </c>
      <c r="F1066" s="24" t="s">
        <v>40</v>
      </c>
      <c r="G1066" s="31" t="n">
        <v>46223</v>
      </c>
      <c r="H1066" s="24"/>
      <c r="I1066" s="24"/>
      <c r="J1066" s="24"/>
      <c r="K1066" s="24" t="n">
        <v>2</v>
      </c>
      <c r="L1066" s="24" t="str">
        <f aca="false">IF(J1066&lt;&gt;"","Enrolled",IF(I1066&lt;&gt;"","Admitted",IF(H1066&lt;&gt;"","Applied",IF(G1066&lt;&gt;"","Contacted","New"))))</f>
        <v>Contacted</v>
      </c>
      <c r="M1066" s="32" t="n">
        <f aca="false">IF(G1066="","",G1066-B1066)</f>
        <v>0</v>
      </c>
      <c r="N1066" s="24" t="str">
        <f aca="false">IF(COUNTIF($A$2:A1066,A1066)&gt;1,"Duplicate ID",IF(C1066="","Missing source",IF(OR(AND(G1066&lt;&gt;"",G1066&lt;B1066),AND(H1066&lt;&gt;"",H1066&lt;B1066),AND(I1066&lt;&gt;"",I1066&lt;H1066),AND(J1066&lt;&gt;"",J1066&lt;I1066)),"Date error","OK")))</f>
        <v>OK</v>
      </c>
    </row>
    <row r="1067" customFormat="false" ht="15" hidden="false" customHeight="false" outlineLevel="0" collapsed="false">
      <c r="A1067" s="24" t="s">
        <v>1145</v>
      </c>
      <c r="B1067" s="31" t="n">
        <v>46223</v>
      </c>
      <c r="C1067" s="24" t="s">
        <v>22</v>
      </c>
      <c r="D1067" s="24" t="s">
        <v>34</v>
      </c>
      <c r="E1067" s="24" t="s">
        <v>94</v>
      </c>
      <c r="F1067" s="24" t="s">
        <v>44</v>
      </c>
      <c r="G1067" s="31" t="n">
        <v>46225</v>
      </c>
      <c r="H1067" s="24"/>
      <c r="I1067" s="24"/>
      <c r="J1067" s="24"/>
      <c r="K1067" s="24" t="n">
        <v>3</v>
      </c>
      <c r="L1067" s="24" t="str">
        <f aca="false">IF(J1067&lt;&gt;"","Enrolled",IF(I1067&lt;&gt;"","Admitted",IF(H1067&lt;&gt;"","Applied",IF(G1067&lt;&gt;"","Contacted","New"))))</f>
        <v>Contacted</v>
      </c>
      <c r="M1067" s="32" t="n">
        <f aca="false">IF(G1067="","",G1067-B1067)</f>
        <v>2</v>
      </c>
      <c r="N1067" s="24" t="str">
        <f aca="false">IF(COUNTIF($A$2:A1067,A1067)&gt;1,"Duplicate ID",IF(C1067="","Missing source",IF(OR(AND(G1067&lt;&gt;"",G1067&lt;B1067),AND(H1067&lt;&gt;"",H1067&lt;B1067),AND(I1067&lt;&gt;"",I1067&lt;H1067),AND(J1067&lt;&gt;"",J1067&lt;I1067)),"Date error","OK")))</f>
        <v>OK</v>
      </c>
    </row>
    <row r="1068" customFormat="false" ht="15" hidden="false" customHeight="false" outlineLevel="0" collapsed="false">
      <c r="A1068" s="24" t="s">
        <v>1146</v>
      </c>
      <c r="B1068" s="31" t="n">
        <v>46223</v>
      </c>
      <c r="C1068" s="24" t="s">
        <v>27</v>
      </c>
      <c r="D1068" s="24" t="s">
        <v>33</v>
      </c>
      <c r="E1068" s="24" t="s">
        <v>79</v>
      </c>
      <c r="F1068" s="24" t="s">
        <v>44</v>
      </c>
      <c r="G1068" s="31" t="n">
        <v>46224</v>
      </c>
      <c r="H1068" s="24"/>
      <c r="I1068" s="24"/>
      <c r="J1068" s="24"/>
      <c r="K1068" s="24" t="n">
        <v>2</v>
      </c>
      <c r="L1068" s="24" t="str">
        <f aca="false">IF(J1068&lt;&gt;"","Enrolled",IF(I1068&lt;&gt;"","Admitted",IF(H1068&lt;&gt;"","Applied",IF(G1068&lt;&gt;"","Contacted","New"))))</f>
        <v>Contacted</v>
      </c>
      <c r="M1068" s="32" t="n">
        <f aca="false">IF(G1068="","",G1068-B1068)</f>
        <v>1</v>
      </c>
      <c r="N1068" s="24" t="str">
        <f aca="false">IF(COUNTIF($A$2:A1068,A1068)&gt;1,"Duplicate ID",IF(C1068="","Missing source",IF(OR(AND(G1068&lt;&gt;"",G1068&lt;B1068),AND(H1068&lt;&gt;"",H1068&lt;B1068),AND(I1068&lt;&gt;"",I1068&lt;H1068),AND(J1068&lt;&gt;"",J1068&lt;I1068)),"Date error","OK")))</f>
        <v>OK</v>
      </c>
    </row>
    <row r="1069" customFormat="false" ht="15" hidden="false" customHeight="false" outlineLevel="0" collapsed="false">
      <c r="A1069" s="24" t="s">
        <v>1147</v>
      </c>
      <c r="B1069" s="31" t="n">
        <v>46223</v>
      </c>
      <c r="C1069" s="24" t="s">
        <v>26</v>
      </c>
      <c r="D1069" s="24" t="s">
        <v>35</v>
      </c>
      <c r="E1069" s="24" t="s">
        <v>89</v>
      </c>
      <c r="F1069" s="24" t="s">
        <v>41</v>
      </c>
      <c r="G1069" s="24"/>
      <c r="H1069" s="24"/>
      <c r="I1069" s="24"/>
      <c r="J1069" s="24"/>
      <c r="K1069" s="24" t="n">
        <v>0</v>
      </c>
      <c r="L1069" s="24" t="str">
        <f aca="false">IF(J1069&lt;&gt;"","Enrolled",IF(I1069&lt;&gt;"","Admitted",IF(H1069&lt;&gt;"","Applied",IF(G1069&lt;&gt;"","Contacted","New"))))</f>
        <v>New</v>
      </c>
      <c r="M1069" s="32" t="str">
        <f aca="false">IF(G1069="","",G1069-B1069)</f>
        <v/>
      </c>
      <c r="N1069" s="24" t="str">
        <f aca="false">IF(COUNTIF($A$2:A1069,A1069)&gt;1,"Duplicate ID",IF(C1069="","Missing source",IF(OR(AND(G1069&lt;&gt;"",G1069&lt;B1069),AND(H1069&lt;&gt;"",H1069&lt;B1069),AND(I1069&lt;&gt;"",I1069&lt;H1069),AND(J1069&lt;&gt;"",J1069&lt;I1069)),"Date error","OK")))</f>
        <v>OK</v>
      </c>
    </row>
    <row r="1070" customFormat="false" ht="15" hidden="false" customHeight="false" outlineLevel="0" collapsed="false">
      <c r="A1070" s="24" t="s">
        <v>1148</v>
      </c>
      <c r="B1070" s="31" t="n">
        <v>46223</v>
      </c>
      <c r="C1070" s="24" t="s">
        <v>27</v>
      </c>
      <c r="D1070" s="24" t="s">
        <v>36</v>
      </c>
      <c r="E1070" s="24" t="s">
        <v>89</v>
      </c>
      <c r="F1070" s="24" t="s">
        <v>41</v>
      </c>
      <c r="G1070" s="31" t="n">
        <v>46223</v>
      </c>
      <c r="H1070" s="31" t="n">
        <v>46243</v>
      </c>
      <c r="I1070" s="31" t="n">
        <v>46248</v>
      </c>
      <c r="J1070" s="24"/>
      <c r="K1070" s="24" t="n">
        <v>5</v>
      </c>
      <c r="L1070" s="24" t="str">
        <f aca="false">IF(J1070&lt;&gt;"","Enrolled",IF(I1070&lt;&gt;"","Admitted",IF(H1070&lt;&gt;"","Applied",IF(G1070&lt;&gt;"","Contacted","New"))))</f>
        <v>Admitted</v>
      </c>
      <c r="M1070" s="32" t="n">
        <f aca="false">IF(G1070="","",G1070-B1070)</f>
        <v>0</v>
      </c>
      <c r="N1070" s="24" t="str">
        <f aca="false">IF(COUNTIF($A$2:A1070,A1070)&gt;1,"Duplicate ID",IF(C1070="","Missing source",IF(OR(AND(G1070&lt;&gt;"",G1070&lt;B1070),AND(H1070&lt;&gt;"",H1070&lt;B1070),AND(I1070&lt;&gt;"",I1070&lt;H1070),AND(J1070&lt;&gt;"",J1070&lt;I1070)),"Date error","OK")))</f>
        <v>OK</v>
      </c>
    </row>
    <row r="1071" customFormat="false" ht="15" hidden="false" customHeight="false" outlineLevel="0" collapsed="false">
      <c r="A1071" s="24" t="s">
        <v>1149</v>
      </c>
      <c r="B1071" s="31" t="n">
        <v>46223</v>
      </c>
      <c r="C1071" s="24" t="s">
        <v>26</v>
      </c>
      <c r="D1071" s="24" t="s">
        <v>33</v>
      </c>
      <c r="E1071" s="24" t="s">
        <v>89</v>
      </c>
      <c r="F1071" s="24" t="s">
        <v>43</v>
      </c>
      <c r="G1071" s="31" t="n">
        <v>46225</v>
      </c>
      <c r="H1071" s="24"/>
      <c r="I1071" s="24"/>
      <c r="J1071" s="24"/>
      <c r="K1071" s="24" t="n">
        <v>2</v>
      </c>
      <c r="L1071" s="24" t="str">
        <f aca="false">IF(J1071&lt;&gt;"","Enrolled",IF(I1071&lt;&gt;"","Admitted",IF(H1071&lt;&gt;"","Applied",IF(G1071&lt;&gt;"","Contacted","New"))))</f>
        <v>Contacted</v>
      </c>
      <c r="M1071" s="32" t="n">
        <f aca="false">IF(G1071="","",G1071-B1071)</f>
        <v>2</v>
      </c>
      <c r="N1071" s="24" t="str">
        <f aca="false">IF(COUNTIF($A$2:A1071,A1071)&gt;1,"Duplicate ID",IF(C1071="","Missing source",IF(OR(AND(G1071&lt;&gt;"",G1071&lt;B1071),AND(H1071&lt;&gt;"",H1071&lt;B1071),AND(I1071&lt;&gt;"",I1071&lt;H1071),AND(J1071&lt;&gt;"",J1071&lt;I1071)),"Date error","OK")))</f>
        <v>OK</v>
      </c>
    </row>
    <row r="1072" customFormat="false" ht="15" hidden="false" customHeight="false" outlineLevel="0" collapsed="false">
      <c r="A1072" s="24" t="s">
        <v>1150</v>
      </c>
      <c r="B1072" s="31" t="n">
        <v>46223</v>
      </c>
      <c r="C1072" s="24" t="s">
        <v>26</v>
      </c>
      <c r="D1072" s="24" t="s">
        <v>32</v>
      </c>
      <c r="E1072" s="24" t="s">
        <v>94</v>
      </c>
      <c r="F1072" s="24" t="s">
        <v>42</v>
      </c>
      <c r="G1072" s="31" t="n">
        <v>46223</v>
      </c>
      <c r="H1072" s="24"/>
      <c r="I1072" s="24"/>
      <c r="J1072" s="24"/>
      <c r="K1072" s="24" t="n">
        <v>5</v>
      </c>
      <c r="L1072" s="24" t="str">
        <f aca="false">IF(J1072&lt;&gt;"","Enrolled",IF(I1072&lt;&gt;"","Admitted",IF(H1072&lt;&gt;"","Applied",IF(G1072&lt;&gt;"","Contacted","New"))))</f>
        <v>Contacted</v>
      </c>
      <c r="M1072" s="32" t="n">
        <f aca="false">IF(G1072="","",G1072-B1072)</f>
        <v>0</v>
      </c>
      <c r="N1072" s="24" t="str">
        <f aca="false">IF(COUNTIF($A$2:A1072,A1072)&gt;1,"Duplicate ID",IF(C1072="","Missing source",IF(OR(AND(G1072&lt;&gt;"",G1072&lt;B1072),AND(H1072&lt;&gt;"",H1072&lt;B1072),AND(I1072&lt;&gt;"",I1072&lt;H1072),AND(J1072&lt;&gt;"",J1072&lt;I1072)),"Date error","OK")))</f>
        <v>OK</v>
      </c>
    </row>
    <row r="1073" customFormat="false" ht="15" hidden="false" customHeight="false" outlineLevel="0" collapsed="false">
      <c r="A1073" s="24" t="s">
        <v>1151</v>
      </c>
      <c r="B1073" s="31" t="n">
        <v>46223</v>
      </c>
      <c r="C1073" s="24" t="s">
        <v>25</v>
      </c>
      <c r="D1073" s="24" t="s">
        <v>33</v>
      </c>
      <c r="E1073" s="24" t="s">
        <v>94</v>
      </c>
      <c r="F1073" s="24" t="s">
        <v>40</v>
      </c>
      <c r="G1073" s="31" t="n">
        <v>46224</v>
      </c>
      <c r="H1073" s="31" t="n">
        <v>46242</v>
      </c>
      <c r="I1073" s="31" t="n">
        <v>46255</v>
      </c>
      <c r="J1073" s="24"/>
      <c r="K1073" s="24" t="n">
        <v>5</v>
      </c>
      <c r="L1073" s="24" t="str">
        <f aca="false">IF(J1073&lt;&gt;"","Enrolled",IF(I1073&lt;&gt;"","Admitted",IF(H1073&lt;&gt;"","Applied",IF(G1073&lt;&gt;"","Contacted","New"))))</f>
        <v>Admitted</v>
      </c>
      <c r="M1073" s="32" t="n">
        <f aca="false">IF(G1073="","",G1073-B1073)</f>
        <v>1</v>
      </c>
      <c r="N1073" s="24" t="str">
        <f aca="false">IF(COUNTIF($A$2:A1073,A1073)&gt;1,"Duplicate ID",IF(C1073="","Missing source",IF(OR(AND(G1073&lt;&gt;"",G1073&lt;B1073),AND(H1073&lt;&gt;"",H1073&lt;B1073),AND(I1073&lt;&gt;"",I1073&lt;H1073),AND(J1073&lt;&gt;"",J1073&lt;I1073)),"Date error","OK")))</f>
        <v>OK</v>
      </c>
    </row>
    <row r="1074" customFormat="false" ht="15" hidden="false" customHeight="false" outlineLevel="0" collapsed="false">
      <c r="A1074" s="24" t="s">
        <v>1152</v>
      </c>
      <c r="B1074" s="31" t="n">
        <v>46224</v>
      </c>
      <c r="C1074" s="24" t="s">
        <v>22</v>
      </c>
      <c r="D1074" s="24" t="s">
        <v>32</v>
      </c>
      <c r="E1074" s="24" t="s">
        <v>89</v>
      </c>
      <c r="F1074" s="24" t="s">
        <v>41</v>
      </c>
      <c r="G1074" s="31" t="n">
        <v>46224</v>
      </c>
      <c r="H1074" s="24"/>
      <c r="I1074" s="24"/>
      <c r="J1074" s="24"/>
      <c r="K1074" s="24" t="n">
        <v>4</v>
      </c>
      <c r="L1074" s="24" t="str">
        <f aca="false">IF(J1074&lt;&gt;"","Enrolled",IF(I1074&lt;&gt;"","Admitted",IF(H1074&lt;&gt;"","Applied",IF(G1074&lt;&gt;"","Contacted","New"))))</f>
        <v>Contacted</v>
      </c>
      <c r="M1074" s="32" t="n">
        <f aca="false">IF(G1074="","",G1074-B1074)</f>
        <v>0</v>
      </c>
      <c r="N1074" s="24" t="str">
        <f aca="false">IF(COUNTIF($A$2:A1074,A1074)&gt;1,"Duplicate ID",IF(C1074="","Missing source",IF(OR(AND(G1074&lt;&gt;"",G1074&lt;B1074),AND(H1074&lt;&gt;"",H1074&lt;B1074),AND(I1074&lt;&gt;"",I1074&lt;H1074),AND(J1074&lt;&gt;"",J1074&lt;I1074)),"Date error","OK")))</f>
        <v>OK</v>
      </c>
    </row>
    <row r="1075" customFormat="false" ht="15" hidden="false" customHeight="false" outlineLevel="0" collapsed="false">
      <c r="A1075" s="24" t="s">
        <v>1153</v>
      </c>
      <c r="B1075" s="31" t="n">
        <v>46224</v>
      </c>
      <c r="C1075" s="24" t="s">
        <v>26</v>
      </c>
      <c r="D1075" s="24" t="s">
        <v>34</v>
      </c>
      <c r="E1075" s="24" t="s">
        <v>84</v>
      </c>
      <c r="F1075" s="24" t="s">
        <v>44</v>
      </c>
      <c r="G1075" s="31" t="n">
        <v>46225</v>
      </c>
      <c r="H1075" s="24"/>
      <c r="I1075" s="24"/>
      <c r="J1075" s="24"/>
      <c r="K1075" s="24" t="n">
        <v>8</v>
      </c>
      <c r="L1075" s="24" t="str">
        <f aca="false">IF(J1075&lt;&gt;"","Enrolled",IF(I1075&lt;&gt;"","Admitted",IF(H1075&lt;&gt;"","Applied",IF(G1075&lt;&gt;"","Contacted","New"))))</f>
        <v>Contacted</v>
      </c>
      <c r="M1075" s="32" t="n">
        <f aca="false">IF(G1075="","",G1075-B1075)</f>
        <v>1</v>
      </c>
      <c r="N1075" s="24" t="str">
        <f aca="false">IF(COUNTIF($A$2:A1075,A1075)&gt;1,"Duplicate ID",IF(C1075="","Missing source",IF(OR(AND(G1075&lt;&gt;"",G1075&lt;B1075),AND(H1075&lt;&gt;"",H1075&lt;B1075),AND(I1075&lt;&gt;"",I1075&lt;H1075),AND(J1075&lt;&gt;"",J1075&lt;I1075)),"Date error","OK")))</f>
        <v>OK</v>
      </c>
    </row>
    <row r="1076" customFormat="false" ht="15" hidden="false" customHeight="false" outlineLevel="0" collapsed="false">
      <c r="A1076" s="24" t="s">
        <v>1154</v>
      </c>
      <c r="B1076" s="31" t="n">
        <v>46224</v>
      </c>
      <c r="C1076" s="24" t="s">
        <v>25</v>
      </c>
      <c r="D1076" s="24" t="s">
        <v>32</v>
      </c>
      <c r="E1076" s="24" t="s">
        <v>81</v>
      </c>
      <c r="F1076" s="24" t="s">
        <v>43</v>
      </c>
      <c r="G1076" s="31" t="n">
        <v>46226</v>
      </c>
      <c r="H1076" s="24"/>
      <c r="I1076" s="24"/>
      <c r="J1076" s="24"/>
      <c r="K1076" s="24" t="n">
        <v>0</v>
      </c>
      <c r="L1076" s="24" t="str">
        <f aca="false">IF(J1076&lt;&gt;"","Enrolled",IF(I1076&lt;&gt;"","Admitted",IF(H1076&lt;&gt;"","Applied",IF(G1076&lt;&gt;"","Contacted","New"))))</f>
        <v>Contacted</v>
      </c>
      <c r="M1076" s="32" t="n">
        <f aca="false">IF(G1076="","",G1076-B1076)</f>
        <v>2</v>
      </c>
      <c r="N1076" s="24" t="str">
        <f aca="false">IF(COUNTIF($A$2:A1076,A1076)&gt;1,"Duplicate ID",IF(C1076="","Missing source",IF(OR(AND(G1076&lt;&gt;"",G1076&lt;B1076),AND(H1076&lt;&gt;"",H1076&lt;B1076),AND(I1076&lt;&gt;"",I1076&lt;H1076),AND(J1076&lt;&gt;"",J1076&lt;I1076)),"Date error","OK")))</f>
        <v>OK</v>
      </c>
    </row>
    <row r="1077" customFormat="false" ht="15" hidden="false" customHeight="false" outlineLevel="0" collapsed="false">
      <c r="A1077" s="24" t="s">
        <v>1155</v>
      </c>
      <c r="B1077" s="31" t="n">
        <v>46224</v>
      </c>
      <c r="C1077" s="24" t="s">
        <v>26</v>
      </c>
      <c r="D1077" s="24" t="s">
        <v>33</v>
      </c>
      <c r="E1077" s="24" t="s">
        <v>94</v>
      </c>
      <c r="F1077" s="24" t="s">
        <v>45</v>
      </c>
      <c r="G1077" s="31" t="n">
        <v>46226</v>
      </c>
      <c r="H1077" s="24"/>
      <c r="I1077" s="24"/>
      <c r="J1077" s="24"/>
      <c r="K1077" s="24" t="n">
        <v>2</v>
      </c>
      <c r="L1077" s="24" t="str">
        <f aca="false">IF(J1077&lt;&gt;"","Enrolled",IF(I1077&lt;&gt;"","Admitted",IF(H1077&lt;&gt;"","Applied",IF(G1077&lt;&gt;"","Contacted","New"))))</f>
        <v>Contacted</v>
      </c>
      <c r="M1077" s="32" t="n">
        <f aca="false">IF(G1077="","",G1077-B1077)</f>
        <v>2</v>
      </c>
      <c r="N1077" s="24" t="str">
        <f aca="false">IF(COUNTIF($A$2:A1077,A1077)&gt;1,"Duplicate ID",IF(C1077="","Missing source",IF(OR(AND(G1077&lt;&gt;"",G1077&lt;B1077),AND(H1077&lt;&gt;"",H1077&lt;B1077),AND(I1077&lt;&gt;"",I1077&lt;H1077),AND(J1077&lt;&gt;"",J1077&lt;I1077)),"Date error","OK")))</f>
        <v>OK</v>
      </c>
    </row>
    <row r="1078" customFormat="false" ht="15" hidden="false" customHeight="false" outlineLevel="0" collapsed="false">
      <c r="A1078" s="24" t="s">
        <v>1156</v>
      </c>
      <c r="B1078" s="31" t="n">
        <v>46224</v>
      </c>
      <c r="C1078" s="24" t="s">
        <v>24</v>
      </c>
      <c r="D1078" s="24" t="s">
        <v>33</v>
      </c>
      <c r="E1078" s="24" t="s">
        <v>79</v>
      </c>
      <c r="F1078" s="24" t="s">
        <v>44</v>
      </c>
      <c r="G1078" s="31" t="n">
        <v>46225</v>
      </c>
      <c r="H1078" s="24"/>
      <c r="I1078" s="24"/>
      <c r="J1078" s="24"/>
      <c r="K1078" s="24" t="n">
        <v>2</v>
      </c>
      <c r="L1078" s="24" t="str">
        <f aca="false">IF(J1078&lt;&gt;"","Enrolled",IF(I1078&lt;&gt;"","Admitted",IF(H1078&lt;&gt;"","Applied",IF(G1078&lt;&gt;"","Contacted","New"))))</f>
        <v>Contacted</v>
      </c>
      <c r="M1078" s="32" t="n">
        <f aca="false">IF(G1078="","",G1078-B1078)</f>
        <v>1</v>
      </c>
      <c r="N1078" s="24" t="str">
        <f aca="false">IF(COUNTIF($A$2:A1078,A1078)&gt;1,"Duplicate ID",IF(C1078="","Missing source",IF(OR(AND(G1078&lt;&gt;"",G1078&lt;B1078),AND(H1078&lt;&gt;"",H1078&lt;B1078),AND(I1078&lt;&gt;"",I1078&lt;H1078),AND(J1078&lt;&gt;"",J1078&lt;I1078)),"Date error","OK")))</f>
        <v>OK</v>
      </c>
    </row>
    <row r="1079" customFormat="false" ht="15" hidden="false" customHeight="false" outlineLevel="0" collapsed="false">
      <c r="A1079" s="24" t="s">
        <v>1157</v>
      </c>
      <c r="B1079" s="31" t="n">
        <v>46224</v>
      </c>
      <c r="C1079" s="24" t="s">
        <v>27</v>
      </c>
      <c r="D1079" s="24" t="s">
        <v>32</v>
      </c>
      <c r="E1079" s="24" t="s">
        <v>89</v>
      </c>
      <c r="F1079" s="24" t="s">
        <v>43</v>
      </c>
      <c r="G1079" s="31" t="n">
        <v>46229</v>
      </c>
      <c r="H1079" s="31" t="n">
        <v>46242</v>
      </c>
      <c r="I1079" s="31" t="n">
        <v>46248</v>
      </c>
      <c r="J1079" s="24"/>
      <c r="K1079" s="24" t="n">
        <v>2</v>
      </c>
      <c r="L1079" s="24" t="str">
        <f aca="false">IF(J1079&lt;&gt;"","Enrolled",IF(I1079&lt;&gt;"","Admitted",IF(H1079&lt;&gt;"","Applied",IF(G1079&lt;&gt;"","Contacted","New"))))</f>
        <v>Admitted</v>
      </c>
      <c r="M1079" s="32" t="n">
        <f aca="false">IF(G1079="","",G1079-B1079)</f>
        <v>5</v>
      </c>
      <c r="N1079" s="24" t="str">
        <f aca="false">IF(COUNTIF($A$2:A1079,A1079)&gt;1,"Duplicate ID",IF(C1079="","Missing source",IF(OR(AND(G1079&lt;&gt;"",G1079&lt;B1079),AND(H1079&lt;&gt;"",H1079&lt;B1079),AND(I1079&lt;&gt;"",I1079&lt;H1079),AND(J1079&lt;&gt;"",J1079&lt;I1079)),"Date error","OK")))</f>
        <v>OK</v>
      </c>
    </row>
    <row r="1080" customFormat="false" ht="15" hidden="false" customHeight="false" outlineLevel="0" collapsed="false">
      <c r="A1080" s="24" t="s">
        <v>1158</v>
      </c>
      <c r="B1080" s="31" t="n">
        <v>46224</v>
      </c>
      <c r="C1080" s="24" t="s">
        <v>27</v>
      </c>
      <c r="D1080" s="24" t="s">
        <v>32</v>
      </c>
      <c r="E1080" s="24" t="s">
        <v>94</v>
      </c>
      <c r="F1080" s="24" t="s">
        <v>43</v>
      </c>
      <c r="G1080" s="31" t="n">
        <v>46228</v>
      </c>
      <c r="H1080" s="24"/>
      <c r="I1080" s="24"/>
      <c r="J1080" s="24"/>
      <c r="K1080" s="24" t="n">
        <v>1</v>
      </c>
      <c r="L1080" s="24" t="str">
        <f aca="false">IF(J1080&lt;&gt;"","Enrolled",IF(I1080&lt;&gt;"","Admitted",IF(H1080&lt;&gt;"","Applied",IF(G1080&lt;&gt;"","Contacted","New"))))</f>
        <v>Contacted</v>
      </c>
      <c r="M1080" s="32" t="n">
        <f aca="false">IF(G1080="","",G1080-B1080)</f>
        <v>4</v>
      </c>
      <c r="N1080" s="24" t="str">
        <f aca="false">IF(COUNTIF($A$2:A1080,A1080)&gt;1,"Duplicate ID",IF(C1080="","Missing source",IF(OR(AND(G1080&lt;&gt;"",G1080&lt;B1080),AND(H1080&lt;&gt;"",H1080&lt;B1080),AND(I1080&lt;&gt;"",I1080&lt;H1080),AND(J1080&lt;&gt;"",J1080&lt;I1080)),"Date error","OK")))</f>
        <v>OK</v>
      </c>
    </row>
    <row r="1081" customFormat="false" ht="15" hidden="false" customHeight="false" outlineLevel="0" collapsed="false">
      <c r="A1081" s="24" t="s">
        <v>1159</v>
      </c>
      <c r="B1081" s="31" t="n">
        <v>46224</v>
      </c>
      <c r="C1081" s="24" t="s">
        <v>25</v>
      </c>
      <c r="D1081" s="24" t="s">
        <v>34</v>
      </c>
      <c r="E1081" s="24" t="s">
        <v>79</v>
      </c>
      <c r="F1081" s="24" t="s">
        <v>45</v>
      </c>
      <c r="G1081" s="31" t="n">
        <v>46226</v>
      </c>
      <c r="H1081" s="24"/>
      <c r="I1081" s="24"/>
      <c r="J1081" s="24"/>
      <c r="K1081" s="24" t="n">
        <v>4</v>
      </c>
      <c r="L1081" s="24" t="str">
        <f aca="false">IF(J1081&lt;&gt;"","Enrolled",IF(I1081&lt;&gt;"","Admitted",IF(H1081&lt;&gt;"","Applied",IF(G1081&lt;&gt;"","Contacted","New"))))</f>
        <v>Contacted</v>
      </c>
      <c r="M1081" s="32" t="n">
        <f aca="false">IF(G1081="","",G1081-B1081)</f>
        <v>2</v>
      </c>
      <c r="N1081" s="24" t="str">
        <f aca="false">IF(COUNTIF($A$2:A1081,A1081)&gt;1,"Duplicate ID",IF(C1081="","Missing source",IF(OR(AND(G1081&lt;&gt;"",G1081&lt;B1081),AND(H1081&lt;&gt;"",H1081&lt;B1081),AND(I1081&lt;&gt;"",I1081&lt;H1081),AND(J1081&lt;&gt;"",J1081&lt;I1081)),"Date error","OK")))</f>
        <v>OK</v>
      </c>
    </row>
    <row r="1082" customFormat="false" ht="15" hidden="false" customHeight="false" outlineLevel="0" collapsed="false">
      <c r="A1082" s="24" t="s">
        <v>1160</v>
      </c>
      <c r="B1082" s="31" t="n">
        <v>46224</v>
      </c>
      <c r="C1082" s="24" t="s">
        <v>25</v>
      </c>
      <c r="D1082" s="24" t="s">
        <v>32</v>
      </c>
      <c r="E1082" s="24" t="s">
        <v>89</v>
      </c>
      <c r="F1082" s="24" t="s">
        <v>43</v>
      </c>
      <c r="G1082" s="31" t="n">
        <v>46228</v>
      </c>
      <c r="H1082" s="24"/>
      <c r="I1082" s="24"/>
      <c r="J1082" s="24"/>
      <c r="K1082" s="24" t="n">
        <v>4</v>
      </c>
      <c r="L1082" s="24" t="str">
        <f aca="false">IF(J1082&lt;&gt;"","Enrolled",IF(I1082&lt;&gt;"","Admitted",IF(H1082&lt;&gt;"","Applied",IF(G1082&lt;&gt;"","Contacted","New"))))</f>
        <v>Contacted</v>
      </c>
      <c r="M1082" s="32" t="n">
        <f aca="false">IF(G1082="","",G1082-B1082)</f>
        <v>4</v>
      </c>
      <c r="N1082" s="24" t="str">
        <f aca="false">IF(COUNTIF($A$2:A1082,A1082)&gt;1,"Duplicate ID",IF(C1082="","Missing source",IF(OR(AND(G1082&lt;&gt;"",G1082&lt;B1082),AND(H1082&lt;&gt;"",H1082&lt;B1082),AND(I1082&lt;&gt;"",I1082&lt;H1082),AND(J1082&lt;&gt;"",J1082&lt;I1082)),"Date error","OK")))</f>
        <v>OK</v>
      </c>
    </row>
    <row r="1083" customFormat="false" ht="15" hidden="false" customHeight="false" outlineLevel="0" collapsed="false">
      <c r="A1083" s="24" t="s">
        <v>1161</v>
      </c>
      <c r="B1083" s="31" t="n">
        <v>46224</v>
      </c>
      <c r="C1083" s="24" t="s">
        <v>24</v>
      </c>
      <c r="D1083" s="24" t="s">
        <v>35</v>
      </c>
      <c r="E1083" s="24" t="s">
        <v>81</v>
      </c>
      <c r="F1083" s="24" t="s">
        <v>44</v>
      </c>
      <c r="G1083" s="31" t="n">
        <v>46225</v>
      </c>
      <c r="H1083" s="24"/>
      <c r="I1083" s="24"/>
      <c r="J1083" s="24"/>
      <c r="K1083" s="24" t="n">
        <v>3</v>
      </c>
      <c r="L1083" s="24" t="str">
        <f aca="false">IF(J1083&lt;&gt;"","Enrolled",IF(I1083&lt;&gt;"","Admitted",IF(H1083&lt;&gt;"","Applied",IF(G1083&lt;&gt;"","Contacted","New"))))</f>
        <v>Contacted</v>
      </c>
      <c r="M1083" s="32" t="n">
        <f aca="false">IF(G1083="","",G1083-B1083)</f>
        <v>1</v>
      </c>
      <c r="N1083" s="24" t="str">
        <f aca="false">IF(COUNTIF($A$2:A1083,A1083)&gt;1,"Duplicate ID",IF(C1083="","Missing source",IF(OR(AND(G1083&lt;&gt;"",G1083&lt;B1083),AND(H1083&lt;&gt;"",H1083&lt;B1083),AND(I1083&lt;&gt;"",I1083&lt;H1083),AND(J1083&lt;&gt;"",J1083&lt;I1083)),"Date error","OK")))</f>
        <v>OK</v>
      </c>
    </row>
    <row r="1084" customFormat="false" ht="15" hidden="false" customHeight="false" outlineLevel="0" collapsed="false">
      <c r="A1084" s="24" t="s">
        <v>1162</v>
      </c>
      <c r="B1084" s="31" t="n">
        <v>46224</v>
      </c>
      <c r="C1084" s="24" t="s">
        <v>23</v>
      </c>
      <c r="D1084" s="24" t="s">
        <v>33</v>
      </c>
      <c r="E1084" s="24" t="s">
        <v>94</v>
      </c>
      <c r="F1084" s="24" t="s">
        <v>45</v>
      </c>
      <c r="G1084" s="31" t="n">
        <v>46225</v>
      </c>
      <c r="H1084" s="24"/>
      <c r="I1084" s="24"/>
      <c r="J1084" s="24"/>
      <c r="K1084" s="24" t="n">
        <v>2</v>
      </c>
      <c r="L1084" s="24" t="str">
        <f aca="false">IF(J1084&lt;&gt;"","Enrolled",IF(I1084&lt;&gt;"","Admitted",IF(H1084&lt;&gt;"","Applied",IF(G1084&lt;&gt;"","Contacted","New"))))</f>
        <v>Contacted</v>
      </c>
      <c r="M1084" s="32" t="n">
        <f aca="false">IF(G1084="","",G1084-B1084)</f>
        <v>1</v>
      </c>
      <c r="N1084" s="24" t="str">
        <f aca="false">IF(COUNTIF($A$2:A1084,A1084)&gt;1,"Duplicate ID",IF(C1084="","Missing source",IF(OR(AND(G1084&lt;&gt;"",G1084&lt;B1084),AND(H1084&lt;&gt;"",H1084&lt;B1084),AND(I1084&lt;&gt;"",I1084&lt;H1084),AND(J1084&lt;&gt;"",J1084&lt;I1084)),"Date error","OK")))</f>
        <v>OK</v>
      </c>
    </row>
    <row r="1085" customFormat="false" ht="15" hidden="false" customHeight="false" outlineLevel="0" collapsed="false">
      <c r="A1085" s="24" t="s">
        <v>1163</v>
      </c>
      <c r="B1085" s="31" t="n">
        <v>46224</v>
      </c>
      <c r="C1085" s="24" t="s">
        <v>23</v>
      </c>
      <c r="D1085" s="24" t="s">
        <v>34</v>
      </c>
      <c r="E1085" s="24" t="s">
        <v>84</v>
      </c>
      <c r="F1085" s="24" t="s">
        <v>42</v>
      </c>
      <c r="G1085" s="31" t="n">
        <v>46225</v>
      </c>
      <c r="H1085" s="31" t="n">
        <v>46242</v>
      </c>
      <c r="I1085" s="31" t="n">
        <v>46253</v>
      </c>
      <c r="J1085" s="24"/>
      <c r="K1085" s="24" t="n">
        <v>3</v>
      </c>
      <c r="L1085" s="24" t="str">
        <f aca="false">IF(J1085&lt;&gt;"","Enrolled",IF(I1085&lt;&gt;"","Admitted",IF(H1085&lt;&gt;"","Applied",IF(G1085&lt;&gt;"","Contacted","New"))))</f>
        <v>Admitted</v>
      </c>
      <c r="M1085" s="32" t="n">
        <f aca="false">IF(G1085="","",G1085-B1085)</f>
        <v>1</v>
      </c>
      <c r="N1085" s="24" t="str">
        <f aca="false">IF(COUNTIF($A$2:A1085,A1085)&gt;1,"Duplicate ID",IF(C1085="","Missing source",IF(OR(AND(G1085&lt;&gt;"",G1085&lt;B1085),AND(H1085&lt;&gt;"",H1085&lt;B1085),AND(I1085&lt;&gt;"",I1085&lt;H1085),AND(J1085&lt;&gt;"",J1085&lt;I1085)),"Date error","OK")))</f>
        <v>OK</v>
      </c>
    </row>
    <row r="1086" customFormat="false" ht="15" hidden="false" customHeight="false" outlineLevel="0" collapsed="false">
      <c r="A1086" s="24" t="s">
        <v>1164</v>
      </c>
      <c r="B1086" s="31" t="n">
        <v>46224</v>
      </c>
      <c r="C1086" s="24" t="s">
        <v>27</v>
      </c>
      <c r="D1086" s="24" t="s">
        <v>35</v>
      </c>
      <c r="E1086" s="24" t="s">
        <v>84</v>
      </c>
      <c r="F1086" s="24" t="s">
        <v>45</v>
      </c>
      <c r="G1086" s="31" t="n">
        <v>46226</v>
      </c>
      <c r="H1086" s="24"/>
      <c r="I1086" s="24"/>
      <c r="J1086" s="24"/>
      <c r="K1086" s="24" t="n">
        <v>3</v>
      </c>
      <c r="L1086" s="24" t="str">
        <f aca="false">IF(J1086&lt;&gt;"","Enrolled",IF(I1086&lt;&gt;"","Admitted",IF(H1086&lt;&gt;"","Applied",IF(G1086&lt;&gt;"","Contacted","New"))))</f>
        <v>Contacted</v>
      </c>
      <c r="M1086" s="32" t="n">
        <f aca="false">IF(G1086="","",G1086-B1086)</f>
        <v>2</v>
      </c>
      <c r="N1086" s="24" t="str">
        <f aca="false">IF(COUNTIF($A$2:A1086,A1086)&gt;1,"Duplicate ID",IF(C1086="","Missing source",IF(OR(AND(G1086&lt;&gt;"",G1086&lt;B1086),AND(H1086&lt;&gt;"",H1086&lt;B1086),AND(I1086&lt;&gt;"",I1086&lt;H1086),AND(J1086&lt;&gt;"",J1086&lt;I1086)),"Date error","OK")))</f>
        <v>OK</v>
      </c>
    </row>
    <row r="1087" customFormat="false" ht="15" hidden="false" customHeight="false" outlineLevel="0" collapsed="false">
      <c r="A1087" s="24" t="s">
        <v>1165</v>
      </c>
      <c r="B1087" s="31" t="n">
        <v>46224</v>
      </c>
      <c r="C1087" s="24" t="s">
        <v>27</v>
      </c>
      <c r="D1087" s="24" t="s">
        <v>33</v>
      </c>
      <c r="E1087" s="24" t="s">
        <v>89</v>
      </c>
      <c r="F1087" s="24" t="s">
        <v>45</v>
      </c>
      <c r="G1087" s="31" t="n">
        <v>46231</v>
      </c>
      <c r="H1087" s="24"/>
      <c r="I1087" s="24"/>
      <c r="J1087" s="24"/>
      <c r="K1087" s="24" t="n">
        <v>1</v>
      </c>
      <c r="L1087" s="24" t="str">
        <f aca="false">IF(J1087&lt;&gt;"","Enrolled",IF(I1087&lt;&gt;"","Admitted",IF(H1087&lt;&gt;"","Applied",IF(G1087&lt;&gt;"","Contacted","New"))))</f>
        <v>Contacted</v>
      </c>
      <c r="M1087" s="32" t="n">
        <f aca="false">IF(G1087="","",G1087-B1087)</f>
        <v>7</v>
      </c>
      <c r="N1087" s="24" t="str">
        <f aca="false">IF(COUNTIF($A$2:A1087,A1087)&gt;1,"Duplicate ID",IF(C1087="","Missing source",IF(OR(AND(G1087&lt;&gt;"",G1087&lt;B1087),AND(H1087&lt;&gt;"",H1087&lt;B1087),AND(I1087&lt;&gt;"",I1087&lt;H1087),AND(J1087&lt;&gt;"",J1087&lt;I1087)),"Date error","OK")))</f>
        <v>OK</v>
      </c>
    </row>
    <row r="1088" customFormat="false" ht="15" hidden="false" customHeight="false" outlineLevel="0" collapsed="false">
      <c r="A1088" s="24" t="s">
        <v>1166</v>
      </c>
      <c r="B1088" s="31" t="n">
        <v>46225</v>
      </c>
      <c r="C1088" s="24" t="s">
        <v>26</v>
      </c>
      <c r="D1088" s="24" t="s">
        <v>32</v>
      </c>
      <c r="E1088" s="24" t="s">
        <v>89</v>
      </c>
      <c r="F1088" s="24" t="s">
        <v>41</v>
      </c>
      <c r="G1088" s="24"/>
      <c r="H1088" s="24"/>
      <c r="I1088" s="24"/>
      <c r="J1088" s="24"/>
      <c r="K1088" s="24" t="n">
        <v>0</v>
      </c>
      <c r="L1088" s="24" t="str">
        <f aca="false">IF(J1088&lt;&gt;"","Enrolled",IF(I1088&lt;&gt;"","Admitted",IF(H1088&lt;&gt;"","Applied",IF(G1088&lt;&gt;"","Contacted","New"))))</f>
        <v>New</v>
      </c>
      <c r="M1088" s="32" t="str">
        <f aca="false">IF(G1088="","",G1088-B1088)</f>
        <v/>
      </c>
      <c r="N1088" s="24" t="str">
        <f aca="false">IF(COUNTIF($A$2:A1088,A1088)&gt;1,"Duplicate ID",IF(C1088="","Missing source",IF(OR(AND(G1088&lt;&gt;"",G1088&lt;B1088),AND(H1088&lt;&gt;"",H1088&lt;B1088),AND(I1088&lt;&gt;"",I1088&lt;H1088),AND(J1088&lt;&gt;"",J1088&lt;I1088)),"Date error","OK")))</f>
        <v>OK</v>
      </c>
    </row>
    <row r="1089" customFormat="false" ht="15" hidden="false" customHeight="false" outlineLevel="0" collapsed="false">
      <c r="A1089" s="24" t="s">
        <v>1167</v>
      </c>
      <c r="B1089" s="31" t="n">
        <v>46225</v>
      </c>
      <c r="C1089" s="24" t="s">
        <v>25</v>
      </c>
      <c r="D1089" s="24" t="s">
        <v>34</v>
      </c>
      <c r="E1089" s="24" t="s">
        <v>81</v>
      </c>
      <c r="F1089" s="24" t="s">
        <v>45</v>
      </c>
      <c r="G1089" s="31" t="n">
        <v>46225</v>
      </c>
      <c r="H1089" s="24"/>
      <c r="I1089" s="24"/>
      <c r="J1089" s="24"/>
      <c r="K1089" s="24" t="n">
        <v>5</v>
      </c>
      <c r="L1089" s="24" t="str">
        <f aca="false">IF(J1089&lt;&gt;"","Enrolled",IF(I1089&lt;&gt;"","Admitted",IF(H1089&lt;&gt;"","Applied",IF(G1089&lt;&gt;"","Contacted","New"))))</f>
        <v>Contacted</v>
      </c>
      <c r="M1089" s="32" t="n">
        <f aca="false">IF(G1089="","",G1089-B1089)</f>
        <v>0</v>
      </c>
      <c r="N1089" s="24" t="str">
        <f aca="false">IF(COUNTIF($A$2:A1089,A1089)&gt;1,"Duplicate ID",IF(C1089="","Missing source",IF(OR(AND(G1089&lt;&gt;"",G1089&lt;B1089),AND(H1089&lt;&gt;"",H1089&lt;B1089),AND(I1089&lt;&gt;"",I1089&lt;H1089),AND(J1089&lt;&gt;"",J1089&lt;I1089)),"Date error","OK")))</f>
        <v>OK</v>
      </c>
    </row>
    <row r="1090" customFormat="false" ht="15" hidden="false" customHeight="false" outlineLevel="0" collapsed="false">
      <c r="A1090" s="24" t="s">
        <v>1168</v>
      </c>
      <c r="B1090" s="31" t="n">
        <v>46225</v>
      </c>
      <c r="C1090" s="24" t="s">
        <v>22</v>
      </c>
      <c r="D1090" s="24" t="s">
        <v>36</v>
      </c>
      <c r="E1090" s="24" t="s">
        <v>81</v>
      </c>
      <c r="F1090" s="24" t="s">
        <v>41</v>
      </c>
      <c r="G1090" s="31" t="n">
        <v>46225</v>
      </c>
      <c r="H1090" s="24"/>
      <c r="I1090" s="24"/>
      <c r="J1090" s="24"/>
      <c r="K1090" s="24" t="n">
        <v>3</v>
      </c>
      <c r="L1090" s="24" t="str">
        <f aca="false">IF(J1090&lt;&gt;"","Enrolled",IF(I1090&lt;&gt;"","Admitted",IF(H1090&lt;&gt;"","Applied",IF(G1090&lt;&gt;"","Contacted","New"))))</f>
        <v>Contacted</v>
      </c>
      <c r="M1090" s="32" t="n">
        <f aca="false">IF(G1090="","",G1090-B1090)</f>
        <v>0</v>
      </c>
      <c r="N1090" s="24" t="str">
        <f aca="false">IF(COUNTIF($A$2:A1090,A1090)&gt;1,"Duplicate ID",IF(C1090="","Missing source",IF(OR(AND(G1090&lt;&gt;"",G1090&lt;B1090),AND(H1090&lt;&gt;"",H1090&lt;B1090),AND(I1090&lt;&gt;"",I1090&lt;H1090),AND(J1090&lt;&gt;"",J1090&lt;I1090)),"Date error","OK")))</f>
        <v>OK</v>
      </c>
    </row>
    <row r="1091" customFormat="false" ht="15" hidden="false" customHeight="false" outlineLevel="0" collapsed="false">
      <c r="A1091" s="24" t="s">
        <v>1169</v>
      </c>
      <c r="B1091" s="31" t="n">
        <v>46225</v>
      </c>
      <c r="C1091" s="24" t="s">
        <v>26</v>
      </c>
      <c r="D1091" s="24" t="s">
        <v>36</v>
      </c>
      <c r="E1091" s="24" t="s">
        <v>89</v>
      </c>
      <c r="F1091" s="24" t="s">
        <v>45</v>
      </c>
      <c r="G1091" s="31" t="n">
        <v>46228</v>
      </c>
      <c r="H1091" s="24"/>
      <c r="I1091" s="24"/>
      <c r="J1091" s="24"/>
      <c r="K1091" s="24" t="n">
        <v>6</v>
      </c>
      <c r="L1091" s="24" t="str">
        <f aca="false">IF(J1091&lt;&gt;"","Enrolled",IF(I1091&lt;&gt;"","Admitted",IF(H1091&lt;&gt;"","Applied",IF(G1091&lt;&gt;"","Contacted","New"))))</f>
        <v>Contacted</v>
      </c>
      <c r="M1091" s="32" t="n">
        <f aca="false">IF(G1091="","",G1091-B1091)</f>
        <v>3</v>
      </c>
      <c r="N1091" s="24" t="str">
        <f aca="false">IF(COUNTIF($A$2:A1091,A1091)&gt;1,"Duplicate ID",IF(C1091="","Missing source",IF(OR(AND(G1091&lt;&gt;"",G1091&lt;B1091),AND(H1091&lt;&gt;"",H1091&lt;B1091),AND(I1091&lt;&gt;"",I1091&lt;H1091),AND(J1091&lt;&gt;"",J1091&lt;I1091)),"Date error","OK")))</f>
        <v>OK</v>
      </c>
    </row>
    <row r="1092" customFormat="false" ht="15" hidden="false" customHeight="false" outlineLevel="0" collapsed="false">
      <c r="A1092" s="24" t="s">
        <v>1170</v>
      </c>
      <c r="B1092" s="31" t="n">
        <v>46225</v>
      </c>
      <c r="C1092" s="24" t="s">
        <v>23</v>
      </c>
      <c r="D1092" s="24" t="s">
        <v>34</v>
      </c>
      <c r="E1092" s="24" t="s">
        <v>89</v>
      </c>
      <c r="F1092" s="24" t="s">
        <v>41</v>
      </c>
      <c r="G1092" s="31" t="n">
        <v>46225</v>
      </c>
      <c r="H1092" s="24"/>
      <c r="I1092" s="24"/>
      <c r="J1092" s="24"/>
      <c r="K1092" s="24" t="n">
        <v>3</v>
      </c>
      <c r="L1092" s="24" t="str">
        <f aca="false">IF(J1092&lt;&gt;"","Enrolled",IF(I1092&lt;&gt;"","Admitted",IF(H1092&lt;&gt;"","Applied",IF(G1092&lt;&gt;"","Contacted","New"))))</f>
        <v>Contacted</v>
      </c>
      <c r="M1092" s="32" t="n">
        <f aca="false">IF(G1092="","",G1092-B1092)</f>
        <v>0</v>
      </c>
      <c r="N1092" s="24" t="str">
        <f aca="false">IF(COUNTIF($A$2:A1092,A1092)&gt;1,"Duplicate ID",IF(C1092="","Missing source",IF(OR(AND(G1092&lt;&gt;"",G1092&lt;B1092),AND(H1092&lt;&gt;"",H1092&lt;B1092),AND(I1092&lt;&gt;"",I1092&lt;H1092),AND(J1092&lt;&gt;"",J1092&lt;I1092)),"Date error","OK")))</f>
        <v>OK</v>
      </c>
    </row>
    <row r="1093" customFormat="false" ht="15" hidden="false" customHeight="false" outlineLevel="0" collapsed="false">
      <c r="A1093" s="24" t="s">
        <v>1171</v>
      </c>
      <c r="B1093" s="31" t="n">
        <v>46225</v>
      </c>
      <c r="C1093" s="24" t="s">
        <v>26</v>
      </c>
      <c r="D1093" s="24" t="s">
        <v>34</v>
      </c>
      <c r="E1093" s="24" t="s">
        <v>79</v>
      </c>
      <c r="F1093" s="24" t="s">
        <v>42</v>
      </c>
      <c r="G1093" s="31" t="n">
        <v>46228</v>
      </c>
      <c r="H1093" s="24"/>
      <c r="I1093" s="24"/>
      <c r="J1093" s="24"/>
      <c r="K1093" s="24" t="n">
        <v>4</v>
      </c>
      <c r="L1093" s="24" t="str">
        <f aca="false">IF(J1093&lt;&gt;"","Enrolled",IF(I1093&lt;&gt;"","Admitted",IF(H1093&lt;&gt;"","Applied",IF(G1093&lt;&gt;"","Contacted","New"))))</f>
        <v>Contacted</v>
      </c>
      <c r="M1093" s="32" t="n">
        <f aca="false">IF(G1093="","",G1093-B1093)</f>
        <v>3</v>
      </c>
      <c r="N1093" s="24" t="str">
        <f aca="false">IF(COUNTIF($A$2:A1093,A1093)&gt;1,"Duplicate ID",IF(C1093="","Missing source",IF(OR(AND(G1093&lt;&gt;"",G1093&lt;B1093),AND(H1093&lt;&gt;"",H1093&lt;B1093),AND(I1093&lt;&gt;"",I1093&lt;H1093),AND(J1093&lt;&gt;"",J1093&lt;I1093)),"Date error","OK")))</f>
        <v>OK</v>
      </c>
    </row>
    <row r="1094" customFormat="false" ht="15" hidden="false" customHeight="false" outlineLevel="0" collapsed="false">
      <c r="A1094" s="24" t="s">
        <v>1172</v>
      </c>
      <c r="B1094" s="31" t="n">
        <v>46225</v>
      </c>
      <c r="C1094" s="24" t="s">
        <v>21</v>
      </c>
      <c r="D1094" s="24" t="s">
        <v>34</v>
      </c>
      <c r="E1094" s="24" t="s">
        <v>89</v>
      </c>
      <c r="F1094" s="24" t="s">
        <v>43</v>
      </c>
      <c r="G1094" s="31" t="n">
        <v>46225</v>
      </c>
      <c r="H1094" s="24"/>
      <c r="I1094" s="24"/>
      <c r="J1094" s="24"/>
      <c r="K1094" s="24" t="n">
        <v>4</v>
      </c>
      <c r="L1094" s="24" t="str">
        <f aca="false">IF(J1094&lt;&gt;"","Enrolled",IF(I1094&lt;&gt;"","Admitted",IF(H1094&lt;&gt;"","Applied",IF(G1094&lt;&gt;"","Contacted","New"))))</f>
        <v>Contacted</v>
      </c>
      <c r="M1094" s="32" t="n">
        <f aca="false">IF(G1094="","",G1094-B1094)</f>
        <v>0</v>
      </c>
      <c r="N1094" s="24" t="str">
        <f aca="false">IF(COUNTIF($A$2:A1094,A1094)&gt;1,"Duplicate ID",IF(C1094="","Missing source",IF(OR(AND(G1094&lt;&gt;"",G1094&lt;B1094),AND(H1094&lt;&gt;"",H1094&lt;B1094),AND(I1094&lt;&gt;"",I1094&lt;H1094),AND(J1094&lt;&gt;"",J1094&lt;I1094)),"Date error","OK")))</f>
        <v>OK</v>
      </c>
    </row>
    <row r="1095" customFormat="false" ht="15" hidden="false" customHeight="false" outlineLevel="0" collapsed="false">
      <c r="A1095" s="24" t="s">
        <v>1173</v>
      </c>
      <c r="B1095" s="31" t="n">
        <v>46225</v>
      </c>
      <c r="C1095" s="24" t="s">
        <v>21</v>
      </c>
      <c r="D1095" s="24" t="s">
        <v>36</v>
      </c>
      <c r="E1095" s="24" t="s">
        <v>89</v>
      </c>
      <c r="F1095" s="24" t="s">
        <v>42</v>
      </c>
      <c r="G1095" s="31" t="n">
        <v>46226</v>
      </c>
      <c r="H1095" s="24"/>
      <c r="I1095" s="24"/>
      <c r="J1095" s="24"/>
      <c r="K1095" s="24" t="n">
        <v>5</v>
      </c>
      <c r="L1095" s="24" t="str">
        <f aca="false">IF(J1095&lt;&gt;"","Enrolled",IF(I1095&lt;&gt;"","Admitted",IF(H1095&lt;&gt;"","Applied",IF(G1095&lt;&gt;"","Contacted","New"))))</f>
        <v>Contacted</v>
      </c>
      <c r="M1095" s="32" t="n">
        <f aca="false">IF(G1095="","",G1095-B1095)</f>
        <v>1</v>
      </c>
      <c r="N1095" s="24" t="str">
        <f aca="false">IF(COUNTIF($A$2:A1095,A1095)&gt;1,"Duplicate ID",IF(C1095="","Missing source",IF(OR(AND(G1095&lt;&gt;"",G1095&lt;B1095),AND(H1095&lt;&gt;"",H1095&lt;B1095),AND(I1095&lt;&gt;"",I1095&lt;H1095),AND(J1095&lt;&gt;"",J1095&lt;I1095)),"Date error","OK")))</f>
        <v>OK</v>
      </c>
    </row>
    <row r="1096" customFormat="false" ht="15" hidden="false" customHeight="false" outlineLevel="0" collapsed="false">
      <c r="A1096" s="24" t="s">
        <v>1174</v>
      </c>
      <c r="B1096" s="31" t="n">
        <v>46225</v>
      </c>
      <c r="C1096" s="24" t="s">
        <v>26</v>
      </c>
      <c r="D1096" s="24" t="s">
        <v>34</v>
      </c>
      <c r="E1096" s="24" t="s">
        <v>84</v>
      </c>
      <c r="F1096" s="24" t="s">
        <v>45</v>
      </c>
      <c r="G1096" s="31" t="n">
        <v>46226</v>
      </c>
      <c r="H1096" s="24"/>
      <c r="I1096" s="24"/>
      <c r="J1096" s="24"/>
      <c r="K1096" s="24" t="n">
        <v>4</v>
      </c>
      <c r="L1096" s="24" t="str">
        <f aca="false">IF(J1096&lt;&gt;"","Enrolled",IF(I1096&lt;&gt;"","Admitted",IF(H1096&lt;&gt;"","Applied",IF(G1096&lt;&gt;"","Contacted","New"))))</f>
        <v>Contacted</v>
      </c>
      <c r="M1096" s="32" t="n">
        <f aca="false">IF(G1096="","",G1096-B1096)</f>
        <v>1</v>
      </c>
      <c r="N1096" s="24" t="str">
        <f aca="false">IF(COUNTIF($A$2:A1096,A1096)&gt;1,"Duplicate ID",IF(C1096="","Missing source",IF(OR(AND(G1096&lt;&gt;"",G1096&lt;B1096),AND(H1096&lt;&gt;"",H1096&lt;B1096),AND(I1096&lt;&gt;"",I1096&lt;H1096),AND(J1096&lt;&gt;"",J1096&lt;I1096)),"Date error","OK")))</f>
        <v>OK</v>
      </c>
    </row>
    <row r="1097" customFormat="false" ht="15" hidden="false" customHeight="false" outlineLevel="0" collapsed="false">
      <c r="A1097" s="24" t="s">
        <v>1175</v>
      </c>
      <c r="B1097" s="31" t="n">
        <v>46225</v>
      </c>
      <c r="C1097" s="24" t="s">
        <v>26</v>
      </c>
      <c r="D1097" s="24" t="s">
        <v>32</v>
      </c>
      <c r="E1097" s="24" t="s">
        <v>89</v>
      </c>
      <c r="F1097" s="24" t="s">
        <v>41</v>
      </c>
      <c r="G1097" s="31" t="n">
        <v>46225</v>
      </c>
      <c r="H1097" s="24"/>
      <c r="I1097" s="24"/>
      <c r="J1097" s="24"/>
      <c r="K1097" s="24" t="n">
        <v>3</v>
      </c>
      <c r="L1097" s="24" t="str">
        <f aca="false">IF(J1097&lt;&gt;"","Enrolled",IF(I1097&lt;&gt;"","Admitted",IF(H1097&lt;&gt;"","Applied",IF(G1097&lt;&gt;"","Contacted","New"))))</f>
        <v>Contacted</v>
      </c>
      <c r="M1097" s="32" t="n">
        <f aca="false">IF(G1097="","",G1097-B1097)</f>
        <v>0</v>
      </c>
      <c r="N1097" s="24" t="str">
        <f aca="false">IF(COUNTIF($A$2:A1097,A1097)&gt;1,"Duplicate ID",IF(C1097="","Missing source",IF(OR(AND(G1097&lt;&gt;"",G1097&lt;B1097),AND(H1097&lt;&gt;"",H1097&lt;B1097),AND(I1097&lt;&gt;"",I1097&lt;H1097),AND(J1097&lt;&gt;"",J1097&lt;I1097)),"Date error","OK")))</f>
        <v>OK</v>
      </c>
    </row>
    <row r="1098" customFormat="false" ht="15" hidden="false" customHeight="false" outlineLevel="0" collapsed="false">
      <c r="A1098" s="24" t="s">
        <v>1176</v>
      </c>
      <c r="B1098" s="31" t="n">
        <v>46225</v>
      </c>
      <c r="C1098" s="24" t="s">
        <v>26</v>
      </c>
      <c r="D1098" s="24" t="s">
        <v>32</v>
      </c>
      <c r="E1098" s="24" t="s">
        <v>94</v>
      </c>
      <c r="F1098" s="24" t="s">
        <v>45</v>
      </c>
      <c r="G1098" s="31" t="n">
        <v>46226</v>
      </c>
      <c r="H1098" s="24"/>
      <c r="I1098" s="24"/>
      <c r="J1098" s="24"/>
      <c r="K1098" s="24" t="n">
        <v>3</v>
      </c>
      <c r="L1098" s="24" t="str">
        <f aca="false">IF(J1098&lt;&gt;"","Enrolled",IF(I1098&lt;&gt;"","Admitted",IF(H1098&lt;&gt;"","Applied",IF(G1098&lt;&gt;"","Contacted","New"))))</f>
        <v>Contacted</v>
      </c>
      <c r="M1098" s="32" t="n">
        <f aca="false">IF(G1098="","",G1098-B1098)</f>
        <v>1</v>
      </c>
      <c r="N1098" s="24" t="str">
        <f aca="false">IF(COUNTIF($A$2:A1098,A1098)&gt;1,"Duplicate ID",IF(C1098="","Missing source",IF(OR(AND(G1098&lt;&gt;"",G1098&lt;B1098),AND(H1098&lt;&gt;"",H1098&lt;B1098),AND(I1098&lt;&gt;"",I1098&lt;H1098),AND(J1098&lt;&gt;"",J1098&lt;I1098)),"Date error","OK")))</f>
        <v>OK</v>
      </c>
    </row>
    <row r="1099" customFormat="false" ht="15" hidden="false" customHeight="false" outlineLevel="0" collapsed="false">
      <c r="A1099" s="24" t="s">
        <v>1177</v>
      </c>
      <c r="B1099" s="31" t="n">
        <v>46225</v>
      </c>
      <c r="C1099" s="24" t="s">
        <v>26</v>
      </c>
      <c r="D1099" s="24" t="s">
        <v>32</v>
      </c>
      <c r="E1099" s="24" t="s">
        <v>79</v>
      </c>
      <c r="F1099" s="24" t="s">
        <v>41</v>
      </c>
      <c r="G1099" s="31" t="n">
        <v>46228</v>
      </c>
      <c r="H1099" s="24"/>
      <c r="I1099" s="24"/>
      <c r="J1099" s="24"/>
      <c r="K1099" s="24" t="n">
        <v>2</v>
      </c>
      <c r="L1099" s="24" t="str">
        <f aca="false">IF(J1099&lt;&gt;"","Enrolled",IF(I1099&lt;&gt;"","Admitted",IF(H1099&lt;&gt;"","Applied",IF(G1099&lt;&gt;"","Contacted","New"))))</f>
        <v>Contacted</v>
      </c>
      <c r="M1099" s="32" t="n">
        <f aca="false">IF(G1099="","",G1099-B1099)</f>
        <v>3</v>
      </c>
      <c r="N1099" s="24" t="str">
        <f aca="false">IF(COUNTIF($A$2:A1099,A1099)&gt;1,"Duplicate ID",IF(C1099="","Missing source",IF(OR(AND(G1099&lt;&gt;"",G1099&lt;B1099),AND(H1099&lt;&gt;"",H1099&lt;B1099),AND(I1099&lt;&gt;"",I1099&lt;H1099),AND(J1099&lt;&gt;"",J1099&lt;I1099)),"Date error","OK")))</f>
        <v>OK</v>
      </c>
    </row>
    <row r="1100" customFormat="false" ht="15" hidden="false" customHeight="false" outlineLevel="0" collapsed="false">
      <c r="A1100" s="24" t="s">
        <v>1178</v>
      </c>
      <c r="B1100" s="31" t="n">
        <v>46225</v>
      </c>
      <c r="C1100" s="24" t="s">
        <v>26</v>
      </c>
      <c r="D1100" s="24" t="s">
        <v>32</v>
      </c>
      <c r="E1100" s="24" t="s">
        <v>89</v>
      </c>
      <c r="F1100" s="24" t="s">
        <v>45</v>
      </c>
      <c r="G1100" s="31" t="n">
        <v>46226</v>
      </c>
      <c r="H1100" s="31" t="n">
        <v>46249</v>
      </c>
      <c r="I1100" s="24"/>
      <c r="J1100" s="24"/>
      <c r="K1100" s="24" t="n">
        <v>1</v>
      </c>
      <c r="L1100" s="24" t="str">
        <f aca="false">IF(J1100&lt;&gt;"","Enrolled",IF(I1100&lt;&gt;"","Admitted",IF(H1100&lt;&gt;"","Applied",IF(G1100&lt;&gt;"","Contacted","New"))))</f>
        <v>Applied</v>
      </c>
      <c r="M1100" s="32" t="n">
        <f aca="false">IF(G1100="","",G1100-B1100)</f>
        <v>1</v>
      </c>
      <c r="N1100" s="24" t="str">
        <f aca="false">IF(COUNTIF($A$2:A1100,A1100)&gt;1,"Duplicate ID",IF(C1100="","Missing source",IF(OR(AND(G1100&lt;&gt;"",G1100&lt;B1100),AND(H1100&lt;&gt;"",H1100&lt;B1100),AND(I1100&lt;&gt;"",I1100&lt;H1100),AND(J1100&lt;&gt;"",J1100&lt;I1100)),"Date error","OK")))</f>
        <v>OK</v>
      </c>
    </row>
    <row r="1101" customFormat="false" ht="15" hidden="false" customHeight="false" outlineLevel="0" collapsed="false">
      <c r="A1101" s="24" t="s">
        <v>1179</v>
      </c>
      <c r="B1101" s="31" t="n">
        <v>46225</v>
      </c>
      <c r="C1101" s="24" t="s">
        <v>26</v>
      </c>
      <c r="D1101" s="24" t="s">
        <v>33</v>
      </c>
      <c r="E1101" s="24" t="s">
        <v>79</v>
      </c>
      <c r="F1101" s="24" t="s">
        <v>45</v>
      </c>
      <c r="G1101" s="31" t="n">
        <v>46228</v>
      </c>
      <c r="H1101" s="24"/>
      <c r="I1101" s="24"/>
      <c r="J1101" s="24"/>
      <c r="K1101" s="24" t="n">
        <v>2</v>
      </c>
      <c r="L1101" s="24" t="str">
        <f aca="false">IF(J1101&lt;&gt;"","Enrolled",IF(I1101&lt;&gt;"","Admitted",IF(H1101&lt;&gt;"","Applied",IF(G1101&lt;&gt;"","Contacted","New"))))</f>
        <v>Contacted</v>
      </c>
      <c r="M1101" s="32" t="n">
        <f aca="false">IF(G1101="","",G1101-B1101)</f>
        <v>3</v>
      </c>
      <c r="N1101" s="24" t="str">
        <f aca="false">IF(COUNTIF($A$2:A1101,A1101)&gt;1,"Duplicate ID",IF(C1101="","Missing source",IF(OR(AND(G1101&lt;&gt;"",G1101&lt;B1101),AND(H1101&lt;&gt;"",H1101&lt;B1101),AND(I1101&lt;&gt;"",I1101&lt;H1101),AND(J1101&lt;&gt;"",J1101&lt;I1101)),"Date error","OK")))</f>
        <v>OK</v>
      </c>
    </row>
    <row r="1102" customFormat="false" ht="15" hidden="false" customHeight="false" outlineLevel="0" collapsed="false">
      <c r="A1102" s="24" t="s">
        <v>1180</v>
      </c>
      <c r="B1102" s="31" t="n">
        <v>46225</v>
      </c>
      <c r="C1102" s="24" t="s">
        <v>27</v>
      </c>
      <c r="D1102" s="24" t="s">
        <v>32</v>
      </c>
      <c r="E1102" s="24" t="s">
        <v>89</v>
      </c>
      <c r="F1102" s="24" t="s">
        <v>42</v>
      </c>
      <c r="G1102" s="31" t="n">
        <v>46228</v>
      </c>
      <c r="H1102" s="24"/>
      <c r="I1102" s="24"/>
      <c r="J1102" s="24"/>
      <c r="K1102" s="24" t="n">
        <v>1</v>
      </c>
      <c r="L1102" s="24" t="str">
        <f aca="false">IF(J1102&lt;&gt;"","Enrolled",IF(I1102&lt;&gt;"","Admitted",IF(H1102&lt;&gt;"","Applied",IF(G1102&lt;&gt;"","Contacted","New"))))</f>
        <v>Contacted</v>
      </c>
      <c r="M1102" s="32" t="n">
        <f aca="false">IF(G1102="","",G1102-B1102)</f>
        <v>3</v>
      </c>
      <c r="N1102" s="24" t="str">
        <f aca="false">IF(COUNTIF($A$2:A1102,A1102)&gt;1,"Duplicate ID",IF(C1102="","Missing source",IF(OR(AND(G1102&lt;&gt;"",G1102&lt;B1102),AND(H1102&lt;&gt;"",H1102&lt;B1102),AND(I1102&lt;&gt;"",I1102&lt;H1102),AND(J1102&lt;&gt;"",J1102&lt;I1102)),"Date error","OK")))</f>
        <v>OK</v>
      </c>
    </row>
    <row r="1103" customFormat="false" ht="15" hidden="false" customHeight="false" outlineLevel="0" collapsed="false">
      <c r="A1103" s="24" t="s">
        <v>1181</v>
      </c>
      <c r="B1103" s="31" t="n">
        <v>46225</v>
      </c>
      <c r="C1103" s="24" t="s">
        <v>27</v>
      </c>
      <c r="D1103" s="24" t="s">
        <v>32</v>
      </c>
      <c r="E1103" s="24" t="s">
        <v>79</v>
      </c>
      <c r="F1103" s="24" t="s">
        <v>42</v>
      </c>
      <c r="G1103" s="31" t="n">
        <v>46227</v>
      </c>
      <c r="H1103" s="24"/>
      <c r="I1103" s="24"/>
      <c r="J1103" s="24"/>
      <c r="K1103" s="24" t="n">
        <v>6</v>
      </c>
      <c r="L1103" s="24" t="str">
        <f aca="false">IF(J1103&lt;&gt;"","Enrolled",IF(I1103&lt;&gt;"","Admitted",IF(H1103&lt;&gt;"","Applied",IF(G1103&lt;&gt;"","Contacted","New"))))</f>
        <v>Contacted</v>
      </c>
      <c r="M1103" s="32" t="n">
        <f aca="false">IF(G1103="","",G1103-B1103)</f>
        <v>2</v>
      </c>
      <c r="N1103" s="24" t="str">
        <f aca="false">IF(COUNTIF($A$2:A1103,A1103)&gt;1,"Duplicate ID",IF(C1103="","Missing source",IF(OR(AND(G1103&lt;&gt;"",G1103&lt;B1103),AND(H1103&lt;&gt;"",H1103&lt;B1103),AND(I1103&lt;&gt;"",I1103&lt;H1103),AND(J1103&lt;&gt;"",J1103&lt;I1103)),"Date error","OK")))</f>
        <v>OK</v>
      </c>
    </row>
    <row r="1104" customFormat="false" ht="15" hidden="false" customHeight="false" outlineLevel="0" collapsed="false">
      <c r="A1104" s="24" t="s">
        <v>1182</v>
      </c>
      <c r="B1104" s="31" t="n">
        <v>46225</v>
      </c>
      <c r="C1104" s="24" t="s">
        <v>25</v>
      </c>
      <c r="D1104" s="24" t="s">
        <v>33</v>
      </c>
      <c r="E1104" s="24" t="s">
        <v>89</v>
      </c>
      <c r="F1104" s="24" t="s">
        <v>40</v>
      </c>
      <c r="G1104" s="31" t="n">
        <v>46226</v>
      </c>
      <c r="H1104" s="24"/>
      <c r="I1104" s="24"/>
      <c r="J1104" s="24"/>
      <c r="K1104" s="24" t="n">
        <v>2</v>
      </c>
      <c r="L1104" s="24" t="str">
        <f aca="false">IF(J1104&lt;&gt;"","Enrolled",IF(I1104&lt;&gt;"","Admitted",IF(H1104&lt;&gt;"","Applied",IF(G1104&lt;&gt;"","Contacted","New"))))</f>
        <v>Contacted</v>
      </c>
      <c r="M1104" s="32" t="n">
        <f aca="false">IF(G1104="","",G1104-B1104)</f>
        <v>1</v>
      </c>
      <c r="N1104" s="24" t="str">
        <f aca="false">IF(COUNTIF($A$2:A1104,A1104)&gt;1,"Duplicate ID",IF(C1104="","Missing source",IF(OR(AND(G1104&lt;&gt;"",G1104&lt;B1104),AND(H1104&lt;&gt;"",H1104&lt;B1104),AND(I1104&lt;&gt;"",I1104&lt;H1104),AND(J1104&lt;&gt;"",J1104&lt;I1104)),"Date error","OK")))</f>
        <v>OK</v>
      </c>
    </row>
    <row r="1105" customFormat="false" ht="15" hidden="false" customHeight="false" outlineLevel="0" collapsed="false">
      <c r="A1105" s="24" t="s">
        <v>1183</v>
      </c>
      <c r="B1105" s="31" t="n">
        <v>46225</v>
      </c>
      <c r="C1105" s="24" t="s">
        <v>21</v>
      </c>
      <c r="D1105" s="24" t="s">
        <v>32</v>
      </c>
      <c r="E1105" s="24" t="s">
        <v>81</v>
      </c>
      <c r="F1105" s="24" t="s">
        <v>40</v>
      </c>
      <c r="G1105" s="31" t="n">
        <v>46226</v>
      </c>
      <c r="H1105" s="31" t="n">
        <v>46243</v>
      </c>
      <c r="I1105" s="31" t="n">
        <v>46248</v>
      </c>
      <c r="J1105" s="24"/>
      <c r="K1105" s="24" t="n">
        <v>2</v>
      </c>
      <c r="L1105" s="24" t="str">
        <f aca="false">IF(J1105&lt;&gt;"","Enrolled",IF(I1105&lt;&gt;"","Admitted",IF(H1105&lt;&gt;"","Applied",IF(G1105&lt;&gt;"","Contacted","New"))))</f>
        <v>Admitted</v>
      </c>
      <c r="M1105" s="32" t="n">
        <f aca="false">IF(G1105="","",G1105-B1105)</f>
        <v>1</v>
      </c>
      <c r="N1105" s="24" t="str">
        <f aca="false">IF(COUNTIF($A$2:A1105,A1105)&gt;1,"Duplicate ID",IF(C1105="","Missing source",IF(OR(AND(G1105&lt;&gt;"",G1105&lt;B1105),AND(H1105&lt;&gt;"",H1105&lt;B1105),AND(I1105&lt;&gt;"",I1105&lt;H1105),AND(J1105&lt;&gt;"",J1105&lt;I1105)),"Date error","OK")))</f>
        <v>OK</v>
      </c>
    </row>
    <row r="1106" customFormat="false" ht="15" hidden="false" customHeight="false" outlineLevel="0" collapsed="false">
      <c r="A1106" s="24" t="s">
        <v>1184</v>
      </c>
      <c r="B1106" s="31" t="n">
        <v>46226</v>
      </c>
      <c r="C1106" s="24" t="s">
        <v>24</v>
      </c>
      <c r="D1106" s="24" t="s">
        <v>32</v>
      </c>
      <c r="E1106" s="24" t="s">
        <v>94</v>
      </c>
      <c r="F1106" s="24" t="s">
        <v>45</v>
      </c>
      <c r="G1106" s="31" t="n">
        <v>46227</v>
      </c>
      <c r="H1106" s="24"/>
      <c r="I1106" s="24"/>
      <c r="J1106" s="24"/>
      <c r="K1106" s="24" t="n">
        <v>1</v>
      </c>
      <c r="L1106" s="24" t="str">
        <f aca="false">IF(J1106&lt;&gt;"","Enrolled",IF(I1106&lt;&gt;"","Admitted",IF(H1106&lt;&gt;"","Applied",IF(G1106&lt;&gt;"","Contacted","New"))))</f>
        <v>Contacted</v>
      </c>
      <c r="M1106" s="32" t="n">
        <f aca="false">IF(G1106="","",G1106-B1106)</f>
        <v>1</v>
      </c>
      <c r="N1106" s="24" t="str">
        <f aca="false">IF(COUNTIF($A$2:A1106,A1106)&gt;1,"Duplicate ID",IF(C1106="","Missing source",IF(OR(AND(G1106&lt;&gt;"",G1106&lt;B1106),AND(H1106&lt;&gt;"",H1106&lt;B1106),AND(I1106&lt;&gt;"",I1106&lt;H1106),AND(J1106&lt;&gt;"",J1106&lt;I1106)),"Date error","OK")))</f>
        <v>OK</v>
      </c>
    </row>
    <row r="1107" customFormat="false" ht="15" hidden="false" customHeight="false" outlineLevel="0" collapsed="false">
      <c r="A1107" s="24" t="s">
        <v>1185</v>
      </c>
      <c r="B1107" s="31" t="n">
        <v>46226</v>
      </c>
      <c r="C1107" s="24" t="s">
        <v>27</v>
      </c>
      <c r="D1107" s="24" t="s">
        <v>32</v>
      </c>
      <c r="E1107" s="24" t="s">
        <v>89</v>
      </c>
      <c r="F1107" s="24" t="s">
        <v>45</v>
      </c>
      <c r="G1107" s="31" t="n">
        <v>46228</v>
      </c>
      <c r="H1107" s="24"/>
      <c r="I1107" s="24"/>
      <c r="J1107" s="24"/>
      <c r="K1107" s="24" t="n">
        <v>2</v>
      </c>
      <c r="L1107" s="24" t="str">
        <f aca="false">IF(J1107&lt;&gt;"","Enrolled",IF(I1107&lt;&gt;"","Admitted",IF(H1107&lt;&gt;"","Applied",IF(G1107&lt;&gt;"","Contacted","New"))))</f>
        <v>Contacted</v>
      </c>
      <c r="M1107" s="32" t="n">
        <f aca="false">IF(G1107="","",G1107-B1107)</f>
        <v>2</v>
      </c>
      <c r="N1107" s="24" t="str">
        <f aca="false">IF(COUNTIF($A$2:A1107,A1107)&gt;1,"Duplicate ID",IF(C1107="","Missing source",IF(OR(AND(G1107&lt;&gt;"",G1107&lt;B1107),AND(H1107&lt;&gt;"",H1107&lt;B1107),AND(I1107&lt;&gt;"",I1107&lt;H1107),AND(J1107&lt;&gt;"",J1107&lt;I1107)),"Date error","OK")))</f>
        <v>OK</v>
      </c>
    </row>
    <row r="1108" customFormat="false" ht="15" hidden="false" customHeight="false" outlineLevel="0" collapsed="false">
      <c r="A1108" s="24" t="s">
        <v>1186</v>
      </c>
      <c r="B1108" s="31" t="n">
        <v>46226</v>
      </c>
      <c r="C1108" s="24" t="s">
        <v>27</v>
      </c>
      <c r="D1108" s="24" t="s">
        <v>34</v>
      </c>
      <c r="E1108" s="24" t="s">
        <v>89</v>
      </c>
      <c r="F1108" s="24" t="s">
        <v>42</v>
      </c>
      <c r="G1108" s="31" t="n">
        <v>46226</v>
      </c>
      <c r="H1108" s="31" t="n">
        <v>46239</v>
      </c>
      <c r="I1108" s="31" t="n">
        <v>46254</v>
      </c>
      <c r="J1108" s="24"/>
      <c r="K1108" s="24" t="n">
        <v>4</v>
      </c>
      <c r="L1108" s="24" t="str">
        <f aca="false">IF(J1108&lt;&gt;"","Enrolled",IF(I1108&lt;&gt;"","Admitted",IF(H1108&lt;&gt;"","Applied",IF(G1108&lt;&gt;"","Contacted","New"))))</f>
        <v>Admitted</v>
      </c>
      <c r="M1108" s="32" t="n">
        <f aca="false">IF(G1108="","",G1108-B1108)</f>
        <v>0</v>
      </c>
      <c r="N1108" s="24" t="str">
        <f aca="false">IF(COUNTIF($A$2:A1108,A1108)&gt;1,"Duplicate ID",IF(C1108="","Missing source",IF(OR(AND(G1108&lt;&gt;"",G1108&lt;B1108),AND(H1108&lt;&gt;"",H1108&lt;B1108),AND(I1108&lt;&gt;"",I1108&lt;H1108),AND(J1108&lt;&gt;"",J1108&lt;I1108)),"Date error","OK")))</f>
        <v>OK</v>
      </c>
    </row>
    <row r="1109" customFormat="false" ht="15" hidden="false" customHeight="false" outlineLevel="0" collapsed="false">
      <c r="A1109" s="24" t="s">
        <v>1187</v>
      </c>
      <c r="B1109" s="31" t="n">
        <v>46226</v>
      </c>
      <c r="C1109" s="24" t="s">
        <v>21</v>
      </c>
      <c r="D1109" s="24" t="s">
        <v>32</v>
      </c>
      <c r="E1109" s="24" t="s">
        <v>79</v>
      </c>
      <c r="F1109" s="24" t="s">
        <v>42</v>
      </c>
      <c r="G1109" s="31" t="n">
        <v>46228</v>
      </c>
      <c r="H1109" s="24"/>
      <c r="I1109" s="24"/>
      <c r="J1109" s="24"/>
      <c r="K1109" s="24" t="n">
        <v>4</v>
      </c>
      <c r="L1109" s="24" t="str">
        <f aca="false">IF(J1109&lt;&gt;"","Enrolled",IF(I1109&lt;&gt;"","Admitted",IF(H1109&lt;&gt;"","Applied",IF(G1109&lt;&gt;"","Contacted","New"))))</f>
        <v>Contacted</v>
      </c>
      <c r="M1109" s="32" t="n">
        <f aca="false">IF(G1109="","",G1109-B1109)</f>
        <v>2</v>
      </c>
      <c r="N1109" s="24" t="str">
        <f aca="false">IF(COUNTIF($A$2:A1109,A1109)&gt;1,"Duplicate ID",IF(C1109="","Missing source",IF(OR(AND(G1109&lt;&gt;"",G1109&lt;B1109),AND(H1109&lt;&gt;"",H1109&lt;B1109),AND(I1109&lt;&gt;"",I1109&lt;H1109),AND(J1109&lt;&gt;"",J1109&lt;I1109)),"Date error","OK")))</f>
        <v>OK</v>
      </c>
    </row>
    <row r="1110" customFormat="false" ht="15" hidden="false" customHeight="false" outlineLevel="0" collapsed="false">
      <c r="A1110" s="24" t="s">
        <v>1188</v>
      </c>
      <c r="B1110" s="31" t="n">
        <v>46226</v>
      </c>
      <c r="C1110" s="24" t="s">
        <v>24</v>
      </c>
      <c r="D1110" s="24" t="s">
        <v>36</v>
      </c>
      <c r="E1110" s="24" t="s">
        <v>89</v>
      </c>
      <c r="F1110" s="24" t="s">
        <v>42</v>
      </c>
      <c r="G1110" s="31" t="n">
        <v>46228</v>
      </c>
      <c r="H1110" s="31" t="n">
        <v>46240</v>
      </c>
      <c r="I1110" s="31" t="n">
        <v>46248</v>
      </c>
      <c r="J1110" s="24"/>
      <c r="K1110" s="24" t="n">
        <v>3</v>
      </c>
      <c r="L1110" s="24" t="str">
        <f aca="false">IF(J1110&lt;&gt;"","Enrolled",IF(I1110&lt;&gt;"","Admitted",IF(H1110&lt;&gt;"","Applied",IF(G1110&lt;&gt;"","Contacted","New"))))</f>
        <v>Admitted</v>
      </c>
      <c r="M1110" s="32" t="n">
        <f aca="false">IF(G1110="","",G1110-B1110)</f>
        <v>2</v>
      </c>
      <c r="N1110" s="24" t="str">
        <f aca="false">IF(COUNTIF($A$2:A1110,A1110)&gt;1,"Duplicate ID",IF(C1110="","Missing source",IF(OR(AND(G1110&lt;&gt;"",G1110&lt;B1110),AND(H1110&lt;&gt;"",H1110&lt;B1110),AND(I1110&lt;&gt;"",I1110&lt;H1110),AND(J1110&lt;&gt;"",J1110&lt;I1110)),"Date error","OK")))</f>
        <v>OK</v>
      </c>
    </row>
    <row r="1111" customFormat="false" ht="15" hidden="false" customHeight="false" outlineLevel="0" collapsed="false">
      <c r="A1111" s="24" t="s">
        <v>1189</v>
      </c>
      <c r="B1111" s="31" t="n">
        <v>46226</v>
      </c>
      <c r="C1111" s="24" t="s">
        <v>22</v>
      </c>
      <c r="D1111" s="24" t="s">
        <v>33</v>
      </c>
      <c r="E1111" s="24" t="s">
        <v>89</v>
      </c>
      <c r="F1111" s="24" t="s">
        <v>40</v>
      </c>
      <c r="G1111" s="24"/>
      <c r="H1111" s="24"/>
      <c r="I1111" s="24"/>
      <c r="J1111" s="24"/>
      <c r="K1111" s="24" t="n">
        <v>0</v>
      </c>
      <c r="L1111" s="24" t="str">
        <f aca="false">IF(J1111&lt;&gt;"","Enrolled",IF(I1111&lt;&gt;"","Admitted",IF(H1111&lt;&gt;"","Applied",IF(G1111&lt;&gt;"","Contacted","New"))))</f>
        <v>New</v>
      </c>
      <c r="M1111" s="32" t="str">
        <f aca="false">IF(G1111="","",G1111-B1111)</f>
        <v/>
      </c>
      <c r="N1111" s="24" t="str">
        <f aca="false">IF(COUNTIF($A$2:A1111,A1111)&gt;1,"Duplicate ID",IF(C1111="","Missing source",IF(OR(AND(G1111&lt;&gt;"",G1111&lt;B1111),AND(H1111&lt;&gt;"",H1111&lt;B1111),AND(I1111&lt;&gt;"",I1111&lt;H1111),AND(J1111&lt;&gt;"",J1111&lt;I1111)),"Date error","OK")))</f>
        <v>OK</v>
      </c>
    </row>
    <row r="1112" customFormat="false" ht="15" hidden="false" customHeight="false" outlineLevel="0" collapsed="false">
      <c r="A1112" s="24" t="s">
        <v>1190</v>
      </c>
      <c r="B1112" s="31" t="n">
        <v>46226</v>
      </c>
      <c r="C1112" s="24" t="s">
        <v>23</v>
      </c>
      <c r="D1112" s="24" t="s">
        <v>32</v>
      </c>
      <c r="E1112" s="24" t="s">
        <v>94</v>
      </c>
      <c r="F1112" s="24" t="s">
        <v>42</v>
      </c>
      <c r="G1112" s="31" t="n">
        <v>46227</v>
      </c>
      <c r="H1112" s="24"/>
      <c r="I1112" s="24"/>
      <c r="J1112" s="24"/>
      <c r="K1112" s="24" t="n">
        <v>1</v>
      </c>
      <c r="L1112" s="24" t="str">
        <f aca="false">IF(J1112&lt;&gt;"","Enrolled",IF(I1112&lt;&gt;"","Admitted",IF(H1112&lt;&gt;"","Applied",IF(G1112&lt;&gt;"","Contacted","New"))))</f>
        <v>Contacted</v>
      </c>
      <c r="M1112" s="32" t="n">
        <f aca="false">IF(G1112="","",G1112-B1112)</f>
        <v>1</v>
      </c>
      <c r="N1112" s="24" t="str">
        <f aca="false">IF(COUNTIF($A$2:A1112,A1112)&gt;1,"Duplicate ID",IF(C1112="","Missing source",IF(OR(AND(G1112&lt;&gt;"",G1112&lt;B1112),AND(H1112&lt;&gt;"",H1112&lt;B1112),AND(I1112&lt;&gt;"",I1112&lt;H1112),AND(J1112&lt;&gt;"",J1112&lt;I1112)),"Date error","OK")))</f>
        <v>OK</v>
      </c>
    </row>
    <row r="1113" customFormat="false" ht="15" hidden="false" customHeight="false" outlineLevel="0" collapsed="false">
      <c r="A1113" s="24" t="s">
        <v>1191</v>
      </c>
      <c r="B1113" s="31" t="n">
        <v>46226</v>
      </c>
      <c r="C1113" s="24" t="s">
        <v>26</v>
      </c>
      <c r="D1113" s="24" t="s">
        <v>33</v>
      </c>
      <c r="E1113" s="24" t="s">
        <v>84</v>
      </c>
      <c r="F1113" s="24" t="s">
        <v>44</v>
      </c>
      <c r="G1113" s="31" t="n">
        <v>46227</v>
      </c>
      <c r="H1113" s="24"/>
      <c r="I1113" s="24"/>
      <c r="J1113" s="24"/>
      <c r="K1113" s="24" t="n">
        <v>3</v>
      </c>
      <c r="L1113" s="24" t="str">
        <f aca="false">IF(J1113&lt;&gt;"","Enrolled",IF(I1113&lt;&gt;"","Admitted",IF(H1113&lt;&gt;"","Applied",IF(G1113&lt;&gt;"","Contacted","New"))))</f>
        <v>Contacted</v>
      </c>
      <c r="M1113" s="32" t="n">
        <f aca="false">IF(G1113="","",G1113-B1113)</f>
        <v>1</v>
      </c>
      <c r="N1113" s="24" t="str">
        <f aca="false">IF(COUNTIF($A$2:A1113,A1113)&gt;1,"Duplicate ID",IF(C1113="","Missing source",IF(OR(AND(G1113&lt;&gt;"",G1113&lt;B1113),AND(H1113&lt;&gt;"",H1113&lt;B1113),AND(I1113&lt;&gt;"",I1113&lt;H1113),AND(J1113&lt;&gt;"",J1113&lt;I1113)),"Date error","OK")))</f>
        <v>OK</v>
      </c>
    </row>
    <row r="1114" customFormat="false" ht="15" hidden="false" customHeight="false" outlineLevel="0" collapsed="false">
      <c r="A1114" s="24" t="s">
        <v>1192</v>
      </c>
      <c r="B1114" s="31" t="n">
        <v>46227</v>
      </c>
      <c r="C1114" s="24" t="s">
        <v>27</v>
      </c>
      <c r="D1114" s="24" t="s">
        <v>32</v>
      </c>
      <c r="E1114" s="24" t="s">
        <v>89</v>
      </c>
      <c r="F1114" s="24" t="s">
        <v>43</v>
      </c>
      <c r="G1114" s="31" t="n">
        <v>46230</v>
      </c>
      <c r="H1114" s="31" t="n">
        <v>46238</v>
      </c>
      <c r="I1114" s="31" t="n">
        <v>46250</v>
      </c>
      <c r="J1114" s="24"/>
      <c r="K1114" s="24" t="n">
        <v>1</v>
      </c>
      <c r="L1114" s="24" t="str">
        <f aca="false">IF(J1114&lt;&gt;"","Enrolled",IF(I1114&lt;&gt;"","Admitted",IF(H1114&lt;&gt;"","Applied",IF(G1114&lt;&gt;"","Contacted","New"))))</f>
        <v>Admitted</v>
      </c>
      <c r="M1114" s="32" t="n">
        <f aca="false">IF(G1114="","",G1114-B1114)</f>
        <v>3</v>
      </c>
      <c r="N1114" s="24" t="str">
        <f aca="false">IF(COUNTIF($A$2:A1114,A1114)&gt;1,"Duplicate ID",IF(C1114="","Missing source",IF(OR(AND(G1114&lt;&gt;"",G1114&lt;B1114),AND(H1114&lt;&gt;"",H1114&lt;B1114),AND(I1114&lt;&gt;"",I1114&lt;H1114),AND(J1114&lt;&gt;"",J1114&lt;I1114)),"Date error","OK")))</f>
        <v>OK</v>
      </c>
    </row>
    <row r="1115" customFormat="false" ht="15" hidden="false" customHeight="false" outlineLevel="0" collapsed="false">
      <c r="A1115" s="24" t="s">
        <v>1193</v>
      </c>
      <c r="B1115" s="31" t="n">
        <v>46227</v>
      </c>
      <c r="C1115" s="24" t="s">
        <v>26</v>
      </c>
      <c r="D1115" s="24" t="s">
        <v>32</v>
      </c>
      <c r="E1115" s="24" t="s">
        <v>94</v>
      </c>
      <c r="F1115" s="24" t="s">
        <v>42</v>
      </c>
      <c r="G1115" s="31" t="n">
        <v>46229</v>
      </c>
      <c r="H1115" s="24"/>
      <c r="I1115" s="24"/>
      <c r="J1115" s="24"/>
      <c r="K1115" s="24" t="n">
        <v>6</v>
      </c>
      <c r="L1115" s="24" t="str">
        <f aca="false">IF(J1115&lt;&gt;"","Enrolled",IF(I1115&lt;&gt;"","Admitted",IF(H1115&lt;&gt;"","Applied",IF(G1115&lt;&gt;"","Contacted","New"))))</f>
        <v>Contacted</v>
      </c>
      <c r="M1115" s="32" t="n">
        <f aca="false">IF(G1115="","",G1115-B1115)</f>
        <v>2</v>
      </c>
      <c r="N1115" s="24" t="str">
        <f aca="false">IF(COUNTIF($A$2:A1115,A1115)&gt;1,"Duplicate ID",IF(C1115="","Missing source",IF(OR(AND(G1115&lt;&gt;"",G1115&lt;B1115),AND(H1115&lt;&gt;"",H1115&lt;B1115),AND(I1115&lt;&gt;"",I1115&lt;H1115),AND(J1115&lt;&gt;"",J1115&lt;I1115)),"Date error","OK")))</f>
        <v>OK</v>
      </c>
    </row>
    <row r="1116" customFormat="false" ht="15" hidden="false" customHeight="false" outlineLevel="0" collapsed="false">
      <c r="A1116" s="24" t="s">
        <v>1194</v>
      </c>
      <c r="B1116" s="31" t="n">
        <v>46227</v>
      </c>
      <c r="C1116" s="24" t="s">
        <v>25</v>
      </c>
      <c r="D1116" s="24" t="s">
        <v>36</v>
      </c>
      <c r="E1116" s="24" t="s">
        <v>94</v>
      </c>
      <c r="F1116" s="24" t="s">
        <v>44</v>
      </c>
      <c r="G1116" s="31" t="n">
        <v>46230</v>
      </c>
      <c r="H1116" s="24"/>
      <c r="I1116" s="24"/>
      <c r="J1116" s="24"/>
      <c r="K1116" s="24" t="n">
        <v>4</v>
      </c>
      <c r="L1116" s="24" t="str">
        <f aca="false">IF(J1116&lt;&gt;"","Enrolled",IF(I1116&lt;&gt;"","Admitted",IF(H1116&lt;&gt;"","Applied",IF(G1116&lt;&gt;"","Contacted","New"))))</f>
        <v>Contacted</v>
      </c>
      <c r="M1116" s="32" t="n">
        <f aca="false">IF(G1116="","",G1116-B1116)</f>
        <v>3</v>
      </c>
      <c r="N1116" s="24" t="str">
        <f aca="false">IF(COUNTIF($A$2:A1116,A1116)&gt;1,"Duplicate ID",IF(C1116="","Missing source",IF(OR(AND(G1116&lt;&gt;"",G1116&lt;B1116),AND(H1116&lt;&gt;"",H1116&lt;B1116),AND(I1116&lt;&gt;"",I1116&lt;H1116),AND(J1116&lt;&gt;"",J1116&lt;I1116)),"Date error","OK")))</f>
        <v>OK</v>
      </c>
    </row>
    <row r="1117" customFormat="false" ht="15" hidden="false" customHeight="false" outlineLevel="0" collapsed="false">
      <c r="A1117" s="24" t="s">
        <v>1195</v>
      </c>
      <c r="B1117" s="31" t="n">
        <v>46227</v>
      </c>
      <c r="C1117" s="24" t="s">
        <v>21</v>
      </c>
      <c r="D1117" s="24" t="s">
        <v>36</v>
      </c>
      <c r="E1117" s="24" t="s">
        <v>79</v>
      </c>
      <c r="F1117" s="24" t="s">
        <v>42</v>
      </c>
      <c r="G1117" s="31" t="n">
        <v>46228</v>
      </c>
      <c r="H1117" s="24"/>
      <c r="I1117" s="24"/>
      <c r="J1117" s="24"/>
      <c r="K1117" s="24" t="n">
        <v>6</v>
      </c>
      <c r="L1117" s="24" t="str">
        <f aca="false">IF(J1117&lt;&gt;"","Enrolled",IF(I1117&lt;&gt;"","Admitted",IF(H1117&lt;&gt;"","Applied",IF(G1117&lt;&gt;"","Contacted","New"))))</f>
        <v>Contacted</v>
      </c>
      <c r="M1117" s="32" t="n">
        <f aca="false">IF(G1117="","",G1117-B1117)</f>
        <v>1</v>
      </c>
      <c r="N1117" s="24" t="str">
        <f aca="false">IF(COUNTIF($A$2:A1117,A1117)&gt;1,"Duplicate ID",IF(C1117="","Missing source",IF(OR(AND(G1117&lt;&gt;"",G1117&lt;B1117),AND(H1117&lt;&gt;"",H1117&lt;B1117),AND(I1117&lt;&gt;"",I1117&lt;H1117),AND(J1117&lt;&gt;"",J1117&lt;I1117)),"Date error","OK")))</f>
        <v>OK</v>
      </c>
    </row>
    <row r="1118" customFormat="false" ht="15" hidden="false" customHeight="false" outlineLevel="0" collapsed="false">
      <c r="A1118" s="24" t="s">
        <v>1196</v>
      </c>
      <c r="B1118" s="31" t="n">
        <v>46227</v>
      </c>
      <c r="C1118" s="24" t="s">
        <v>25</v>
      </c>
      <c r="D1118" s="24" t="s">
        <v>35</v>
      </c>
      <c r="E1118" s="24" t="s">
        <v>79</v>
      </c>
      <c r="F1118" s="24" t="s">
        <v>42</v>
      </c>
      <c r="G1118" s="31" t="n">
        <v>46227</v>
      </c>
      <c r="H1118" s="31" t="n">
        <v>46231</v>
      </c>
      <c r="I1118" s="24"/>
      <c r="J1118" s="24"/>
      <c r="K1118" s="24" t="n">
        <v>2</v>
      </c>
      <c r="L1118" s="24" t="str">
        <f aca="false">IF(J1118&lt;&gt;"","Enrolled",IF(I1118&lt;&gt;"","Admitted",IF(H1118&lt;&gt;"","Applied",IF(G1118&lt;&gt;"","Contacted","New"))))</f>
        <v>Applied</v>
      </c>
      <c r="M1118" s="32" t="n">
        <f aca="false">IF(G1118="","",G1118-B1118)</f>
        <v>0</v>
      </c>
      <c r="N1118" s="24" t="str">
        <f aca="false">IF(COUNTIF($A$2:A1118,A1118)&gt;1,"Duplicate ID",IF(C1118="","Missing source",IF(OR(AND(G1118&lt;&gt;"",G1118&lt;B1118),AND(H1118&lt;&gt;"",H1118&lt;B1118),AND(I1118&lt;&gt;"",I1118&lt;H1118),AND(J1118&lt;&gt;"",J1118&lt;I1118)),"Date error","OK")))</f>
        <v>OK</v>
      </c>
    </row>
    <row r="1119" customFormat="false" ht="15" hidden="false" customHeight="false" outlineLevel="0" collapsed="false">
      <c r="A1119" s="24" t="s">
        <v>1197</v>
      </c>
      <c r="B1119" s="31" t="n">
        <v>46227</v>
      </c>
      <c r="C1119" s="24" t="s">
        <v>26</v>
      </c>
      <c r="D1119" s="24" t="s">
        <v>32</v>
      </c>
      <c r="E1119" s="24" t="s">
        <v>79</v>
      </c>
      <c r="F1119" s="24" t="s">
        <v>44</v>
      </c>
      <c r="G1119" s="31" t="n">
        <v>46233</v>
      </c>
      <c r="H1119" s="24"/>
      <c r="I1119" s="24"/>
      <c r="J1119" s="24"/>
      <c r="K1119" s="24" t="n">
        <v>1</v>
      </c>
      <c r="L1119" s="24" t="str">
        <f aca="false">IF(J1119&lt;&gt;"","Enrolled",IF(I1119&lt;&gt;"","Admitted",IF(H1119&lt;&gt;"","Applied",IF(G1119&lt;&gt;"","Contacted","New"))))</f>
        <v>Contacted</v>
      </c>
      <c r="M1119" s="32" t="n">
        <f aca="false">IF(G1119="","",G1119-B1119)</f>
        <v>6</v>
      </c>
      <c r="N1119" s="24" t="str">
        <f aca="false">IF(COUNTIF($A$2:A1119,A1119)&gt;1,"Duplicate ID",IF(C1119="","Missing source",IF(OR(AND(G1119&lt;&gt;"",G1119&lt;B1119),AND(H1119&lt;&gt;"",H1119&lt;B1119),AND(I1119&lt;&gt;"",I1119&lt;H1119),AND(J1119&lt;&gt;"",J1119&lt;I1119)),"Date error","OK")))</f>
        <v>OK</v>
      </c>
    </row>
    <row r="1120" customFormat="false" ht="15" hidden="false" customHeight="false" outlineLevel="0" collapsed="false">
      <c r="A1120" s="24" t="s">
        <v>1198</v>
      </c>
      <c r="B1120" s="31" t="n">
        <v>46227</v>
      </c>
      <c r="C1120" s="24" t="s">
        <v>22</v>
      </c>
      <c r="D1120" s="24" t="s">
        <v>33</v>
      </c>
      <c r="E1120" s="24" t="s">
        <v>89</v>
      </c>
      <c r="F1120" s="24" t="s">
        <v>44</v>
      </c>
      <c r="G1120" s="31" t="n">
        <v>46233</v>
      </c>
      <c r="H1120" s="24"/>
      <c r="I1120" s="24"/>
      <c r="J1120" s="24"/>
      <c r="K1120" s="24" t="n">
        <v>4</v>
      </c>
      <c r="L1120" s="24" t="str">
        <f aca="false">IF(J1120&lt;&gt;"","Enrolled",IF(I1120&lt;&gt;"","Admitted",IF(H1120&lt;&gt;"","Applied",IF(G1120&lt;&gt;"","Contacted","New"))))</f>
        <v>Contacted</v>
      </c>
      <c r="M1120" s="32" t="n">
        <f aca="false">IF(G1120="","",G1120-B1120)</f>
        <v>6</v>
      </c>
      <c r="N1120" s="24" t="str">
        <f aca="false">IF(COUNTIF($A$2:A1120,A1120)&gt;1,"Duplicate ID",IF(C1120="","Missing source",IF(OR(AND(G1120&lt;&gt;"",G1120&lt;B1120),AND(H1120&lt;&gt;"",H1120&lt;B1120),AND(I1120&lt;&gt;"",I1120&lt;H1120),AND(J1120&lt;&gt;"",J1120&lt;I1120)),"Date error","OK")))</f>
        <v>OK</v>
      </c>
    </row>
    <row r="1121" customFormat="false" ht="15" hidden="false" customHeight="false" outlineLevel="0" collapsed="false">
      <c r="A1121" s="24" t="s">
        <v>1199</v>
      </c>
      <c r="B1121" s="31" t="n">
        <v>46227</v>
      </c>
      <c r="C1121" s="24" t="s">
        <v>23</v>
      </c>
      <c r="D1121" s="24" t="s">
        <v>33</v>
      </c>
      <c r="E1121" s="24" t="s">
        <v>81</v>
      </c>
      <c r="F1121" s="24" t="s">
        <v>44</v>
      </c>
      <c r="G1121" s="31" t="n">
        <v>46228</v>
      </c>
      <c r="H1121" s="24"/>
      <c r="I1121" s="24"/>
      <c r="J1121" s="24"/>
      <c r="K1121" s="24" t="n">
        <v>0</v>
      </c>
      <c r="L1121" s="24" t="str">
        <f aca="false">IF(J1121&lt;&gt;"","Enrolled",IF(I1121&lt;&gt;"","Admitted",IF(H1121&lt;&gt;"","Applied",IF(G1121&lt;&gt;"","Contacted","New"))))</f>
        <v>Contacted</v>
      </c>
      <c r="M1121" s="32" t="n">
        <f aca="false">IF(G1121="","",G1121-B1121)</f>
        <v>1</v>
      </c>
      <c r="N1121" s="24" t="str">
        <f aca="false">IF(COUNTIF($A$2:A1121,A1121)&gt;1,"Duplicate ID",IF(C1121="","Missing source",IF(OR(AND(G1121&lt;&gt;"",G1121&lt;B1121),AND(H1121&lt;&gt;"",H1121&lt;B1121),AND(I1121&lt;&gt;"",I1121&lt;H1121),AND(J1121&lt;&gt;"",J1121&lt;I1121)),"Date error","OK")))</f>
        <v>OK</v>
      </c>
    </row>
    <row r="1122" customFormat="false" ht="15" hidden="false" customHeight="false" outlineLevel="0" collapsed="false">
      <c r="A1122" s="24" t="s">
        <v>1200</v>
      </c>
      <c r="B1122" s="31" t="n">
        <v>46227</v>
      </c>
      <c r="C1122" s="24" t="s">
        <v>27</v>
      </c>
      <c r="D1122" s="24" t="s">
        <v>33</v>
      </c>
      <c r="E1122" s="24" t="s">
        <v>89</v>
      </c>
      <c r="F1122" s="24" t="s">
        <v>42</v>
      </c>
      <c r="G1122" s="31" t="n">
        <v>46227</v>
      </c>
      <c r="H1122" s="24"/>
      <c r="I1122" s="24"/>
      <c r="J1122" s="24"/>
      <c r="K1122" s="24" t="n">
        <v>3</v>
      </c>
      <c r="L1122" s="24" t="str">
        <f aca="false">IF(J1122&lt;&gt;"","Enrolled",IF(I1122&lt;&gt;"","Admitted",IF(H1122&lt;&gt;"","Applied",IF(G1122&lt;&gt;"","Contacted","New"))))</f>
        <v>Contacted</v>
      </c>
      <c r="M1122" s="32" t="n">
        <f aca="false">IF(G1122="","",G1122-B1122)</f>
        <v>0</v>
      </c>
      <c r="N1122" s="24" t="str">
        <f aca="false">IF(COUNTIF($A$2:A1122,A1122)&gt;1,"Duplicate ID",IF(C1122="","Missing source",IF(OR(AND(G1122&lt;&gt;"",G1122&lt;B1122),AND(H1122&lt;&gt;"",H1122&lt;B1122),AND(I1122&lt;&gt;"",I1122&lt;H1122),AND(J1122&lt;&gt;"",J1122&lt;I1122)),"Date error","OK")))</f>
        <v>OK</v>
      </c>
    </row>
    <row r="1123" customFormat="false" ht="15" hidden="false" customHeight="false" outlineLevel="0" collapsed="false">
      <c r="A1123" s="24" t="s">
        <v>1201</v>
      </c>
      <c r="B1123" s="31" t="n">
        <v>46227</v>
      </c>
      <c r="C1123" s="24" t="s">
        <v>23</v>
      </c>
      <c r="D1123" s="24" t="s">
        <v>34</v>
      </c>
      <c r="E1123" s="24" t="s">
        <v>79</v>
      </c>
      <c r="F1123" s="24" t="s">
        <v>43</v>
      </c>
      <c r="G1123" s="31" t="n">
        <v>46227</v>
      </c>
      <c r="H1123" s="24"/>
      <c r="I1123" s="24"/>
      <c r="J1123" s="24"/>
      <c r="K1123" s="24" t="n">
        <v>3</v>
      </c>
      <c r="L1123" s="24" t="str">
        <f aca="false">IF(J1123&lt;&gt;"","Enrolled",IF(I1123&lt;&gt;"","Admitted",IF(H1123&lt;&gt;"","Applied",IF(G1123&lt;&gt;"","Contacted","New"))))</f>
        <v>Contacted</v>
      </c>
      <c r="M1123" s="32" t="n">
        <f aca="false">IF(G1123="","",G1123-B1123)</f>
        <v>0</v>
      </c>
      <c r="N1123" s="24" t="str">
        <f aca="false">IF(COUNTIF($A$2:A1123,A1123)&gt;1,"Duplicate ID",IF(C1123="","Missing source",IF(OR(AND(G1123&lt;&gt;"",G1123&lt;B1123),AND(H1123&lt;&gt;"",H1123&lt;B1123),AND(I1123&lt;&gt;"",I1123&lt;H1123),AND(J1123&lt;&gt;"",J1123&lt;I1123)),"Date error","OK")))</f>
        <v>OK</v>
      </c>
    </row>
    <row r="1124" customFormat="false" ht="15" hidden="false" customHeight="false" outlineLevel="0" collapsed="false">
      <c r="A1124" s="24" t="s">
        <v>1202</v>
      </c>
      <c r="B1124" s="31" t="n">
        <v>46227</v>
      </c>
      <c r="C1124" s="24" t="s">
        <v>23</v>
      </c>
      <c r="D1124" s="24" t="s">
        <v>34</v>
      </c>
      <c r="E1124" s="24" t="s">
        <v>89</v>
      </c>
      <c r="F1124" s="24" t="s">
        <v>43</v>
      </c>
      <c r="G1124" s="31" t="n">
        <v>46227</v>
      </c>
      <c r="H1124" s="31" t="n">
        <v>46250</v>
      </c>
      <c r="I1124" s="31" t="n">
        <v>46259</v>
      </c>
      <c r="J1124" s="24"/>
      <c r="K1124" s="24" t="n">
        <v>5</v>
      </c>
      <c r="L1124" s="24" t="str">
        <f aca="false">IF(J1124&lt;&gt;"","Enrolled",IF(I1124&lt;&gt;"","Admitted",IF(H1124&lt;&gt;"","Applied",IF(G1124&lt;&gt;"","Contacted","New"))))</f>
        <v>Admitted</v>
      </c>
      <c r="M1124" s="32" t="n">
        <f aca="false">IF(G1124="","",G1124-B1124)</f>
        <v>0</v>
      </c>
      <c r="N1124" s="24" t="str">
        <f aca="false">IF(COUNTIF($A$2:A1124,A1124)&gt;1,"Duplicate ID",IF(C1124="","Missing source",IF(OR(AND(G1124&lt;&gt;"",G1124&lt;B1124),AND(H1124&lt;&gt;"",H1124&lt;B1124),AND(I1124&lt;&gt;"",I1124&lt;H1124),AND(J1124&lt;&gt;"",J1124&lt;I1124)),"Date error","OK")))</f>
        <v>OK</v>
      </c>
    </row>
    <row r="1125" customFormat="false" ht="15" hidden="false" customHeight="false" outlineLevel="0" collapsed="false">
      <c r="A1125" s="24" t="s">
        <v>1203</v>
      </c>
      <c r="B1125" s="31" t="n">
        <v>46227</v>
      </c>
      <c r="C1125" s="24" t="s">
        <v>26</v>
      </c>
      <c r="D1125" s="24" t="s">
        <v>36</v>
      </c>
      <c r="E1125" s="24" t="s">
        <v>89</v>
      </c>
      <c r="F1125" s="24" t="s">
        <v>41</v>
      </c>
      <c r="G1125" s="31" t="n">
        <v>46227</v>
      </c>
      <c r="H1125" s="24"/>
      <c r="I1125" s="24"/>
      <c r="J1125" s="24"/>
      <c r="K1125" s="24" t="n">
        <v>2</v>
      </c>
      <c r="L1125" s="24" t="str">
        <f aca="false">IF(J1125&lt;&gt;"","Enrolled",IF(I1125&lt;&gt;"","Admitted",IF(H1125&lt;&gt;"","Applied",IF(G1125&lt;&gt;"","Contacted","New"))))</f>
        <v>Contacted</v>
      </c>
      <c r="M1125" s="32" t="n">
        <f aca="false">IF(G1125="","",G1125-B1125)</f>
        <v>0</v>
      </c>
      <c r="N1125" s="24" t="str">
        <f aca="false">IF(COUNTIF($A$2:A1125,A1125)&gt;1,"Duplicate ID",IF(C1125="","Missing source",IF(OR(AND(G1125&lt;&gt;"",G1125&lt;B1125),AND(H1125&lt;&gt;"",H1125&lt;B1125),AND(I1125&lt;&gt;"",I1125&lt;H1125),AND(J1125&lt;&gt;"",J1125&lt;I1125)),"Date error","OK")))</f>
        <v>OK</v>
      </c>
    </row>
    <row r="1126" customFormat="false" ht="15" hidden="false" customHeight="false" outlineLevel="0" collapsed="false">
      <c r="A1126" s="24" t="s">
        <v>1204</v>
      </c>
      <c r="B1126" s="31" t="n">
        <v>46227</v>
      </c>
      <c r="C1126" s="24" t="s">
        <v>23</v>
      </c>
      <c r="D1126" s="24" t="s">
        <v>35</v>
      </c>
      <c r="E1126" s="24" t="s">
        <v>89</v>
      </c>
      <c r="F1126" s="24" t="s">
        <v>42</v>
      </c>
      <c r="G1126" s="31" t="n">
        <v>46227</v>
      </c>
      <c r="H1126" s="31" t="n">
        <v>46240</v>
      </c>
      <c r="I1126" s="31" t="n">
        <v>46249</v>
      </c>
      <c r="J1126" s="24"/>
      <c r="K1126" s="24" t="n">
        <v>0</v>
      </c>
      <c r="L1126" s="24" t="str">
        <f aca="false">IF(J1126&lt;&gt;"","Enrolled",IF(I1126&lt;&gt;"","Admitted",IF(H1126&lt;&gt;"","Applied",IF(G1126&lt;&gt;"","Contacted","New"))))</f>
        <v>Admitted</v>
      </c>
      <c r="M1126" s="32" t="n">
        <f aca="false">IF(G1126="","",G1126-B1126)</f>
        <v>0</v>
      </c>
      <c r="N1126" s="24" t="str">
        <f aca="false">IF(COUNTIF($A$2:A1126,A1126)&gt;1,"Duplicate ID",IF(C1126="","Missing source",IF(OR(AND(G1126&lt;&gt;"",G1126&lt;B1126),AND(H1126&lt;&gt;"",H1126&lt;B1126),AND(I1126&lt;&gt;"",I1126&lt;H1126),AND(J1126&lt;&gt;"",J1126&lt;I1126)),"Date error","OK")))</f>
        <v>OK</v>
      </c>
    </row>
    <row r="1127" customFormat="false" ht="15" hidden="false" customHeight="false" outlineLevel="0" collapsed="false">
      <c r="A1127" s="24" t="s">
        <v>1205</v>
      </c>
      <c r="B1127" s="31" t="n">
        <v>46227</v>
      </c>
      <c r="C1127" s="24" t="s">
        <v>26</v>
      </c>
      <c r="D1127" s="24" t="s">
        <v>36</v>
      </c>
      <c r="E1127" s="24" t="s">
        <v>89</v>
      </c>
      <c r="F1127" s="24" t="s">
        <v>43</v>
      </c>
      <c r="G1127" s="31" t="n">
        <v>46229</v>
      </c>
      <c r="H1127" s="24"/>
      <c r="I1127" s="24"/>
      <c r="J1127" s="24"/>
      <c r="K1127" s="24" t="n">
        <v>2</v>
      </c>
      <c r="L1127" s="24" t="str">
        <f aca="false">IF(J1127&lt;&gt;"","Enrolled",IF(I1127&lt;&gt;"","Admitted",IF(H1127&lt;&gt;"","Applied",IF(G1127&lt;&gt;"","Contacted","New"))))</f>
        <v>Contacted</v>
      </c>
      <c r="M1127" s="32" t="n">
        <f aca="false">IF(G1127="","",G1127-B1127)</f>
        <v>2</v>
      </c>
      <c r="N1127" s="24" t="str">
        <f aca="false">IF(COUNTIF($A$2:A1127,A1127)&gt;1,"Duplicate ID",IF(C1127="","Missing source",IF(OR(AND(G1127&lt;&gt;"",G1127&lt;B1127),AND(H1127&lt;&gt;"",H1127&lt;B1127),AND(I1127&lt;&gt;"",I1127&lt;H1127),AND(J1127&lt;&gt;"",J1127&lt;I1127)),"Date error","OK")))</f>
        <v>OK</v>
      </c>
    </row>
    <row r="1128" customFormat="false" ht="15" hidden="false" customHeight="false" outlineLevel="0" collapsed="false">
      <c r="A1128" s="24" t="s">
        <v>1206</v>
      </c>
      <c r="B1128" s="31" t="n">
        <v>46228</v>
      </c>
      <c r="C1128" s="24" t="s">
        <v>22</v>
      </c>
      <c r="D1128" s="24" t="s">
        <v>32</v>
      </c>
      <c r="E1128" s="24" t="s">
        <v>89</v>
      </c>
      <c r="F1128" s="24" t="s">
        <v>41</v>
      </c>
      <c r="G1128" s="24"/>
      <c r="H1128" s="24"/>
      <c r="I1128" s="24"/>
      <c r="J1128" s="24"/>
      <c r="K1128" s="24" t="n">
        <v>0</v>
      </c>
      <c r="L1128" s="24" t="str">
        <f aca="false">IF(J1128&lt;&gt;"","Enrolled",IF(I1128&lt;&gt;"","Admitted",IF(H1128&lt;&gt;"","Applied",IF(G1128&lt;&gt;"","Contacted","New"))))</f>
        <v>New</v>
      </c>
      <c r="M1128" s="32" t="str">
        <f aca="false">IF(G1128="","",G1128-B1128)</f>
        <v/>
      </c>
      <c r="N1128" s="24" t="str">
        <f aca="false">IF(COUNTIF($A$2:A1128,A1128)&gt;1,"Duplicate ID",IF(C1128="","Missing source",IF(OR(AND(G1128&lt;&gt;"",G1128&lt;B1128),AND(H1128&lt;&gt;"",H1128&lt;B1128),AND(I1128&lt;&gt;"",I1128&lt;H1128),AND(J1128&lt;&gt;"",J1128&lt;I1128)),"Date error","OK")))</f>
        <v>OK</v>
      </c>
    </row>
    <row r="1129" customFormat="false" ht="15" hidden="false" customHeight="false" outlineLevel="0" collapsed="false">
      <c r="A1129" s="24" t="s">
        <v>1207</v>
      </c>
      <c r="B1129" s="31" t="n">
        <v>46228</v>
      </c>
      <c r="C1129" s="24" t="s">
        <v>24</v>
      </c>
      <c r="D1129" s="24" t="s">
        <v>36</v>
      </c>
      <c r="E1129" s="24" t="s">
        <v>89</v>
      </c>
      <c r="F1129" s="24" t="s">
        <v>45</v>
      </c>
      <c r="G1129" s="31" t="n">
        <v>46229</v>
      </c>
      <c r="H1129" s="31" t="n">
        <v>46241</v>
      </c>
      <c r="I1129" s="31" t="n">
        <v>46252</v>
      </c>
      <c r="J1129" s="24"/>
      <c r="K1129" s="24" t="n">
        <v>2</v>
      </c>
      <c r="L1129" s="24" t="str">
        <f aca="false">IF(J1129&lt;&gt;"","Enrolled",IF(I1129&lt;&gt;"","Admitted",IF(H1129&lt;&gt;"","Applied",IF(G1129&lt;&gt;"","Contacted","New"))))</f>
        <v>Admitted</v>
      </c>
      <c r="M1129" s="32" t="n">
        <f aca="false">IF(G1129="","",G1129-B1129)</f>
        <v>1</v>
      </c>
      <c r="N1129" s="24" t="str">
        <f aca="false">IF(COUNTIF($A$2:A1129,A1129)&gt;1,"Duplicate ID",IF(C1129="","Missing source",IF(OR(AND(G1129&lt;&gt;"",G1129&lt;B1129),AND(H1129&lt;&gt;"",H1129&lt;B1129),AND(I1129&lt;&gt;"",I1129&lt;H1129),AND(J1129&lt;&gt;"",J1129&lt;I1129)),"Date error","OK")))</f>
        <v>OK</v>
      </c>
    </row>
    <row r="1130" customFormat="false" ht="15" hidden="false" customHeight="false" outlineLevel="0" collapsed="false">
      <c r="A1130" s="24" t="s">
        <v>1208</v>
      </c>
      <c r="B1130" s="31" t="n">
        <v>46228</v>
      </c>
      <c r="C1130" s="24" t="s">
        <v>24</v>
      </c>
      <c r="D1130" s="24" t="s">
        <v>33</v>
      </c>
      <c r="E1130" s="24" t="s">
        <v>89</v>
      </c>
      <c r="F1130" s="24" t="s">
        <v>41</v>
      </c>
      <c r="G1130" s="31" t="n">
        <v>46230</v>
      </c>
      <c r="H1130" s="24"/>
      <c r="I1130" s="24"/>
      <c r="J1130" s="24"/>
      <c r="K1130" s="24" t="n">
        <v>2</v>
      </c>
      <c r="L1130" s="24" t="str">
        <f aca="false">IF(J1130&lt;&gt;"","Enrolled",IF(I1130&lt;&gt;"","Admitted",IF(H1130&lt;&gt;"","Applied",IF(G1130&lt;&gt;"","Contacted","New"))))</f>
        <v>Contacted</v>
      </c>
      <c r="M1130" s="32" t="n">
        <f aca="false">IF(G1130="","",G1130-B1130)</f>
        <v>2</v>
      </c>
      <c r="N1130" s="24" t="str">
        <f aca="false">IF(COUNTIF($A$2:A1130,A1130)&gt;1,"Duplicate ID",IF(C1130="","Missing source",IF(OR(AND(G1130&lt;&gt;"",G1130&lt;B1130),AND(H1130&lt;&gt;"",H1130&lt;B1130),AND(I1130&lt;&gt;"",I1130&lt;H1130),AND(J1130&lt;&gt;"",J1130&lt;I1130)),"Date error","OK")))</f>
        <v>OK</v>
      </c>
    </row>
    <row r="1131" customFormat="false" ht="15" hidden="false" customHeight="false" outlineLevel="0" collapsed="false">
      <c r="A1131" s="24" t="s">
        <v>1209</v>
      </c>
      <c r="B1131" s="31" t="n">
        <v>46228</v>
      </c>
      <c r="C1131" s="24" t="s">
        <v>26</v>
      </c>
      <c r="D1131" s="24" t="s">
        <v>33</v>
      </c>
      <c r="E1131" s="24" t="s">
        <v>79</v>
      </c>
      <c r="F1131" s="24" t="s">
        <v>42</v>
      </c>
      <c r="G1131" s="31" t="n">
        <v>46233</v>
      </c>
      <c r="H1131" s="31" t="n">
        <v>46239</v>
      </c>
      <c r="I1131" s="31" t="n">
        <v>46251</v>
      </c>
      <c r="J1131" s="24"/>
      <c r="K1131" s="24" t="n">
        <v>4</v>
      </c>
      <c r="L1131" s="24" t="str">
        <f aca="false">IF(J1131&lt;&gt;"","Enrolled",IF(I1131&lt;&gt;"","Admitted",IF(H1131&lt;&gt;"","Applied",IF(G1131&lt;&gt;"","Contacted","New"))))</f>
        <v>Admitted</v>
      </c>
      <c r="M1131" s="32" t="n">
        <f aca="false">IF(G1131="","",G1131-B1131)</f>
        <v>5</v>
      </c>
      <c r="N1131" s="24" t="str">
        <f aca="false">IF(COUNTIF($A$2:A1131,A1131)&gt;1,"Duplicate ID",IF(C1131="","Missing source",IF(OR(AND(G1131&lt;&gt;"",G1131&lt;B1131),AND(H1131&lt;&gt;"",H1131&lt;B1131),AND(I1131&lt;&gt;"",I1131&lt;H1131),AND(J1131&lt;&gt;"",J1131&lt;I1131)),"Date error","OK")))</f>
        <v>OK</v>
      </c>
    </row>
    <row r="1132" customFormat="false" ht="15" hidden="false" customHeight="false" outlineLevel="0" collapsed="false">
      <c r="A1132" s="24" t="s">
        <v>1210</v>
      </c>
      <c r="B1132" s="31" t="n">
        <v>46228</v>
      </c>
      <c r="C1132" s="24" t="s">
        <v>22</v>
      </c>
      <c r="D1132" s="24" t="s">
        <v>33</v>
      </c>
      <c r="E1132" s="24" t="s">
        <v>84</v>
      </c>
      <c r="F1132" s="24" t="s">
        <v>45</v>
      </c>
      <c r="G1132" s="31" t="n">
        <v>46228</v>
      </c>
      <c r="H1132" s="24"/>
      <c r="I1132" s="24"/>
      <c r="J1132" s="24"/>
      <c r="K1132" s="24" t="n">
        <v>6</v>
      </c>
      <c r="L1132" s="24" t="str">
        <f aca="false">IF(J1132&lt;&gt;"","Enrolled",IF(I1132&lt;&gt;"","Admitted",IF(H1132&lt;&gt;"","Applied",IF(G1132&lt;&gt;"","Contacted","New"))))</f>
        <v>Contacted</v>
      </c>
      <c r="M1132" s="32" t="n">
        <f aca="false">IF(G1132="","",G1132-B1132)</f>
        <v>0</v>
      </c>
      <c r="N1132" s="24" t="str">
        <f aca="false">IF(COUNTIF($A$2:A1132,A1132)&gt;1,"Duplicate ID",IF(C1132="","Missing source",IF(OR(AND(G1132&lt;&gt;"",G1132&lt;B1132),AND(H1132&lt;&gt;"",H1132&lt;B1132),AND(I1132&lt;&gt;"",I1132&lt;H1132),AND(J1132&lt;&gt;"",J1132&lt;I1132)),"Date error","OK")))</f>
        <v>OK</v>
      </c>
    </row>
    <row r="1133" customFormat="false" ht="15" hidden="false" customHeight="false" outlineLevel="0" collapsed="false">
      <c r="A1133" s="24" t="s">
        <v>1211</v>
      </c>
      <c r="B1133" s="31" t="n">
        <v>46228</v>
      </c>
      <c r="C1133" s="24" t="s">
        <v>22</v>
      </c>
      <c r="D1133" s="24" t="s">
        <v>34</v>
      </c>
      <c r="E1133" s="24" t="s">
        <v>84</v>
      </c>
      <c r="F1133" s="24" t="s">
        <v>45</v>
      </c>
      <c r="G1133" s="24"/>
      <c r="H1133" s="24"/>
      <c r="I1133" s="24"/>
      <c r="J1133" s="24"/>
      <c r="K1133" s="24" t="n">
        <v>0</v>
      </c>
      <c r="L1133" s="24" t="str">
        <f aca="false">IF(J1133&lt;&gt;"","Enrolled",IF(I1133&lt;&gt;"","Admitted",IF(H1133&lt;&gt;"","Applied",IF(G1133&lt;&gt;"","Contacted","New"))))</f>
        <v>New</v>
      </c>
      <c r="M1133" s="32" t="str">
        <f aca="false">IF(G1133="","",G1133-B1133)</f>
        <v/>
      </c>
      <c r="N1133" s="24" t="str">
        <f aca="false">IF(COUNTIF($A$2:A1133,A1133)&gt;1,"Duplicate ID",IF(C1133="","Missing source",IF(OR(AND(G1133&lt;&gt;"",G1133&lt;B1133),AND(H1133&lt;&gt;"",H1133&lt;B1133),AND(I1133&lt;&gt;"",I1133&lt;H1133),AND(J1133&lt;&gt;"",J1133&lt;I1133)),"Date error","OK")))</f>
        <v>OK</v>
      </c>
    </row>
    <row r="1134" customFormat="false" ht="15" hidden="false" customHeight="false" outlineLevel="0" collapsed="false">
      <c r="A1134" s="24" t="s">
        <v>1212</v>
      </c>
      <c r="B1134" s="31" t="n">
        <v>46228</v>
      </c>
      <c r="C1134" s="24" t="s">
        <v>23</v>
      </c>
      <c r="D1134" s="24" t="s">
        <v>32</v>
      </c>
      <c r="E1134" s="24" t="s">
        <v>89</v>
      </c>
      <c r="F1134" s="24" t="s">
        <v>44</v>
      </c>
      <c r="G1134" s="31" t="n">
        <v>46231</v>
      </c>
      <c r="H1134" s="24"/>
      <c r="I1134" s="24"/>
      <c r="J1134" s="24"/>
      <c r="K1134" s="24" t="n">
        <v>5</v>
      </c>
      <c r="L1134" s="24" t="str">
        <f aca="false">IF(J1134&lt;&gt;"","Enrolled",IF(I1134&lt;&gt;"","Admitted",IF(H1134&lt;&gt;"","Applied",IF(G1134&lt;&gt;"","Contacted","New"))))</f>
        <v>Contacted</v>
      </c>
      <c r="M1134" s="32" t="n">
        <f aca="false">IF(G1134="","",G1134-B1134)</f>
        <v>3</v>
      </c>
      <c r="N1134" s="24" t="str">
        <f aca="false">IF(COUNTIF($A$2:A1134,A1134)&gt;1,"Duplicate ID",IF(C1134="","Missing source",IF(OR(AND(G1134&lt;&gt;"",G1134&lt;B1134),AND(H1134&lt;&gt;"",H1134&lt;B1134),AND(I1134&lt;&gt;"",I1134&lt;H1134),AND(J1134&lt;&gt;"",J1134&lt;I1134)),"Date error","OK")))</f>
        <v>OK</v>
      </c>
    </row>
    <row r="1135" customFormat="false" ht="15" hidden="false" customHeight="false" outlineLevel="0" collapsed="false">
      <c r="A1135" s="24" t="s">
        <v>1213</v>
      </c>
      <c r="B1135" s="31" t="n">
        <v>46228</v>
      </c>
      <c r="C1135" s="24" t="s">
        <v>27</v>
      </c>
      <c r="D1135" s="24" t="s">
        <v>33</v>
      </c>
      <c r="E1135" s="24" t="s">
        <v>79</v>
      </c>
      <c r="F1135" s="24" t="s">
        <v>42</v>
      </c>
      <c r="G1135" s="31" t="n">
        <v>46230</v>
      </c>
      <c r="H1135" s="24"/>
      <c r="I1135" s="24"/>
      <c r="J1135" s="24"/>
      <c r="K1135" s="24" t="n">
        <v>3</v>
      </c>
      <c r="L1135" s="24" t="str">
        <f aca="false">IF(J1135&lt;&gt;"","Enrolled",IF(I1135&lt;&gt;"","Admitted",IF(H1135&lt;&gt;"","Applied",IF(G1135&lt;&gt;"","Contacted","New"))))</f>
        <v>Contacted</v>
      </c>
      <c r="M1135" s="32" t="n">
        <f aca="false">IF(G1135="","",G1135-B1135)</f>
        <v>2</v>
      </c>
      <c r="N1135" s="24" t="str">
        <f aca="false">IF(COUNTIF($A$2:A1135,A1135)&gt;1,"Duplicate ID",IF(C1135="","Missing source",IF(OR(AND(G1135&lt;&gt;"",G1135&lt;B1135),AND(H1135&lt;&gt;"",H1135&lt;B1135),AND(I1135&lt;&gt;"",I1135&lt;H1135),AND(J1135&lt;&gt;"",J1135&lt;I1135)),"Date error","OK")))</f>
        <v>OK</v>
      </c>
    </row>
    <row r="1136" customFormat="false" ht="15" hidden="false" customHeight="false" outlineLevel="0" collapsed="false">
      <c r="A1136" s="24" t="s">
        <v>1214</v>
      </c>
      <c r="B1136" s="31" t="n">
        <v>46228</v>
      </c>
      <c r="C1136" s="24" t="s">
        <v>27</v>
      </c>
      <c r="D1136" s="24" t="s">
        <v>36</v>
      </c>
      <c r="E1136" s="24" t="s">
        <v>94</v>
      </c>
      <c r="F1136" s="24" t="s">
        <v>44</v>
      </c>
      <c r="G1136" s="31" t="n">
        <v>46234</v>
      </c>
      <c r="H1136" s="31" t="n">
        <v>46239</v>
      </c>
      <c r="I1136" s="31" t="n">
        <v>46245</v>
      </c>
      <c r="J1136" s="24"/>
      <c r="K1136" s="24" t="n">
        <v>3</v>
      </c>
      <c r="L1136" s="24" t="str">
        <f aca="false">IF(J1136&lt;&gt;"","Enrolled",IF(I1136&lt;&gt;"","Admitted",IF(H1136&lt;&gt;"","Applied",IF(G1136&lt;&gt;"","Contacted","New"))))</f>
        <v>Admitted</v>
      </c>
      <c r="M1136" s="32" t="n">
        <f aca="false">IF(G1136="","",G1136-B1136)</f>
        <v>6</v>
      </c>
      <c r="N1136" s="24" t="str">
        <f aca="false">IF(COUNTIF($A$2:A1136,A1136)&gt;1,"Duplicate ID",IF(C1136="","Missing source",IF(OR(AND(G1136&lt;&gt;"",G1136&lt;B1136),AND(H1136&lt;&gt;"",H1136&lt;B1136),AND(I1136&lt;&gt;"",I1136&lt;H1136),AND(J1136&lt;&gt;"",J1136&lt;I1136)),"Date error","OK")))</f>
        <v>OK</v>
      </c>
    </row>
    <row r="1137" customFormat="false" ht="15" hidden="false" customHeight="false" outlineLevel="0" collapsed="false">
      <c r="A1137" s="24" t="s">
        <v>1215</v>
      </c>
      <c r="B1137" s="31" t="n">
        <v>46228</v>
      </c>
      <c r="C1137" s="24" t="s">
        <v>26</v>
      </c>
      <c r="D1137" s="24" t="s">
        <v>32</v>
      </c>
      <c r="E1137" s="24" t="s">
        <v>89</v>
      </c>
      <c r="F1137" s="24" t="s">
        <v>42</v>
      </c>
      <c r="G1137" s="31" t="n">
        <v>46229</v>
      </c>
      <c r="H1137" s="24"/>
      <c r="I1137" s="24"/>
      <c r="J1137" s="24"/>
      <c r="K1137" s="24" t="n">
        <v>3</v>
      </c>
      <c r="L1137" s="24" t="str">
        <f aca="false">IF(J1137&lt;&gt;"","Enrolled",IF(I1137&lt;&gt;"","Admitted",IF(H1137&lt;&gt;"","Applied",IF(G1137&lt;&gt;"","Contacted","New"))))</f>
        <v>Contacted</v>
      </c>
      <c r="M1137" s="32" t="n">
        <f aca="false">IF(G1137="","",G1137-B1137)</f>
        <v>1</v>
      </c>
      <c r="N1137" s="24" t="str">
        <f aca="false">IF(COUNTIF($A$2:A1137,A1137)&gt;1,"Duplicate ID",IF(C1137="","Missing source",IF(OR(AND(G1137&lt;&gt;"",G1137&lt;B1137),AND(H1137&lt;&gt;"",H1137&lt;B1137),AND(I1137&lt;&gt;"",I1137&lt;H1137),AND(J1137&lt;&gt;"",J1137&lt;I1137)),"Date error","OK")))</f>
        <v>OK</v>
      </c>
    </row>
    <row r="1138" customFormat="false" ht="15" hidden="false" customHeight="false" outlineLevel="0" collapsed="false">
      <c r="A1138" s="24" t="s">
        <v>1216</v>
      </c>
      <c r="B1138" s="31" t="n">
        <v>46228</v>
      </c>
      <c r="C1138" s="24" t="s">
        <v>27</v>
      </c>
      <c r="D1138" s="24" t="s">
        <v>32</v>
      </c>
      <c r="E1138" s="24" t="s">
        <v>79</v>
      </c>
      <c r="F1138" s="24" t="s">
        <v>44</v>
      </c>
      <c r="G1138" s="31" t="n">
        <v>46247</v>
      </c>
      <c r="H1138" s="24"/>
      <c r="I1138" s="24"/>
      <c r="J1138" s="24"/>
      <c r="K1138" s="24" t="n">
        <v>3</v>
      </c>
      <c r="L1138" s="24" t="str">
        <f aca="false">IF(J1138&lt;&gt;"","Enrolled",IF(I1138&lt;&gt;"","Admitted",IF(H1138&lt;&gt;"","Applied",IF(G1138&lt;&gt;"","Contacted","New"))))</f>
        <v>Contacted</v>
      </c>
      <c r="M1138" s="32" t="n">
        <f aca="false">IF(G1138="","",G1138-B1138)</f>
        <v>19</v>
      </c>
      <c r="N1138" s="24" t="str">
        <f aca="false">IF(COUNTIF($A$2:A1138,A1138)&gt;1,"Duplicate ID",IF(C1138="","Missing source",IF(OR(AND(G1138&lt;&gt;"",G1138&lt;B1138),AND(H1138&lt;&gt;"",H1138&lt;B1138),AND(I1138&lt;&gt;"",I1138&lt;H1138),AND(J1138&lt;&gt;"",J1138&lt;I1138)),"Date error","OK")))</f>
        <v>OK</v>
      </c>
    </row>
    <row r="1139" customFormat="false" ht="15" hidden="false" customHeight="false" outlineLevel="0" collapsed="false">
      <c r="A1139" s="24" t="s">
        <v>1217</v>
      </c>
      <c r="B1139" s="31" t="n">
        <v>46228</v>
      </c>
      <c r="C1139" s="24" t="s">
        <v>27</v>
      </c>
      <c r="D1139" s="24" t="s">
        <v>33</v>
      </c>
      <c r="E1139" s="24" t="s">
        <v>89</v>
      </c>
      <c r="F1139" s="24" t="s">
        <v>42</v>
      </c>
      <c r="G1139" s="31" t="n">
        <v>46229</v>
      </c>
      <c r="H1139" s="24"/>
      <c r="I1139" s="24"/>
      <c r="J1139" s="24"/>
      <c r="K1139" s="24" t="n">
        <v>1</v>
      </c>
      <c r="L1139" s="24" t="str">
        <f aca="false">IF(J1139&lt;&gt;"","Enrolled",IF(I1139&lt;&gt;"","Admitted",IF(H1139&lt;&gt;"","Applied",IF(G1139&lt;&gt;"","Contacted","New"))))</f>
        <v>Contacted</v>
      </c>
      <c r="M1139" s="32" t="n">
        <f aca="false">IF(G1139="","",G1139-B1139)</f>
        <v>1</v>
      </c>
      <c r="N1139" s="24" t="str">
        <f aca="false">IF(COUNTIF($A$2:A1139,A1139)&gt;1,"Duplicate ID",IF(C1139="","Missing source",IF(OR(AND(G1139&lt;&gt;"",G1139&lt;B1139),AND(H1139&lt;&gt;"",H1139&lt;B1139),AND(I1139&lt;&gt;"",I1139&lt;H1139),AND(J1139&lt;&gt;"",J1139&lt;I1139)),"Date error","OK")))</f>
        <v>OK</v>
      </c>
    </row>
    <row r="1140" customFormat="false" ht="15" hidden="false" customHeight="false" outlineLevel="0" collapsed="false">
      <c r="A1140" s="24" t="s">
        <v>1218</v>
      </c>
      <c r="B1140" s="31" t="n">
        <v>46228</v>
      </c>
      <c r="C1140" s="24" t="s">
        <v>25</v>
      </c>
      <c r="D1140" s="24" t="s">
        <v>33</v>
      </c>
      <c r="E1140" s="24" t="s">
        <v>81</v>
      </c>
      <c r="F1140" s="24" t="s">
        <v>42</v>
      </c>
      <c r="G1140" s="31" t="n">
        <v>46229</v>
      </c>
      <c r="H1140" s="24"/>
      <c r="I1140" s="24"/>
      <c r="J1140" s="24"/>
      <c r="K1140" s="24" t="n">
        <v>1</v>
      </c>
      <c r="L1140" s="24" t="str">
        <f aca="false">IF(J1140&lt;&gt;"","Enrolled",IF(I1140&lt;&gt;"","Admitted",IF(H1140&lt;&gt;"","Applied",IF(G1140&lt;&gt;"","Contacted","New"))))</f>
        <v>Contacted</v>
      </c>
      <c r="M1140" s="32" t="n">
        <f aca="false">IF(G1140="","",G1140-B1140)</f>
        <v>1</v>
      </c>
      <c r="N1140" s="24" t="str">
        <f aca="false">IF(COUNTIF($A$2:A1140,A1140)&gt;1,"Duplicate ID",IF(C1140="","Missing source",IF(OR(AND(G1140&lt;&gt;"",G1140&lt;B1140),AND(H1140&lt;&gt;"",H1140&lt;B1140),AND(I1140&lt;&gt;"",I1140&lt;H1140),AND(J1140&lt;&gt;"",J1140&lt;I1140)),"Date error","OK")))</f>
        <v>OK</v>
      </c>
    </row>
    <row r="1141" customFormat="false" ht="15" hidden="false" customHeight="false" outlineLevel="0" collapsed="false">
      <c r="A1141" s="24" t="s">
        <v>1219</v>
      </c>
      <c r="B1141" s="31" t="n">
        <v>46228</v>
      </c>
      <c r="C1141" s="24" t="s">
        <v>24</v>
      </c>
      <c r="D1141" s="24" t="s">
        <v>32</v>
      </c>
      <c r="E1141" s="24" t="s">
        <v>89</v>
      </c>
      <c r="F1141" s="24" t="s">
        <v>44</v>
      </c>
      <c r="G1141" s="31" t="n">
        <v>46228</v>
      </c>
      <c r="H1141" s="24"/>
      <c r="I1141" s="24"/>
      <c r="J1141" s="24"/>
      <c r="K1141" s="24" t="n">
        <v>2</v>
      </c>
      <c r="L1141" s="24" t="str">
        <f aca="false">IF(J1141&lt;&gt;"","Enrolled",IF(I1141&lt;&gt;"","Admitted",IF(H1141&lt;&gt;"","Applied",IF(G1141&lt;&gt;"","Contacted","New"))))</f>
        <v>Contacted</v>
      </c>
      <c r="M1141" s="32" t="n">
        <f aca="false">IF(G1141="","",G1141-B1141)</f>
        <v>0</v>
      </c>
      <c r="N1141" s="24" t="str">
        <f aca="false">IF(COUNTIF($A$2:A1141,A1141)&gt;1,"Duplicate ID",IF(C1141="","Missing source",IF(OR(AND(G1141&lt;&gt;"",G1141&lt;B1141),AND(H1141&lt;&gt;"",H1141&lt;B1141),AND(I1141&lt;&gt;"",I1141&lt;H1141),AND(J1141&lt;&gt;"",J1141&lt;I1141)),"Date error","OK")))</f>
        <v>OK</v>
      </c>
    </row>
    <row r="1142" customFormat="false" ht="15" hidden="false" customHeight="false" outlineLevel="0" collapsed="false">
      <c r="A1142" s="24" t="s">
        <v>1220</v>
      </c>
      <c r="B1142" s="31" t="n">
        <v>46228</v>
      </c>
      <c r="C1142" s="24" t="s">
        <v>23</v>
      </c>
      <c r="D1142" s="24" t="s">
        <v>35</v>
      </c>
      <c r="E1142" s="24" t="s">
        <v>94</v>
      </c>
      <c r="F1142" s="24" t="s">
        <v>43</v>
      </c>
      <c r="G1142" s="31" t="n">
        <v>46229</v>
      </c>
      <c r="H1142" s="31" t="n">
        <v>46247</v>
      </c>
      <c r="I1142" s="24"/>
      <c r="J1142" s="24"/>
      <c r="K1142" s="24" t="n">
        <v>3</v>
      </c>
      <c r="L1142" s="24" t="str">
        <f aca="false">IF(J1142&lt;&gt;"","Enrolled",IF(I1142&lt;&gt;"","Admitted",IF(H1142&lt;&gt;"","Applied",IF(G1142&lt;&gt;"","Contacted","New"))))</f>
        <v>Applied</v>
      </c>
      <c r="M1142" s="32" t="n">
        <f aca="false">IF(G1142="","",G1142-B1142)</f>
        <v>1</v>
      </c>
      <c r="N1142" s="24" t="str">
        <f aca="false">IF(COUNTIF($A$2:A1142,A1142)&gt;1,"Duplicate ID",IF(C1142="","Missing source",IF(OR(AND(G1142&lt;&gt;"",G1142&lt;B1142),AND(H1142&lt;&gt;"",H1142&lt;B1142),AND(I1142&lt;&gt;"",I1142&lt;H1142),AND(J1142&lt;&gt;"",J1142&lt;I1142)),"Date error","OK")))</f>
        <v>OK</v>
      </c>
    </row>
    <row r="1143" customFormat="false" ht="15" hidden="false" customHeight="false" outlineLevel="0" collapsed="false">
      <c r="A1143" s="24" t="s">
        <v>1221</v>
      </c>
      <c r="B1143" s="31" t="n">
        <v>46228</v>
      </c>
      <c r="C1143" s="24" t="s">
        <v>26</v>
      </c>
      <c r="D1143" s="24" t="s">
        <v>35</v>
      </c>
      <c r="E1143" s="24" t="s">
        <v>79</v>
      </c>
      <c r="F1143" s="24" t="s">
        <v>41</v>
      </c>
      <c r="G1143" s="31" t="n">
        <v>46231</v>
      </c>
      <c r="H1143" s="24"/>
      <c r="I1143" s="24"/>
      <c r="J1143" s="24"/>
      <c r="K1143" s="24" t="n">
        <v>3</v>
      </c>
      <c r="L1143" s="24" t="str">
        <f aca="false">IF(J1143&lt;&gt;"","Enrolled",IF(I1143&lt;&gt;"","Admitted",IF(H1143&lt;&gt;"","Applied",IF(G1143&lt;&gt;"","Contacted","New"))))</f>
        <v>Contacted</v>
      </c>
      <c r="M1143" s="32" t="n">
        <f aca="false">IF(G1143="","",G1143-B1143)</f>
        <v>3</v>
      </c>
      <c r="N1143" s="24" t="str">
        <f aca="false">IF(COUNTIF($A$2:A1143,A1143)&gt;1,"Duplicate ID",IF(C1143="","Missing source",IF(OR(AND(G1143&lt;&gt;"",G1143&lt;B1143),AND(H1143&lt;&gt;"",H1143&lt;B1143),AND(I1143&lt;&gt;"",I1143&lt;H1143),AND(J1143&lt;&gt;"",J1143&lt;I1143)),"Date error","OK")))</f>
        <v>OK</v>
      </c>
    </row>
    <row r="1144" customFormat="false" ht="15" hidden="false" customHeight="false" outlineLevel="0" collapsed="false">
      <c r="A1144" s="24" t="s">
        <v>1222</v>
      </c>
      <c r="B1144" s="31" t="n">
        <v>46228</v>
      </c>
      <c r="C1144" s="24" t="s">
        <v>26</v>
      </c>
      <c r="D1144" s="24" t="s">
        <v>34</v>
      </c>
      <c r="E1144" s="24" t="s">
        <v>89</v>
      </c>
      <c r="F1144" s="24" t="s">
        <v>41</v>
      </c>
      <c r="G1144" s="31" t="n">
        <v>46228</v>
      </c>
      <c r="H1144" s="24"/>
      <c r="I1144" s="24"/>
      <c r="J1144" s="24"/>
      <c r="K1144" s="24" t="n">
        <v>3</v>
      </c>
      <c r="L1144" s="24" t="str">
        <f aca="false">IF(J1144&lt;&gt;"","Enrolled",IF(I1144&lt;&gt;"","Admitted",IF(H1144&lt;&gt;"","Applied",IF(G1144&lt;&gt;"","Contacted","New"))))</f>
        <v>Contacted</v>
      </c>
      <c r="M1144" s="32" t="n">
        <f aca="false">IF(G1144="","",G1144-B1144)</f>
        <v>0</v>
      </c>
      <c r="N1144" s="24" t="str">
        <f aca="false">IF(COUNTIF($A$2:A1144,A1144)&gt;1,"Duplicate ID",IF(C1144="","Missing source",IF(OR(AND(G1144&lt;&gt;"",G1144&lt;B1144),AND(H1144&lt;&gt;"",H1144&lt;B1144),AND(I1144&lt;&gt;"",I1144&lt;H1144),AND(J1144&lt;&gt;"",J1144&lt;I1144)),"Date error","OK")))</f>
        <v>OK</v>
      </c>
    </row>
    <row r="1145" customFormat="false" ht="15" hidden="false" customHeight="false" outlineLevel="0" collapsed="false">
      <c r="A1145" s="24" t="s">
        <v>1223</v>
      </c>
      <c r="B1145" s="31" t="n">
        <v>46228</v>
      </c>
      <c r="C1145" s="24" t="s">
        <v>24</v>
      </c>
      <c r="D1145" s="24" t="s">
        <v>32</v>
      </c>
      <c r="E1145" s="24" t="s">
        <v>79</v>
      </c>
      <c r="F1145" s="24" t="s">
        <v>43</v>
      </c>
      <c r="G1145" s="31" t="n">
        <v>46231</v>
      </c>
      <c r="H1145" s="31" t="n">
        <v>46236</v>
      </c>
      <c r="I1145" s="31" t="n">
        <v>46244</v>
      </c>
      <c r="J1145" s="31" t="n">
        <v>46261</v>
      </c>
      <c r="K1145" s="24" t="n">
        <v>2</v>
      </c>
      <c r="L1145" s="24" t="str">
        <f aca="false">IF(J1145&lt;&gt;"","Enrolled",IF(I1145&lt;&gt;"","Admitted",IF(H1145&lt;&gt;"","Applied",IF(G1145&lt;&gt;"","Contacted","New"))))</f>
        <v>Enrolled</v>
      </c>
      <c r="M1145" s="32" t="n">
        <f aca="false">IF(G1145="","",G1145-B1145)</f>
        <v>3</v>
      </c>
      <c r="N1145" s="24" t="str">
        <f aca="false">IF(COUNTIF($A$2:A1145,A1145)&gt;1,"Duplicate ID",IF(C1145="","Missing source",IF(OR(AND(G1145&lt;&gt;"",G1145&lt;B1145),AND(H1145&lt;&gt;"",H1145&lt;B1145),AND(I1145&lt;&gt;"",I1145&lt;H1145),AND(J1145&lt;&gt;"",J1145&lt;I1145)),"Date error","OK")))</f>
        <v>OK</v>
      </c>
    </row>
    <row r="1146" customFormat="false" ht="15" hidden="false" customHeight="false" outlineLevel="0" collapsed="false">
      <c r="A1146" s="24" t="s">
        <v>1224</v>
      </c>
      <c r="B1146" s="31" t="n">
        <v>46228</v>
      </c>
      <c r="C1146" s="24" t="s">
        <v>23</v>
      </c>
      <c r="D1146" s="24" t="s">
        <v>34</v>
      </c>
      <c r="E1146" s="24" t="s">
        <v>89</v>
      </c>
      <c r="F1146" s="24" t="s">
        <v>42</v>
      </c>
      <c r="G1146" s="31" t="n">
        <v>46229</v>
      </c>
      <c r="H1146" s="31" t="n">
        <v>46236</v>
      </c>
      <c r="I1146" s="31" t="n">
        <v>46244</v>
      </c>
      <c r="J1146" s="31" t="n">
        <v>46257</v>
      </c>
      <c r="K1146" s="24" t="n">
        <v>4</v>
      </c>
      <c r="L1146" s="24" t="str">
        <f aca="false">IF(J1146&lt;&gt;"","Enrolled",IF(I1146&lt;&gt;"","Admitted",IF(H1146&lt;&gt;"","Applied",IF(G1146&lt;&gt;"","Contacted","New"))))</f>
        <v>Enrolled</v>
      </c>
      <c r="M1146" s="32" t="n">
        <f aca="false">IF(G1146="","",G1146-B1146)</f>
        <v>1</v>
      </c>
      <c r="N1146" s="24" t="str">
        <f aca="false">IF(COUNTIF($A$2:A1146,A1146)&gt;1,"Duplicate ID",IF(C1146="","Missing source",IF(OR(AND(G1146&lt;&gt;"",G1146&lt;B1146),AND(H1146&lt;&gt;"",H1146&lt;B1146),AND(I1146&lt;&gt;"",I1146&lt;H1146),AND(J1146&lt;&gt;"",J1146&lt;I1146)),"Date error","OK")))</f>
        <v>OK</v>
      </c>
    </row>
    <row r="1147" customFormat="false" ht="15" hidden="false" customHeight="false" outlineLevel="0" collapsed="false">
      <c r="A1147" s="24" t="s">
        <v>1225</v>
      </c>
      <c r="B1147" s="31" t="n">
        <v>46228</v>
      </c>
      <c r="C1147" s="24" t="s">
        <v>23</v>
      </c>
      <c r="D1147" s="24" t="s">
        <v>33</v>
      </c>
      <c r="E1147" s="24" t="s">
        <v>89</v>
      </c>
      <c r="F1147" s="24" t="s">
        <v>44</v>
      </c>
      <c r="G1147" s="31" t="n">
        <v>46234</v>
      </c>
      <c r="H1147" s="24"/>
      <c r="I1147" s="24"/>
      <c r="J1147" s="24"/>
      <c r="K1147" s="24" t="n">
        <v>4</v>
      </c>
      <c r="L1147" s="24" t="str">
        <f aca="false">IF(J1147&lt;&gt;"","Enrolled",IF(I1147&lt;&gt;"","Admitted",IF(H1147&lt;&gt;"","Applied",IF(G1147&lt;&gt;"","Contacted","New"))))</f>
        <v>Contacted</v>
      </c>
      <c r="M1147" s="32" t="n">
        <f aca="false">IF(G1147="","",G1147-B1147)</f>
        <v>6</v>
      </c>
      <c r="N1147" s="24" t="str">
        <f aca="false">IF(COUNTIF($A$2:A1147,A1147)&gt;1,"Duplicate ID",IF(C1147="","Missing source",IF(OR(AND(G1147&lt;&gt;"",G1147&lt;B1147),AND(H1147&lt;&gt;"",H1147&lt;B1147),AND(I1147&lt;&gt;"",I1147&lt;H1147),AND(J1147&lt;&gt;"",J1147&lt;I1147)),"Date error","OK")))</f>
        <v>OK</v>
      </c>
    </row>
    <row r="1148" customFormat="false" ht="15" hidden="false" customHeight="false" outlineLevel="0" collapsed="false">
      <c r="A1148" s="24" t="s">
        <v>1226</v>
      </c>
      <c r="B1148" s="31" t="n">
        <v>46228</v>
      </c>
      <c r="C1148" s="24" t="s">
        <v>26</v>
      </c>
      <c r="D1148" s="24" t="s">
        <v>33</v>
      </c>
      <c r="E1148" s="24" t="s">
        <v>89</v>
      </c>
      <c r="F1148" s="24" t="s">
        <v>41</v>
      </c>
      <c r="G1148" s="31" t="n">
        <v>46228</v>
      </c>
      <c r="H1148" s="24"/>
      <c r="I1148" s="24"/>
      <c r="J1148" s="24"/>
      <c r="K1148" s="24" t="n">
        <v>1</v>
      </c>
      <c r="L1148" s="24" t="str">
        <f aca="false">IF(J1148&lt;&gt;"","Enrolled",IF(I1148&lt;&gt;"","Admitted",IF(H1148&lt;&gt;"","Applied",IF(G1148&lt;&gt;"","Contacted","New"))))</f>
        <v>Contacted</v>
      </c>
      <c r="M1148" s="32" t="n">
        <f aca="false">IF(G1148="","",G1148-B1148)</f>
        <v>0</v>
      </c>
      <c r="N1148" s="24" t="str">
        <f aca="false">IF(COUNTIF($A$2:A1148,A1148)&gt;1,"Duplicate ID",IF(C1148="","Missing source",IF(OR(AND(G1148&lt;&gt;"",G1148&lt;B1148),AND(H1148&lt;&gt;"",H1148&lt;B1148),AND(I1148&lt;&gt;"",I1148&lt;H1148),AND(J1148&lt;&gt;"",J1148&lt;I1148)),"Date error","OK")))</f>
        <v>OK</v>
      </c>
    </row>
    <row r="1149" customFormat="false" ht="15" hidden="false" customHeight="false" outlineLevel="0" collapsed="false">
      <c r="A1149" s="24" t="s">
        <v>1227</v>
      </c>
      <c r="B1149" s="31" t="n">
        <v>46228</v>
      </c>
      <c r="C1149" s="24" t="s">
        <v>25</v>
      </c>
      <c r="D1149" s="24" t="s">
        <v>32</v>
      </c>
      <c r="E1149" s="24" t="s">
        <v>79</v>
      </c>
      <c r="F1149" s="24" t="s">
        <v>41</v>
      </c>
      <c r="G1149" s="31" t="n">
        <v>46230</v>
      </c>
      <c r="H1149" s="24"/>
      <c r="I1149" s="24"/>
      <c r="J1149" s="24"/>
      <c r="K1149" s="24" t="n">
        <v>4</v>
      </c>
      <c r="L1149" s="24" t="str">
        <f aca="false">IF(J1149&lt;&gt;"","Enrolled",IF(I1149&lt;&gt;"","Admitted",IF(H1149&lt;&gt;"","Applied",IF(G1149&lt;&gt;"","Contacted","New"))))</f>
        <v>Contacted</v>
      </c>
      <c r="M1149" s="32" t="n">
        <f aca="false">IF(G1149="","",G1149-B1149)</f>
        <v>2</v>
      </c>
      <c r="N1149" s="24" t="str">
        <f aca="false">IF(COUNTIF($A$2:A1149,A1149)&gt;1,"Duplicate ID",IF(C1149="","Missing source",IF(OR(AND(G1149&lt;&gt;"",G1149&lt;B1149),AND(H1149&lt;&gt;"",H1149&lt;B1149),AND(I1149&lt;&gt;"",I1149&lt;H1149),AND(J1149&lt;&gt;"",J1149&lt;I1149)),"Date error","OK")))</f>
        <v>OK</v>
      </c>
    </row>
    <row r="1150" customFormat="false" ht="15" hidden="false" customHeight="false" outlineLevel="0" collapsed="false">
      <c r="A1150" s="24" t="s">
        <v>1228</v>
      </c>
      <c r="B1150" s="31" t="n">
        <v>46229</v>
      </c>
      <c r="C1150" s="24" t="s">
        <v>27</v>
      </c>
      <c r="D1150" s="24" t="s">
        <v>32</v>
      </c>
      <c r="E1150" s="24" t="s">
        <v>89</v>
      </c>
      <c r="F1150" s="24" t="s">
        <v>45</v>
      </c>
      <c r="G1150" s="31" t="n">
        <v>46234</v>
      </c>
      <c r="H1150" s="31" t="n">
        <v>46237</v>
      </c>
      <c r="I1150" s="31" t="n">
        <v>46248</v>
      </c>
      <c r="J1150" s="24"/>
      <c r="K1150" s="24" t="n">
        <v>2</v>
      </c>
      <c r="L1150" s="24" t="str">
        <f aca="false">IF(J1150&lt;&gt;"","Enrolled",IF(I1150&lt;&gt;"","Admitted",IF(H1150&lt;&gt;"","Applied",IF(G1150&lt;&gt;"","Contacted","New"))))</f>
        <v>Admitted</v>
      </c>
      <c r="M1150" s="32" t="n">
        <f aca="false">IF(G1150="","",G1150-B1150)</f>
        <v>5</v>
      </c>
      <c r="N1150" s="24" t="str">
        <f aca="false">IF(COUNTIF($A$2:A1150,A1150)&gt;1,"Duplicate ID",IF(C1150="","Missing source",IF(OR(AND(G1150&lt;&gt;"",G1150&lt;B1150),AND(H1150&lt;&gt;"",H1150&lt;B1150),AND(I1150&lt;&gt;"",I1150&lt;H1150),AND(J1150&lt;&gt;"",J1150&lt;I1150)),"Date error","OK")))</f>
        <v>OK</v>
      </c>
    </row>
    <row r="1151" customFormat="false" ht="15" hidden="false" customHeight="false" outlineLevel="0" collapsed="false">
      <c r="A1151" s="24" t="s">
        <v>1229</v>
      </c>
      <c r="B1151" s="31" t="n">
        <v>46229</v>
      </c>
      <c r="C1151" s="24" t="s">
        <v>26</v>
      </c>
      <c r="D1151" s="24" t="s">
        <v>36</v>
      </c>
      <c r="E1151" s="24" t="s">
        <v>89</v>
      </c>
      <c r="F1151" s="24" t="s">
        <v>42</v>
      </c>
      <c r="G1151" s="31" t="n">
        <v>46230</v>
      </c>
      <c r="H1151" s="24"/>
      <c r="I1151" s="24"/>
      <c r="J1151" s="24"/>
      <c r="K1151" s="24" t="n">
        <v>2</v>
      </c>
      <c r="L1151" s="24" t="str">
        <f aca="false">IF(J1151&lt;&gt;"","Enrolled",IF(I1151&lt;&gt;"","Admitted",IF(H1151&lt;&gt;"","Applied",IF(G1151&lt;&gt;"","Contacted","New"))))</f>
        <v>Contacted</v>
      </c>
      <c r="M1151" s="32" t="n">
        <f aca="false">IF(G1151="","",G1151-B1151)</f>
        <v>1</v>
      </c>
      <c r="N1151" s="24" t="str">
        <f aca="false">IF(COUNTIF($A$2:A1151,A1151)&gt;1,"Duplicate ID",IF(C1151="","Missing source",IF(OR(AND(G1151&lt;&gt;"",G1151&lt;B1151),AND(H1151&lt;&gt;"",H1151&lt;B1151),AND(I1151&lt;&gt;"",I1151&lt;H1151),AND(J1151&lt;&gt;"",J1151&lt;I1151)),"Date error","OK")))</f>
        <v>OK</v>
      </c>
    </row>
    <row r="1152" customFormat="false" ht="15" hidden="false" customHeight="false" outlineLevel="0" collapsed="false">
      <c r="A1152" s="24" t="s">
        <v>1230</v>
      </c>
      <c r="B1152" s="31" t="n">
        <v>46229</v>
      </c>
      <c r="C1152" s="24" t="s">
        <v>24</v>
      </c>
      <c r="D1152" s="24" t="s">
        <v>32</v>
      </c>
      <c r="E1152" s="24" t="s">
        <v>89</v>
      </c>
      <c r="F1152" s="24" t="s">
        <v>40</v>
      </c>
      <c r="G1152" s="31" t="n">
        <v>46230</v>
      </c>
      <c r="H1152" s="24"/>
      <c r="I1152" s="24"/>
      <c r="J1152" s="24"/>
      <c r="K1152" s="24" t="n">
        <v>3</v>
      </c>
      <c r="L1152" s="24" t="str">
        <f aca="false">IF(J1152&lt;&gt;"","Enrolled",IF(I1152&lt;&gt;"","Admitted",IF(H1152&lt;&gt;"","Applied",IF(G1152&lt;&gt;"","Contacted","New"))))</f>
        <v>Contacted</v>
      </c>
      <c r="M1152" s="32" t="n">
        <f aca="false">IF(G1152="","",G1152-B1152)</f>
        <v>1</v>
      </c>
      <c r="N1152" s="24" t="str">
        <f aca="false">IF(COUNTIF($A$2:A1152,A1152)&gt;1,"Duplicate ID",IF(C1152="","Missing source",IF(OR(AND(G1152&lt;&gt;"",G1152&lt;B1152),AND(H1152&lt;&gt;"",H1152&lt;B1152),AND(I1152&lt;&gt;"",I1152&lt;H1152),AND(J1152&lt;&gt;"",J1152&lt;I1152)),"Date error","OK")))</f>
        <v>OK</v>
      </c>
    </row>
    <row r="1153" customFormat="false" ht="15" hidden="false" customHeight="false" outlineLevel="0" collapsed="false">
      <c r="A1153" s="24" t="s">
        <v>1231</v>
      </c>
      <c r="B1153" s="31" t="n">
        <v>46229</v>
      </c>
      <c r="C1153" s="24" t="s">
        <v>22</v>
      </c>
      <c r="D1153" s="24" t="s">
        <v>34</v>
      </c>
      <c r="E1153" s="24" t="s">
        <v>81</v>
      </c>
      <c r="F1153" s="24" t="s">
        <v>42</v>
      </c>
      <c r="G1153" s="31" t="n">
        <v>46230</v>
      </c>
      <c r="H1153" s="24"/>
      <c r="I1153" s="24"/>
      <c r="J1153" s="24"/>
      <c r="K1153" s="24" t="n">
        <v>3</v>
      </c>
      <c r="L1153" s="24" t="str">
        <f aca="false">IF(J1153&lt;&gt;"","Enrolled",IF(I1153&lt;&gt;"","Admitted",IF(H1153&lt;&gt;"","Applied",IF(G1153&lt;&gt;"","Contacted","New"))))</f>
        <v>Contacted</v>
      </c>
      <c r="M1153" s="32" t="n">
        <f aca="false">IF(G1153="","",G1153-B1153)</f>
        <v>1</v>
      </c>
      <c r="N1153" s="24" t="str">
        <f aca="false">IF(COUNTIF($A$2:A1153,A1153)&gt;1,"Duplicate ID",IF(C1153="","Missing source",IF(OR(AND(G1153&lt;&gt;"",G1153&lt;B1153),AND(H1153&lt;&gt;"",H1153&lt;B1153),AND(I1153&lt;&gt;"",I1153&lt;H1153),AND(J1153&lt;&gt;"",J1153&lt;I1153)),"Date error","OK")))</f>
        <v>OK</v>
      </c>
    </row>
    <row r="1154" customFormat="false" ht="15" hidden="false" customHeight="false" outlineLevel="0" collapsed="false">
      <c r="A1154" s="24" t="s">
        <v>1232</v>
      </c>
      <c r="B1154" s="31" t="n">
        <v>46229</v>
      </c>
      <c r="C1154" s="24" t="s">
        <v>22</v>
      </c>
      <c r="D1154" s="24" t="s">
        <v>32</v>
      </c>
      <c r="E1154" s="24" t="s">
        <v>79</v>
      </c>
      <c r="F1154" s="24" t="s">
        <v>45</v>
      </c>
      <c r="G1154" s="31" t="n">
        <v>46229</v>
      </c>
      <c r="H1154" s="24"/>
      <c r="I1154" s="24"/>
      <c r="J1154" s="24"/>
      <c r="K1154" s="24" t="n">
        <v>4</v>
      </c>
      <c r="L1154" s="24" t="str">
        <f aca="false">IF(J1154&lt;&gt;"","Enrolled",IF(I1154&lt;&gt;"","Admitted",IF(H1154&lt;&gt;"","Applied",IF(G1154&lt;&gt;"","Contacted","New"))))</f>
        <v>Contacted</v>
      </c>
      <c r="M1154" s="32" t="n">
        <f aca="false">IF(G1154="","",G1154-B1154)</f>
        <v>0</v>
      </c>
      <c r="N1154" s="24" t="str">
        <f aca="false">IF(COUNTIF($A$2:A1154,A1154)&gt;1,"Duplicate ID",IF(C1154="","Missing source",IF(OR(AND(G1154&lt;&gt;"",G1154&lt;B1154),AND(H1154&lt;&gt;"",H1154&lt;B1154),AND(I1154&lt;&gt;"",I1154&lt;H1154),AND(J1154&lt;&gt;"",J1154&lt;I1154)),"Date error","OK")))</f>
        <v>OK</v>
      </c>
    </row>
    <row r="1155" customFormat="false" ht="15" hidden="false" customHeight="false" outlineLevel="0" collapsed="false">
      <c r="A1155" s="24" t="s">
        <v>1233</v>
      </c>
      <c r="B1155" s="31" t="n">
        <v>46229</v>
      </c>
      <c r="C1155" s="24" t="s">
        <v>27</v>
      </c>
      <c r="D1155" s="24" t="s">
        <v>36</v>
      </c>
      <c r="E1155" s="24" t="s">
        <v>94</v>
      </c>
      <c r="F1155" s="24" t="s">
        <v>40</v>
      </c>
      <c r="G1155" s="31" t="n">
        <v>46229</v>
      </c>
      <c r="H1155" s="31" t="n">
        <v>46245</v>
      </c>
      <c r="I1155" s="31" t="n">
        <v>46254</v>
      </c>
      <c r="J1155" s="24"/>
      <c r="K1155" s="24" t="n">
        <v>0</v>
      </c>
      <c r="L1155" s="24" t="str">
        <f aca="false">IF(J1155&lt;&gt;"","Enrolled",IF(I1155&lt;&gt;"","Admitted",IF(H1155&lt;&gt;"","Applied",IF(G1155&lt;&gt;"","Contacted","New"))))</f>
        <v>Admitted</v>
      </c>
      <c r="M1155" s="32" t="n">
        <f aca="false">IF(G1155="","",G1155-B1155)</f>
        <v>0</v>
      </c>
      <c r="N1155" s="24" t="str">
        <f aca="false">IF(COUNTIF($A$2:A1155,A1155)&gt;1,"Duplicate ID",IF(C1155="","Missing source",IF(OR(AND(G1155&lt;&gt;"",G1155&lt;B1155),AND(H1155&lt;&gt;"",H1155&lt;B1155),AND(I1155&lt;&gt;"",I1155&lt;H1155),AND(J1155&lt;&gt;"",J1155&lt;I1155)),"Date error","OK")))</f>
        <v>OK</v>
      </c>
    </row>
    <row r="1156" customFormat="false" ht="15" hidden="false" customHeight="false" outlineLevel="0" collapsed="false">
      <c r="A1156" s="24" t="s">
        <v>1234</v>
      </c>
      <c r="B1156" s="31" t="n">
        <v>46229</v>
      </c>
      <c r="C1156" s="24" t="s">
        <v>25</v>
      </c>
      <c r="D1156" s="24" t="s">
        <v>32</v>
      </c>
      <c r="E1156" s="24" t="s">
        <v>79</v>
      </c>
      <c r="F1156" s="24" t="s">
        <v>40</v>
      </c>
      <c r="G1156" s="31" t="n">
        <v>46229</v>
      </c>
      <c r="H1156" s="24"/>
      <c r="I1156" s="24"/>
      <c r="J1156" s="24"/>
      <c r="K1156" s="24" t="n">
        <v>3</v>
      </c>
      <c r="L1156" s="24" t="str">
        <f aca="false">IF(J1156&lt;&gt;"","Enrolled",IF(I1156&lt;&gt;"","Admitted",IF(H1156&lt;&gt;"","Applied",IF(G1156&lt;&gt;"","Contacted","New"))))</f>
        <v>Contacted</v>
      </c>
      <c r="M1156" s="32" t="n">
        <f aca="false">IF(G1156="","",G1156-B1156)</f>
        <v>0</v>
      </c>
      <c r="N1156" s="24" t="str">
        <f aca="false">IF(COUNTIF($A$2:A1156,A1156)&gt;1,"Duplicate ID",IF(C1156="","Missing source",IF(OR(AND(G1156&lt;&gt;"",G1156&lt;B1156),AND(H1156&lt;&gt;"",H1156&lt;B1156),AND(I1156&lt;&gt;"",I1156&lt;H1156),AND(J1156&lt;&gt;"",J1156&lt;I1156)),"Date error","OK")))</f>
        <v>OK</v>
      </c>
    </row>
    <row r="1157" customFormat="false" ht="15" hidden="false" customHeight="false" outlineLevel="0" collapsed="false">
      <c r="A1157" s="24" t="s">
        <v>1235</v>
      </c>
      <c r="B1157" s="31" t="n">
        <v>46229</v>
      </c>
      <c r="C1157" s="24" t="s">
        <v>26</v>
      </c>
      <c r="D1157" s="24" t="s">
        <v>32</v>
      </c>
      <c r="E1157" s="24" t="s">
        <v>89</v>
      </c>
      <c r="F1157" s="24" t="s">
        <v>40</v>
      </c>
      <c r="G1157" s="31" t="n">
        <v>46229</v>
      </c>
      <c r="H1157" s="31" t="n">
        <v>46242</v>
      </c>
      <c r="I1157" s="31" t="n">
        <v>46249</v>
      </c>
      <c r="J1157" s="24"/>
      <c r="K1157" s="24" t="n">
        <v>1</v>
      </c>
      <c r="L1157" s="24" t="str">
        <f aca="false">IF(J1157&lt;&gt;"","Enrolled",IF(I1157&lt;&gt;"","Admitted",IF(H1157&lt;&gt;"","Applied",IF(G1157&lt;&gt;"","Contacted","New"))))</f>
        <v>Admitted</v>
      </c>
      <c r="M1157" s="32" t="n">
        <f aca="false">IF(G1157="","",G1157-B1157)</f>
        <v>0</v>
      </c>
      <c r="N1157" s="24" t="str">
        <f aca="false">IF(COUNTIF($A$2:A1157,A1157)&gt;1,"Duplicate ID",IF(C1157="","Missing source",IF(OR(AND(G1157&lt;&gt;"",G1157&lt;B1157),AND(H1157&lt;&gt;"",H1157&lt;B1157),AND(I1157&lt;&gt;"",I1157&lt;H1157),AND(J1157&lt;&gt;"",J1157&lt;I1157)),"Date error","OK")))</f>
        <v>OK</v>
      </c>
    </row>
    <row r="1158" customFormat="false" ht="15" hidden="false" customHeight="false" outlineLevel="0" collapsed="false">
      <c r="A1158" s="24" t="s">
        <v>1236</v>
      </c>
      <c r="B1158" s="31" t="n">
        <v>46229</v>
      </c>
      <c r="C1158" s="24" t="s">
        <v>25</v>
      </c>
      <c r="D1158" s="24" t="s">
        <v>33</v>
      </c>
      <c r="E1158" s="24" t="s">
        <v>89</v>
      </c>
      <c r="F1158" s="24" t="s">
        <v>45</v>
      </c>
      <c r="G1158" s="31" t="n">
        <v>46233</v>
      </c>
      <c r="H1158" s="24"/>
      <c r="I1158" s="24"/>
      <c r="J1158" s="24"/>
      <c r="K1158" s="24" t="n">
        <v>1</v>
      </c>
      <c r="L1158" s="24" t="str">
        <f aca="false">IF(J1158&lt;&gt;"","Enrolled",IF(I1158&lt;&gt;"","Admitted",IF(H1158&lt;&gt;"","Applied",IF(G1158&lt;&gt;"","Contacted","New"))))</f>
        <v>Contacted</v>
      </c>
      <c r="M1158" s="32" t="n">
        <f aca="false">IF(G1158="","",G1158-B1158)</f>
        <v>4</v>
      </c>
      <c r="N1158" s="24" t="str">
        <f aca="false">IF(COUNTIF($A$2:A1158,A1158)&gt;1,"Duplicate ID",IF(C1158="","Missing source",IF(OR(AND(G1158&lt;&gt;"",G1158&lt;B1158),AND(H1158&lt;&gt;"",H1158&lt;B1158),AND(I1158&lt;&gt;"",I1158&lt;H1158),AND(J1158&lt;&gt;"",J1158&lt;I1158)),"Date error","OK")))</f>
        <v>OK</v>
      </c>
    </row>
    <row r="1159" customFormat="false" ht="15" hidden="false" customHeight="false" outlineLevel="0" collapsed="false">
      <c r="A1159" s="24" t="s">
        <v>1237</v>
      </c>
      <c r="B1159" s="31" t="n">
        <v>46229</v>
      </c>
      <c r="C1159" s="24" t="s">
        <v>24</v>
      </c>
      <c r="D1159" s="24" t="s">
        <v>35</v>
      </c>
      <c r="E1159" s="24" t="s">
        <v>94</v>
      </c>
      <c r="F1159" s="24" t="s">
        <v>40</v>
      </c>
      <c r="G1159" s="31" t="n">
        <v>46229</v>
      </c>
      <c r="H1159" s="31" t="n">
        <v>46234</v>
      </c>
      <c r="I1159" s="31" t="n">
        <v>46246</v>
      </c>
      <c r="J1159" s="24"/>
      <c r="K1159" s="24" t="n">
        <v>2</v>
      </c>
      <c r="L1159" s="24" t="str">
        <f aca="false">IF(J1159&lt;&gt;"","Enrolled",IF(I1159&lt;&gt;"","Admitted",IF(H1159&lt;&gt;"","Applied",IF(G1159&lt;&gt;"","Contacted","New"))))</f>
        <v>Admitted</v>
      </c>
      <c r="M1159" s="32" t="n">
        <f aca="false">IF(G1159="","",G1159-B1159)</f>
        <v>0</v>
      </c>
      <c r="N1159" s="24" t="str">
        <f aca="false">IF(COUNTIF($A$2:A1159,A1159)&gt;1,"Duplicate ID",IF(C1159="","Missing source",IF(OR(AND(G1159&lt;&gt;"",G1159&lt;B1159),AND(H1159&lt;&gt;"",H1159&lt;B1159),AND(I1159&lt;&gt;"",I1159&lt;H1159),AND(J1159&lt;&gt;"",J1159&lt;I1159)),"Date error","OK")))</f>
        <v>OK</v>
      </c>
    </row>
    <row r="1160" customFormat="false" ht="15" hidden="false" customHeight="false" outlineLevel="0" collapsed="false">
      <c r="A1160" s="24" t="s">
        <v>1238</v>
      </c>
      <c r="B1160" s="31" t="n">
        <v>46229</v>
      </c>
      <c r="C1160" s="24" t="s">
        <v>27</v>
      </c>
      <c r="D1160" s="24" t="s">
        <v>36</v>
      </c>
      <c r="E1160" s="24" t="s">
        <v>79</v>
      </c>
      <c r="F1160" s="24" t="s">
        <v>44</v>
      </c>
      <c r="G1160" s="31" t="n">
        <v>46230</v>
      </c>
      <c r="H1160" s="24"/>
      <c r="I1160" s="24"/>
      <c r="J1160" s="24"/>
      <c r="K1160" s="24" t="n">
        <v>3</v>
      </c>
      <c r="L1160" s="24" t="str">
        <f aca="false">IF(J1160&lt;&gt;"","Enrolled",IF(I1160&lt;&gt;"","Admitted",IF(H1160&lt;&gt;"","Applied",IF(G1160&lt;&gt;"","Contacted","New"))))</f>
        <v>Contacted</v>
      </c>
      <c r="M1160" s="32" t="n">
        <f aca="false">IF(G1160="","",G1160-B1160)</f>
        <v>1</v>
      </c>
      <c r="N1160" s="24" t="str">
        <f aca="false">IF(COUNTIF($A$2:A1160,A1160)&gt;1,"Duplicate ID",IF(C1160="","Missing source",IF(OR(AND(G1160&lt;&gt;"",G1160&lt;B1160),AND(H1160&lt;&gt;"",H1160&lt;B1160),AND(I1160&lt;&gt;"",I1160&lt;H1160),AND(J1160&lt;&gt;"",J1160&lt;I1160)),"Date error","OK")))</f>
        <v>OK</v>
      </c>
    </row>
    <row r="1161" customFormat="false" ht="15" hidden="false" customHeight="false" outlineLevel="0" collapsed="false">
      <c r="A1161" s="24" t="s">
        <v>1239</v>
      </c>
      <c r="B1161" s="31" t="n">
        <v>46229</v>
      </c>
      <c r="C1161" s="24" t="s">
        <v>21</v>
      </c>
      <c r="D1161" s="24" t="s">
        <v>35</v>
      </c>
      <c r="E1161" s="24" t="s">
        <v>81</v>
      </c>
      <c r="F1161" s="24" t="s">
        <v>44</v>
      </c>
      <c r="G1161" s="31" t="n">
        <v>46240</v>
      </c>
      <c r="H1161" s="24"/>
      <c r="I1161" s="24"/>
      <c r="J1161" s="24"/>
      <c r="K1161" s="24" t="n">
        <v>2</v>
      </c>
      <c r="L1161" s="24" t="str">
        <f aca="false">IF(J1161&lt;&gt;"","Enrolled",IF(I1161&lt;&gt;"","Admitted",IF(H1161&lt;&gt;"","Applied",IF(G1161&lt;&gt;"","Contacted","New"))))</f>
        <v>Contacted</v>
      </c>
      <c r="M1161" s="32" t="n">
        <f aca="false">IF(G1161="","",G1161-B1161)</f>
        <v>11</v>
      </c>
      <c r="N1161" s="24" t="str">
        <f aca="false">IF(COUNTIF($A$2:A1161,A1161)&gt;1,"Duplicate ID",IF(C1161="","Missing source",IF(OR(AND(G1161&lt;&gt;"",G1161&lt;B1161),AND(H1161&lt;&gt;"",H1161&lt;B1161),AND(I1161&lt;&gt;"",I1161&lt;H1161),AND(J1161&lt;&gt;"",J1161&lt;I1161)),"Date error","OK")))</f>
        <v>OK</v>
      </c>
    </row>
    <row r="1162" customFormat="false" ht="15" hidden="false" customHeight="false" outlineLevel="0" collapsed="false">
      <c r="A1162" s="24" t="s">
        <v>1240</v>
      </c>
      <c r="B1162" s="31" t="n">
        <v>46230</v>
      </c>
      <c r="C1162" s="24" t="s">
        <v>25</v>
      </c>
      <c r="D1162" s="24" t="s">
        <v>34</v>
      </c>
      <c r="E1162" s="24" t="s">
        <v>94</v>
      </c>
      <c r="F1162" s="24" t="s">
        <v>44</v>
      </c>
      <c r="G1162" s="31" t="n">
        <v>46230</v>
      </c>
      <c r="H1162" s="24"/>
      <c r="I1162" s="24"/>
      <c r="J1162" s="24"/>
      <c r="K1162" s="24" t="n">
        <v>4</v>
      </c>
      <c r="L1162" s="24" t="str">
        <f aca="false">IF(J1162&lt;&gt;"","Enrolled",IF(I1162&lt;&gt;"","Admitted",IF(H1162&lt;&gt;"","Applied",IF(G1162&lt;&gt;"","Contacted","New"))))</f>
        <v>Contacted</v>
      </c>
      <c r="M1162" s="32" t="n">
        <f aca="false">IF(G1162="","",G1162-B1162)</f>
        <v>0</v>
      </c>
      <c r="N1162" s="24" t="str">
        <f aca="false">IF(COUNTIF($A$2:A1162,A1162)&gt;1,"Duplicate ID",IF(C1162="","Missing source",IF(OR(AND(G1162&lt;&gt;"",G1162&lt;B1162),AND(H1162&lt;&gt;"",H1162&lt;B1162),AND(I1162&lt;&gt;"",I1162&lt;H1162),AND(J1162&lt;&gt;"",J1162&lt;I1162)),"Date error","OK")))</f>
        <v>OK</v>
      </c>
    </row>
    <row r="1163" customFormat="false" ht="15" hidden="false" customHeight="false" outlineLevel="0" collapsed="false">
      <c r="A1163" s="24" t="s">
        <v>1241</v>
      </c>
      <c r="B1163" s="31" t="n">
        <v>46230</v>
      </c>
      <c r="C1163" s="24" t="s">
        <v>23</v>
      </c>
      <c r="D1163" s="24" t="s">
        <v>34</v>
      </c>
      <c r="E1163" s="24" t="s">
        <v>89</v>
      </c>
      <c r="F1163" s="24" t="s">
        <v>41</v>
      </c>
      <c r="G1163" s="31" t="n">
        <v>46231</v>
      </c>
      <c r="H1163" s="31" t="n">
        <v>46256</v>
      </c>
      <c r="I1163" s="24"/>
      <c r="J1163" s="24"/>
      <c r="K1163" s="24" t="n">
        <v>1</v>
      </c>
      <c r="L1163" s="24" t="str">
        <f aca="false">IF(J1163&lt;&gt;"","Enrolled",IF(I1163&lt;&gt;"","Admitted",IF(H1163&lt;&gt;"","Applied",IF(G1163&lt;&gt;"","Contacted","New"))))</f>
        <v>Applied</v>
      </c>
      <c r="M1163" s="32" t="n">
        <f aca="false">IF(G1163="","",G1163-B1163)</f>
        <v>1</v>
      </c>
      <c r="N1163" s="24" t="str">
        <f aca="false">IF(COUNTIF($A$2:A1163,A1163)&gt;1,"Duplicate ID",IF(C1163="","Missing source",IF(OR(AND(G1163&lt;&gt;"",G1163&lt;B1163),AND(H1163&lt;&gt;"",H1163&lt;B1163),AND(I1163&lt;&gt;"",I1163&lt;H1163),AND(J1163&lt;&gt;"",J1163&lt;I1163)),"Date error","OK")))</f>
        <v>OK</v>
      </c>
    </row>
    <row r="1164" customFormat="false" ht="15" hidden="false" customHeight="false" outlineLevel="0" collapsed="false">
      <c r="A1164" s="24" t="s">
        <v>1242</v>
      </c>
      <c r="B1164" s="31" t="n">
        <v>46230</v>
      </c>
      <c r="C1164" s="24" t="s">
        <v>26</v>
      </c>
      <c r="D1164" s="24" t="s">
        <v>33</v>
      </c>
      <c r="E1164" s="24" t="s">
        <v>79</v>
      </c>
      <c r="F1164" s="24" t="s">
        <v>42</v>
      </c>
      <c r="G1164" s="31" t="n">
        <v>46231</v>
      </c>
      <c r="H1164" s="24"/>
      <c r="I1164" s="24"/>
      <c r="J1164" s="24"/>
      <c r="K1164" s="24" t="n">
        <v>2</v>
      </c>
      <c r="L1164" s="24" t="str">
        <f aca="false">IF(J1164&lt;&gt;"","Enrolled",IF(I1164&lt;&gt;"","Admitted",IF(H1164&lt;&gt;"","Applied",IF(G1164&lt;&gt;"","Contacted","New"))))</f>
        <v>Contacted</v>
      </c>
      <c r="M1164" s="32" t="n">
        <f aca="false">IF(G1164="","",G1164-B1164)</f>
        <v>1</v>
      </c>
      <c r="N1164" s="24" t="str">
        <f aca="false">IF(COUNTIF($A$2:A1164,A1164)&gt;1,"Duplicate ID",IF(C1164="","Missing source",IF(OR(AND(G1164&lt;&gt;"",G1164&lt;B1164),AND(H1164&lt;&gt;"",H1164&lt;B1164),AND(I1164&lt;&gt;"",I1164&lt;H1164),AND(J1164&lt;&gt;"",J1164&lt;I1164)),"Date error","OK")))</f>
        <v>OK</v>
      </c>
    </row>
    <row r="1165" customFormat="false" ht="15" hidden="false" customHeight="false" outlineLevel="0" collapsed="false">
      <c r="A1165" s="24" t="s">
        <v>1243</v>
      </c>
      <c r="B1165" s="31" t="n">
        <v>46230</v>
      </c>
      <c r="C1165" s="24" t="s">
        <v>25</v>
      </c>
      <c r="D1165" s="24" t="s">
        <v>32</v>
      </c>
      <c r="E1165" s="24" t="s">
        <v>89</v>
      </c>
      <c r="F1165" s="24" t="s">
        <v>42</v>
      </c>
      <c r="G1165" s="31" t="n">
        <v>46230</v>
      </c>
      <c r="H1165" s="24"/>
      <c r="I1165" s="24"/>
      <c r="J1165" s="24"/>
      <c r="K1165" s="24" t="n">
        <v>2</v>
      </c>
      <c r="L1165" s="24" t="str">
        <f aca="false">IF(J1165&lt;&gt;"","Enrolled",IF(I1165&lt;&gt;"","Admitted",IF(H1165&lt;&gt;"","Applied",IF(G1165&lt;&gt;"","Contacted","New"))))</f>
        <v>Contacted</v>
      </c>
      <c r="M1165" s="32" t="n">
        <f aca="false">IF(G1165="","",G1165-B1165)</f>
        <v>0</v>
      </c>
      <c r="N1165" s="24" t="str">
        <f aca="false">IF(COUNTIF($A$2:A1165,A1165)&gt;1,"Duplicate ID",IF(C1165="","Missing source",IF(OR(AND(G1165&lt;&gt;"",G1165&lt;B1165),AND(H1165&lt;&gt;"",H1165&lt;B1165),AND(I1165&lt;&gt;"",I1165&lt;H1165),AND(J1165&lt;&gt;"",J1165&lt;I1165)),"Date error","OK")))</f>
        <v>OK</v>
      </c>
    </row>
    <row r="1166" customFormat="false" ht="15" hidden="false" customHeight="false" outlineLevel="0" collapsed="false">
      <c r="A1166" s="24" t="s">
        <v>1244</v>
      </c>
      <c r="B1166" s="31" t="n">
        <v>46230</v>
      </c>
      <c r="C1166" s="24" t="s">
        <v>24</v>
      </c>
      <c r="D1166" s="24" t="s">
        <v>36</v>
      </c>
      <c r="E1166" s="24" t="s">
        <v>89</v>
      </c>
      <c r="F1166" s="24" t="s">
        <v>40</v>
      </c>
      <c r="G1166" s="31" t="n">
        <v>46230</v>
      </c>
      <c r="H1166" s="24"/>
      <c r="I1166" s="24"/>
      <c r="J1166" s="24"/>
      <c r="K1166" s="24" t="n">
        <v>2</v>
      </c>
      <c r="L1166" s="24" t="str">
        <f aca="false">IF(J1166&lt;&gt;"","Enrolled",IF(I1166&lt;&gt;"","Admitted",IF(H1166&lt;&gt;"","Applied",IF(G1166&lt;&gt;"","Contacted","New"))))</f>
        <v>Contacted</v>
      </c>
      <c r="M1166" s="32" t="n">
        <f aca="false">IF(G1166="","",G1166-B1166)</f>
        <v>0</v>
      </c>
      <c r="N1166" s="24" t="str">
        <f aca="false">IF(COUNTIF($A$2:A1166,A1166)&gt;1,"Duplicate ID",IF(C1166="","Missing source",IF(OR(AND(G1166&lt;&gt;"",G1166&lt;B1166),AND(H1166&lt;&gt;"",H1166&lt;B1166),AND(I1166&lt;&gt;"",I1166&lt;H1166),AND(J1166&lt;&gt;"",J1166&lt;I1166)),"Date error","OK")))</f>
        <v>OK</v>
      </c>
    </row>
    <row r="1167" customFormat="false" ht="15" hidden="false" customHeight="false" outlineLevel="0" collapsed="false">
      <c r="A1167" s="24" t="s">
        <v>1245</v>
      </c>
      <c r="B1167" s="31" t="n">
        <v>46230</v>
      </c>
      <c r="C1167" s="24" t="s">
        <v>23</v>
      </c>
      <c r="D1167" s="24" t="s">
        <v>32</v>
      </c>
      <c r="E1167" s="24" t="s">
        <v>84</v>
      </c>
      <c r="F1167" s="24" t="s">
        <v>40</v>
      </c>
      <c r="G1167" s="31" t="n">
        <v>46230</v>
      </c>
      <c r="H1167" s="31" t="n">
        <v>46243</v>
      </c>
      <c r="I1167" s="31" t="n">
        <v>46253</v>
      </c>
      <c r="J1167" s="24"/>
      <c r="K1167" s="24" t="n">
        <v>5</v>
      </c>
      <c r="L1167" s="24" t="str">
        <f aca="false">IF(J1167&lt;&gt;"","Enrolled",IF(I1167&lt;&gt;"","Admitted",IF(H1167&lt;&gt;"","Applied",IF(G1167&lt;&gt;"","Contacted","New"))))</f>
        <v>Admitted</v>
      </c>
      <c r="M1167" s="32" t="n">
        <f aca="false">IF(G1167="","",G1167-B1167)</f>
        <v>0</v>
      </c>
      <c r="N1167" s="24" t="str">
        <f aca="false">IF(COUNTIF($A$2:A1167,A1167)&gt;1,"Duplicate ID",IF(C1167="","Missing source",IF(OR(AND(G1167&lt;&gt;"",G1167&lt;B1167),AND(H1167&lt;&gt;"",H1167&lt;B1167),AND(I1167&lt;&gt;"",I1167&lt;H1167),AND(J1167&lt;&gt;"",J1167&lt;I1167)),"Date error","OK")))</f>
        <v>OK</v>
      </c>
    </row>
    <row r="1168" customFormat="false" ht="15" hidden="false" customHeight="false" outlineLevel="0" collapsed="false">
      <c r="A1168" s="24" t="s">
        <v>1246</v>
      </c>
      <c r="B1168" s="31" t="n">
        <v>46230</v>
      </c>
      <c r="C1168" s="24" t="s">
        <v>23</v>
      </c>
      <c r="D1168" s="24" t="s">
        <v>34</v>
      </c>
      <c r="E1168" s="24" t="s">
        <v>94</v>
      </c>
      <c r="F1168" s="24" t="s">
        <v>45</v>
      </c>
      <c r="G1168" s="31" t="n">
        <v>46230</v>
      </c>
      <c r="H1168" s="24"/>
      <c r="I1168" s="24"/>
      <c r="J1168" s="24"/>
      <c r="K1168" s="24" t="n">
        <v>4</v>
      </c>
      <c r="L1168" s="24" t="str">
        <f aca="false">IF(J1168&lt;&gt;"","Enrolled",IF(I1168&lt;&gt;"","Admitted",IF(H1168&lt;&gt;"","Applied",IF(G1168&lt;&gt;"","Contacted","New"))))</f>
        <v>Contacted</v>
      </c>
      <c r="M1168" s="32" t="n">
        <f aca="false">IF(G1168="","",G1168-B1168)</f>
        <v>0</v>
      </c>
      <c r="N1168" s="24" t="str">
        <f aca="false">IF(COUNTIF($A$2:A1168,A1168)&gt;1,"Duplicate ID",IF(C1168="","Missing source",IF(OR(AND(G1168&lt;&gt;"",G1168&lt;B1168),AND(H1168&lt;&gt;"",H1168&lt;B1168),AND(I1168&lt;&gt;"",I1168&lt;H1168),AND(J1168&lt;&gt;"",J1168&lt;I1168)),"Date error","OK")))</f>
        <v>OK</v>
      </c>
    </row>
    <row r="1169" customFormat="false" ht="15" hidden="false" customHeight="false" outlineLevel="0" collapsed="false">
      <c r="A1169" s="24" t="s">
        <v>1247</v>
      </c>
      <c r="B1169" s="31" t="n">
        <v>46230</v>
      </c>
      <c r="C1169" s="24" t="s">
        <v>23</v>
      </c>
      <c r="D1169" s="24" t="s">
        <v>32</v>
      </c>
      <c r="E1169" s="24" t="s">
        <v>94</v>
      </c>
      <c r="F1169" s="24" t="s">
        <v>40</v>
      </c>
      <c r="G1169" s="31" t="n">
        <v>46231</v>
      </c>
      <c r="H1169" s="24"/>
      <c r="I1169" s="24"/>
      <c r="J1169" s="24"/>
      <c r="K1169" s="24" t="n">
        <v>3</v>
      </c>
      <c r="L1169" s="24" t="str">
        <f aca="false">IF(J1169&lt;&gt;"","Enrolled",IF(I1169&lt;&gt;"","Admitted",IF(H1169&lt;&gt;"","Applied",IF(G1169&lt;&gt;"","Contacted","New"))))</f>
        <v>Contacted</v>
      </c>
      <c r="M1169" s="32" t="n">
        <f aca="false">IF(G1169="","",G1169-B1169)</f>
        <v>1</v>
      </c>
      <c r="N1169" s="24" t="str">
        <f aca="false">IF(COUNTIF($A$2:A1169,A1169)&gt;1,"Duplicate ID",IF(C1169="","Missing source",IF(OR(AND(G1169&lt;&gt;"",G1169&lt;B1169),AND(H1169&lt;&gt;"",H1169&lt;B1169),AND(I1169&lt;&gt;"",I1169&lt;H1169),AND(J1169&lt;&gt;"",J1169&lt;I1169)),"Date error","OK")))</f>
        <v>OK</v>
      </c>
    </row>
    <row r="1170" customFormat="false" ht="15" hidden="false" customHeight="false" outlineLevel="0" collapsed="false">
      <c r="A1170" s="24" t="s">
        <v>1248</v>
      </c>
      <c r="B1170" s="31" t="n">
        <v>46230</v>
      </c>
      <c r="C1170" s="24" t="s">
        <v>26</v>
      </c>
      <c r="D1170" s="24" t="s">
        <v>32</v>
      </c>
      <c r="E1170" s="24" t="s">
        <v>89</v>
      </c>
      <c r="F1170" s="24" t="s">
        <v>45</v>
      </c>
      <c r="G1170" s="31" t="n">
        <v>46230</v>
      </c>
      <c r="H1170" s="24"/>
      <c r="I1170" s="24"/>
      <c r="J1170" s="24"/>
      <c r="K1170" s="24" t="n">
        <v>0</v>
      </c>
      <c r="L1170" s="24" t="str">
        <f aca="false">IF(J1170&lt;&gt;"","Enrolled",IF(I1170&lt;&gt;"","Admitted",IF(H1170&lt;&gt;"","Applied",IF(G1170&lt;&gt;"","Contacted","New"))))</f>
        <v>Contacted</v>
      </c>
      <c r="M1170" s="32" t="n">
        <f aca="false">IF(G1170="","",G1170-B1170)</f>
        <v>0</v>
      </c>
      <c r="N1170" s="24" t="str">
        <f aca="false">IF(COUNTIF($A$2:A1170,A1170)&gt;1,"Duplicate ID",IF(C1170="","Missing source",IF(OR(AND(G1170&lt;&gt;"",G1170&lt;B1170),AND(H1170&lt;&gt;"",H1170&lt;B1170),AND(I1170&lt;&gt;"",I1170&lt;H1170),AND(J1170&lt;&gt;"",J1170&lt;I1170)),"Date error","OK")))</f>
        <v>OK</v>
      </c>
    </row>
    <row r="1171" customFormat="false" ht="15" hidden="false" customHeight="false" outlineLevel="0" collapsed="false">
      <c r="A1171" s="24" t="s">
        <v>1249</v>
      </c>
      <c r="B1171" s="31" t="n">
        <v>46230</v>
      </c>
      <c r="C1171" s="24" t="s">
        <v>26</v>
      </c>
      <c r="D1171" s="24" t="s">
        <v>33</v>
      </c>
      <c r="E1171" s="24" t="s">
        <v>79</v>
      </c>
      <c r="F1171" s="24" t="s">
        <v>42</v>
      </c>
      <c r="G1171" s="31" t="n">
        <v>46233</v>
      </c>
      <c r="H1171" s="24"/>
      <c r="I1171" s="24"/>
      <c r="J1171" s="24"/>
      <c r="K1171" s="24" t="n">
        <v>0</v>
      </c>
      <c r="L1171" s="24" t="str">
        <f aca="false">IF(J1171&lt;&gt;"","Enrolled",IF(I1171&lt;&gt;"","Admitted",IF(H1171&lt;&gt;"","Applied",IF(G1171&lt;&gt;"","Contacted","New"))))</f>
        <v>Contacted</v>
      </c>
      <c r="M1171" s="32" t="n">
        <f aca="false">IF(G1171="","",G1171-B1171)</f>
        <v>3</v>
      </c>
      <c r="N1171" s="24" t="str">
        <f aca="false">IF(COUNTIF($A$2:A1171,A1171)&gt;1,"Duplicate ID",IF(C1171="","Missing source",IF(OR(AND(G1171&lt;&gt;"",G1171&lt;B1171),AND(H1171&lt;&gt;"",H1171&lt;B1171),AND(I1171&lt;&gt;"",I1171&lt;H1171),AND(J1171&lt;&gt;"",J1171&lt;I1171)),"Date error","OK")))</f>
        <v>OK</v>
      </c>
    </row>
    <row r="1172" customFormat="false" ht="15" hidden="false" customHeight="false" outlineLevel="0" collapsed="false">
      <c r="A1172" s="24" t="s">
        <v>1250</v>
      </c>
      <c r="B1172" s="31" t="n">
        <v>46230</v>
      </c>
      <c r="C1172" s="24" t="s">
        <v>21</v>
      </c>
      <c r="D1172" s="24" t="s">
        <v>32</v>
      </c>
      <c r="E1172" s="24" t="s">
        <v>94</v>
      </c>
      <c r="F1172" s="24" t="s">
        <v>42</v>
      </c>
      <c r="G1172" s="31" t="n">
        <v>46230</v>
      </c>
      <c r="H1172" s="31" t="n">
        <v>46234</v>
      </c>
      <c r="I1172" s="31" t="n">
        <v>46249</v>
      </c>
      <c r="J1172" s="31" t="n">
        <v>46256</v>
      </c>
      <c r="K1172" s="24" t="n">
        <v>5</v>
      </c>
      <c r="L1172" s="24" t="str">
        <f aca="false">IF(J1172&lt;&gt;"","Enrolled",IF(I1172&lt;&gt;"","Admitted",IF(H1172&lt;&gt;"","Applied",IF(G1172&lt;&gt;"","Contacted","New"))))</f>
        <v>Enrolled</v>
      </c>
      <c r="M1172" s="32" t="n">
        <f aca="false">IF(G1172="","",G1172-B1172)</f>
        <v>0</v>
      </c>
      <c r="N1172" s="24" t="str">
        <f aca="false">IF(COUNTIF($A$2:A1172,A1172)&gt;1,"Duplicate ID",IF(C1172="","Missing source",IF(OR(AND(G1172&lt;&gt;"",G1172&lt;B1172),AND(H1172&lt;&gt;"",H1172&lt;B1172),AND(I1172&lt;&gt;"",I1172&lt;H1172),AND(J1172&lt;&gt;"",J1172&lt;I1172)),"Date error","OK")))</f>
        <v>OK</v>
      </c>
    </row>
    <row r="1173" customFormat="false" ht="15" hidden="false" customHeight="false" outlineLevel="0" collapsed="false">
      <c r="A1173" s="24" t="s">
        <v>1251</v>
      </c>
      <c r="B1173" s="31" t="n">
        <v>46230</v>
      </c>
      <c r="C1173" s="24" t="s">
        <v>22</v>
      </c>
      <c r="D1173" s="24" t="s">
        <v>33</v>
      </c>
      <c r="E1173" s="24" t="s">
        <v>89</v>
      </c>
      <c r="F1173" s="24" t="s">
        <v>44</v>
      </c>
      <c r="G1173" s="31" t="n">
        <v>46231</v>
      </c>
      <c r="H1173" s="24"/>
      <c r="I1173" s="24"/>
      <c r="J1173" s="24"/>
      <c r="K1173" s="24" t="n">
        <v>3</v>
      </c>
      <c r="L1173" s="24" t="str">
        <f aca="false">IF(J1173&lt;&gt;"","Enrolled",IF(I1173&lt;&gt;"","Admitted",IF(H1173&lt;&gt;"","Applied",IF(G1173&lt;&gt;"","Contacted","New"))))</f>
        <v>Contacted</v>
      </c>
      <c r="M1173" s="32" t="n">
        <f aca="false">IF(G1173="","",G1173-B1173)</f>
        <v>1</v>
      </c>
      <c r="N1173" s="24" t="str">
        <f aca="false">IF(COUNTIF($A$2:A1173,A1173)&gt;1,"Duplicate ID",IF(C1173="","Missing source",IF(OR(AND(G1173&lt;&gt;"",G1173&lt;B1173),AND(H1173&lt;&gt;"",H1173&lt;B1173),AND(I1173&lt;&gt;"",I1173&lt;H1173),AND(J1173&lt;&gt;"",J1173&lt;I1173)),"Date error","OK")))</f>
        <v>OK</v>
      </c>
    </row>
    <row r="1174" customFormat="false" ht="15" hidden="false" customHeight="false" outlineLevel="0" collapsed="false">
      <c r="A1174" s="24" t="s">
        <v>1252</v>
      </c>
      <c r="B1174" s="31" t="n">
        <v>46231</v>
      </c>
      <c r="C1174" s="24" t="s">
        <v>26</v>
      </c>
      <c r="D1174" s="24" t="s">
        <v>35</v>
      </c>
      <c r="E1174" s="24" t="s">
        <v>94</v>
      </c>
      <c r="F1174" s="24" t="s">
        <v>43</v>
      </c>
      <c r="G1174" s="31" t="n">
        <v>46231</v>
      </c>
      <c r="H1174" s="24"/>
      <c r="I1174" s="24"/>
      <c r="J1174" s="24"/>
      <c r="K1174" s="24" t="n">
        <v>3</v>
      </c>
      <c r="L1174" s="24" t="str">
        <f aca="false">IF(J1174&lt;&gt;"","Enrolled",IF(I1174&lt;&gt;"","Admitted",IF(H1174&lt;&gt;"","Applied",IF(G1174&lt;&gt;"","Contacted","New"))))</f>
        <v>Contacted</v>
      </c>
      <c r="M1174" s="32" t="n">
        <f aca="false">IF(G1174="","",G1174-B1174)</f>
        <v>0</v>
      </c>
      <c r="N1174" s="24" t="str">
        <f aca="false">IF(COUNTIF($A$2:A1174,A1174)&gt;1,"Duplicate ID",IF(C1174="","Missing source",IF(OR(AND(G1174&lt;&gt;"",G1174&lt;B1174),AND(H1174&lt;&gt;"",H1174&lt;B1174),AND(I1174&lt;&gt;"",I1174&lt;H1174),AND(J1174&lt;&gt;"",J1174&lt;I1174)),"Date error","OK")))</f>
        <v>OK</v>
      </c>
    </row>
    <row r="1175" customFormat="false" ht="15" hidden="false" customHeight="false" outlineLevel="0" collapsed="false">
      <c r="A1175" s="24" t="s">
        <v>1253</v>
      </c>
      <c r="B1175" s="31" t="n">
        <v>46231</v>
      </c>
      <c r="C1175" s="24" t="s">
        <v>26</v>
      </c>
      <c r="D1175" s="24" t="s">
        <v>36</v>
      </c>
      <c r="E1175" s="24" t="s">
        <v>89</v>
      </c>
      <c r="F1175" s="24" t="s">
        <v>45</v>
      </c>
      <c r="G1175" s="31" t="n">
        <v>46231</v>
      </c>
      <c r="H1175" s="24"/>
      <c r="I1175" s="24"/>
      <c r="J1175" s="24"/>
      <c r="K1175" s="24" t="n">
        <v>3</v>
      </c>
      <c r="L1175" s="24" t="str">
        <f aca="false">IF(J1175&lt;&gt;"","Enrolled",IF(I1175&lt;&gt;"","Admitted",IF(H1175&lt;&gt;"","Applied",IF(G1175&lt;&gt;"","Contacted","New"))))</f>
        <v>Contacted</v>
      </c>
      <c r="M1175" s="32" t="n">
        <f aca="false">IF(G1175="","",G1175-B1175)</f>
        <v>0</v>
      </c>
      <c r="N1175" s="24" t="str">
        <f aca="false">IF(COUNTIF($A$2:A1175,A1175)&gt;1,"Duplicate ID",IF(C1175="","Missing source",IF(OR(AND(G1175&lt;&gt;"",G1175&lt;B1175),AND(H1175&lt;&gt;"",H1175&lt;B1175),AND(I1175&lt;&gt;"",I1175&lt;H1175),AND(J1175&lt;&gt;"",J1175&lt;I1175)),"Date error","OK")))</f>
        <v>OK</v>
      </c>
    </row>
    <row r="1176" customFormat="false" ht="15" hidden="false" customHeight="false" outlineLevel="0" collapsed="false">
      <c r="A1176" s="24" t="s">
        <v>1254</v>
      </c>
      <c r="B1176" s="31" t="n">
        <v>46231</v>
      </c>
      <c r="C1176" s="24" t="s">
        <v>22</v>
      </c>
      <c r="D1176" s="24" t="s">
        <v>34</v>
      </c>
      <c r="E1176" s="24" t="s">
        <v>89</v>
      </c>
      <c r="F1176" s="24" t="s">
        <v>45</v>
      </c>
      <c r="G1176" s="31" t="n">
        <v>46231</v>
      </c>
      <c r="H1176" s="24"/>
      <c r="I1176" s="24"/>
      <c r="J1176" s="24"/>
      <c r="K1176" s="24" t="n">
        <v>5</v>
      </c>
      <c r="L1176" s="24" t="str">
        <f aca="false">IF(J1176&lt;&gt;"","Enrolled",IF(I1176&lt;&gt;"","Admitted",IF(H1176&lt;&gt;"","Applied",IF(G1176&lt;&gt;"","Contacted","New"))))</f>
        <v>Contacted</v>
      </c>
      <c r="M1176" s="32" t="n">
        <f aca="false">IF(G1176="","",G1176-B1176)</f>
        <v>0</v>
      </c>
      <c r="N1176" s="24" t="str">
        <f aca="false">IF(COUNTIF($A$2:A1176,A1176)&gt;1,"Duplicate ID",IF(C1176="","Missing source",IF(OR(AND(G1176&lt;&gt;"",G1176&lt;B1176),AND(H1176&lt;&gt;"",H1176&lt;B1176),AND(I1176&lt;&gt;"",I1176&lt;H1176),AND(J1176&lt;&gt;"",J1176&lt;I1176)),"Date error","OK")))</f>
        <v>OK</v>
      </c>
    </row>
    <row r="1177" customFormat="false" ht="15" hidden="false" customHeight="false" outlineLevel="0" collapsed="false">
      <c r="A1177" s="24" t="s">
        <v>1255</v>
      </c>
      <c r="B1177" s="31" t="n">
        <v>46231</v>
      </c>
      <c r="C1177" s="24" t="s">
        <v>23</v>
      </c>
      <c r="D1177" s="24" t="s">
        <v>35</v>
      </c>
      <c r="E1177" s="24" t="s">
        <v>94</v>
      </c>
      <c r="F1177" s="24" t="s">
        <v>44</v>
      </c>
      <c r="G1177" s="31" t="n">
        <v>46238</v>
      </c>
      <c r="H1177" s="24"/>
      <c r="I1177" s="24"/>
      <c r="J1177" s="24"/>
      <c r="K1177" s="24" t="n">
        <v>0</v>
      </c>
      <c r="L1177" s="24" t="str">
        <f aca="false">IF(J1177&lt;&gt;"","Enrolled",IF(I1177&lt;&gt;"","Admitted",IF(H1177&lt;&gt;"","Applied",IF(G1177&lt;&gt;"","Contacted","New"))))</f>
        <v>Contacted</v>
      </c>
      <c r="M1177" s="32" t="n">
        <f aca="false">IF(G1177="","",G1177-B1177)</f>
        <v>7</v>
      </c>
      <c r="N1177" s="24" t="str">
        <f aca="false">IF(COUNTIF($A$2:A1177,A1177)&gt;1,"Duplicate ID",IF(C1177="","Missing source",IF(OR(AND(G1177&lt;&gt;"",G1177&lt;B1177),AND(H1177&lt;&gt;"",H1177&lt;B1177),AND(I1177&lt;&gt;"",I1177&lt;H1177),AND(J1177&lt;&gt;"",J1177&lt;I1177)),"Date error","OK")))</f>
        <v>OK</v>
      </c>
    </row>
    <row r="1178" customFormat="false" ht="15" hidden="false" customHeight="false" outlineLevel="0" collapsed="false">
      <c r="A1178" s="24" t="s">
        <v>1256</v>
      </c>
      <c r="B1178" s="31" t="n">
        <v>46231</v>
      </c>
      <c r="C1178" s="24" t="s">
        <v>27</v>
      </c>
      <c r="D1178" s="24" t="s">
        <v>33</v>
      </c>
      <c r="E1178" s="24" t="s">
        <v>79</v>
      </c>
      <c r="F1178" s="24" t="s">
        <v>42</v>
      </c>
      <c r="G1178" s="31" t="n">
        <v>46233</v>
      </c>
      <c r="H1178" s="24"/>
      <c r="I1178" s="24"/>
      <c r="J1178" s="24"/>
      <c r="K1178" s="24" t="n">
        <v>2</v>
      </c>
      <c r="L1178" s="24" t="str">
        <f aca="false">IF(J1178&lt;&gt;"","Enrolled",IF(I1178&lt;&gt;"","Admitted",IF(H1178&lt;&gt;"","Applied",IF(G1178&lt;&gt;"","Contacted","New"))))</f>
        <v>Contacted</v>
      </c>
      <c r="M1178" s="32" t="n">
        <f aca="false">IF(G1178="","",G1178-B1178)</f>
        <v>2</v>
      </c>
      <c r="N1178" s="24" t="str">
        <f aca="false">IF(COUNTIF($A$2:A1178,A1178)&gt;1,"Duplicate ID",IF(C1178="","Missing source",IF(OR(AND(G1178&lt;&gt;"",G1178&lt;B1178),AND(H1178&lt;&gt;"",H1178&lt;B1178),AND(I1178&lt;&gt;"",I1178&lt;H1178),AND(J1178&lt;&gt;"",J1178&lt;I1178)),"Date error","OK")))</f>
        <v>OK</v>
      </c>
    </row>
    <row r="1179" customFormat="false" ht="15" hidden="false" customHeight="false" outlineLevel="0" collapsed="false">
      <c r="A1179" s="24" t="s">
        <v>1257</v>
      </c>
      <c r="B1179" s="31" t="n">
        <v>46231</v>
      </c>
      <c r="C1179" s="24" t="s">
        <v>21</v>
      </c>
      <c r="D1179" s="24" t="s">
        <v>32</v>
      </c>
      <c r="E1179" s="24" t="s">
        <v>89</v>
      </c>
      <c r="F1179" s="24" t="s">
        <v>45</v>
      </c>
      <c r="G1179" s="31" t="n">
        <v>46232</v>
      </c>
      <c r="H1179" s="24"/>
      <c r="I1179" s="24"/>
      <c r="J1179" s="24"/>
      <c r="K1179" s="24" t="n">
        <v>2</v>
      </c>
      <c r="L1179" s="24" t="str">
        <f aca="false">IF(J1179&lt;&gt;"","Enrolled",IF(I1179&lt;&gt;"","Admitted",IF(H1179&lt;&gt;"","Applied",IF(G1179&lt;&gt;"","Contacted","New"))))</f>
        <v>Contacted</v>
      </c>
      <c r="M1179" s="32" t="n">
        <f aca="false">IF(G1179="","",G1179-B1179)</f>
        <v>1</v>
      </c>
      <c r="N1179" s="24" t="str">
        <f aca="false">IF(COUNTIF($A$2:A1179,A1179)&gt;1,"Duplicate ID",IF(C1179="","Missing source",IF(OR(AND(G1179&lt;&gt;"",G1179&lt;B1179),AND(H1179&lt;&gt;"",H1179&lt;B1179),AND(I1179&lt;&gt;"",I1179&lt;H1179),AND(J1179&lt;&gt;"",J1179&lt;I1179)),"Date error","OK")))</f>
        <v>OK</v>
      </c>
    </row>
    <row r="1180" customFormat="false" ht="15" hidden="false" customHeight="false" outlineLevel="0" collapsed="false">
      <c r="A1180" s="24" t="s">
        <v>1258</v>
      </c>
      <c r="B1180" s="31" t="n">
        <v>46231</v>
      </c>
      <c r="C1180" s="24" t="s">
        <v>21</v>
      </c>
      <c r="D1180" s="24" t="s">
        <v>32</v>
      </c>
      <c r="E1180" s="24" t="s">
        <v>89</v>
      </c>
      <c r="F1180" s="24" t="s">
        <v>43</v>
      </c>
      <c r="G1180" s="31" t="n">
        <v>46233</v>
      </c>
      <c r="H1180" s="31" t="n">
        <v>46257</v>
      </c>
      <c r="I1180" s="24"/>
      <c r="J1180" s="24"/>
      <c r="K1180" s="24" t="n">
        <v>4</v>
      </c>
      <c r="L1180" s="24" t="str">
        <f aca="false">IF(J1180&lt;&gt;"","Enrolled",IF(I1180&lt;&gt;"","Admitted",IF(H1180&lt;&gt;"","Applied",IF(G1180&lt;&gt;"","Contacted","New"))))</f>
        <v>Applied</v>
      </c>
      <c r="M1180" s="32" t="n">
        <f aca="false">IF(G1180="","",G1180-B1180)</f>
        <v>2</v>
      </c>
      <c r="N1180" s="24" t="str">
        <f aca="false">IF(COUNTIF($A$2:A1180,A1180)&gt;1,"Duplicate ID",IF(C1180="","Missing source",IF(OR(AND(G1180&lt;&gt;"",G1180&lt;B1180),AND(H1180&lt;&gt;"",H1180&lt;B1180),AND(I1180&lt;&gt;"",I1180&lt;H1180),AND(J1180&lt;&gt;"",J1180&lt;I1180)),"Date error","OK")))</f>
        <v>OK</v>
      </c>
    </row>
    <row r="1181" customFormat="false" ht="15" hidden="false" customHeight="false" outlineLevel="0" collapsed="false">
      <c r="A1181" s="24" t="s">
        <v>1259</v>
      </c>
      <c r="B1181" s="31" t="n">
        <v>46231</v>
      </c>
      <c r="C1181" s="24" t="s">
        <v>26</v>
      </c>
      <c r="D1181" s="24" t="s">
        <v>35</v>
      </c>
      <c r="E1181" s="24" t="s">
        <v>79</v>
      </c>
      <c r="F1181" s="24" t="s">
        <v>42</v>
      </c>
      <c r="G1181" s="24"/>
      <c r="H1181" s="24"/>
      <c r="I1181" s="24"/>
      <c r="J1181" s="24"/>
      <c r="K1181" s="24" t="n">
        <v>0</v>
      </c>
      <c r="L1181" s="24" t="str">
        <f aca="false">IF(J1181&lt;&gt;"","Enrolled",IF(I1181&lt;&gt;"","Admitted",IF(H1181&lt;&gt;"","Applied",IF(G1181&lt;&gt;"","Contacted","New"))))</f>
        <v>New</v>
      </c>
      <c r="M1181" s="32" t="str">
        <f aca="false">IF(G1181="","",G1181-B1181)</f>
        <v/>
      </c>
      <c r="N1181" s="24" t="str">
        <f aca="false">IF(COUNTIF($A$2:A1181,A1181)&gt;1,"Duplicate ID",IF(C1181="","Missing source",IF(OR(AND(G1181&lt;&gt;"",G1181&lt;B1181),AND(H1181&lt;&gt;"",H1181&lt;B1181),AND(I1181&lt;&gt;"",I1181&lt;H1181),AND(J1181&lt;&gt;"",J1181&lt;I1181)),"Date error","OK")))</f>
        <v>OK</v>
      </c>
    </row>
    <row r="1182" customFormat="false" ht="15" hidden="false" customHeight="false" outlineLevel="0" collapsed="false">
      <c r="A1182" s="24" t="s">
        <v>1260</v>
      </c>
      <c r="B1182" s="31" t="n">
        <v>46231</v>
      </c>
      <c r="C1182" s="24" t="s">
        <v>25</v>
      </c>
      <c r="D1182" s="24" t="s">
        <v>32</v>
      </c>
      <c r="E1182" s="24" t="s">
        <v>89</v>
      </c>
      <c r="F1182" s="24" t="s">
        <v>43</v>
      </c>
      <c r="G1182" s="31" t="n">
        <v>46231</v>
      </c>
      <c r="H1182" s="24"/>
      <c r="I1182" s="24"/>
      <c r="J1182" s="24"/>
      <c r="K1182" s="24" t="n">
        <v>6</v>
      </c>
      <c r="L1182" s="24" t="str">
        <f aca="false">IF(J1182&lt;&gt;"","Enrolled",IF(I1182&lt;&gt;"","Admitted",IF(H1182&lt;&gt;"","Applied",IF(G1182&lt;&gt;"","Contacted","New"))))</f>
        <v>Contacted</v>
      </c>
      <c r="M1182" s="32" t="n">
        <f aca="false">IF(G1182="","",G1182-B1182)</f>
        <v>0</v>
      </c>
      <c r="N1182" s="24" t="str">
        <f aca="false">IF(COUNTIF($A$2:A1182,A1182)&gt;1,"Duplicate ID",IF(C1182="","Missing source",IF(OR(AND(G1182&lt;&gt;"",G1182&lt;B1182),AND(H1182&lt;&gt;"",H1182&lt;B1182),AND(I1182&lt;&gt;"",I1182&lt;H1182),AND(J1182&lt;&gt;"",J1182&lt;I1182)),"Date error","OK")))</f>
        <v>OK</v>
      </c>
    </row>
    <row r="1183" customFormat="false" ht="15" hidden="false" customHeight="false" outlineLevel="0" collapsed="false">
      <c r="A1183" s="24" t="s">
        <v>1261</v>
      </c>
      <c r="B1183" s="31" t="n">
        <v>46231</v>
      </c>
      <c r="C1183" s="24" t="s">
        <v>26</v>
      </c>
      <c r="D1183" s="24" t="s">
        <v>36</v>
      </c>
      <c r="E1183" s="24" t="s">
        <v>89</v>
      </c>
      <c r="F1183" s="24" t="s">
        <v>42</v>
      </c>
      <c r="G1183" s="31" t="n">
        <v>46234</v>
      </c>
      <c r="H1183" s="24"/>
      <c r="I1183" s="24"/>
      <c r="J1183" s="24"/>
      <c r="K1183" s="24" t="n">
        <v>0</v>
      </c>
      <c r="L1183" s="24" t="str">
        <f aca="false">IF(J1183&lt;&gt;"","Enrolled",IF(I1183&lt;&gt;"","Admitted",IF(H1183&lt;&gt;"","Applied",IF(G1183&lt;&gt;"","Contacted","New"))))</f>
        <v>Contacted</v>
      </c>
      <c r="M1183" s="32" t="n">
        <f aca="false">IF(G1183="","",G1183-B1183)</f>
        <v>3</v>
      </c>
      <c r="N1183" s="24" t="str">
        <f aca="false">IF(COUNTIF($A$2:A1183,A1183)&gt;1,"Duplicate ID",IF(C1183="","Missing source",IF(OR(AND(G1183&lt;&gt;"",G1183&lt;B1183),AND(H1183&lt;&gt;"",H1183&lt;B1183),AND(I1183&lt;&gt;"",I1183&lt;H1183),AND(J1183&lt;&gt;"",J1183&lt;I1183)),"Date error","OK")))</f>
        <v>OK</v>
      </c>
    </row>
    <row r="1184" customFormat="false" ht="15" hidden="false" customHeight="false" outlineLevel="0" collapsed="false">
      <c r="A1184" s="24" t="s">
        <v>1262</v>
      </c>
      <c r="B1184" s="31" t="n">
        <v>46231</v>
      </c>
      <c r="C1184" s="24" t="s">
        <v>22</v>
      </c>
      <c r="D1184" s="24" t="s">
        <v>33</v>
      </c>
      <c r="E1184" s="24" t="s">
        <v>94</v>
      </c>
      <c r="F1184" s="24" t="s">
        <v>43</v>
      </c>
      <c r="G1184" s="31" t="n">
        <v>46237</v>
      </c>
      <c r="H1184" s="24"/>
      <c r="I1184" s="24"/>
      <c r="J1184" s="24"/>
      <c r="K1184" s="24" t="n">
        <v>4</v>
      </c>
      <c r="L1184" s="24" t="str">
        <f aca="false">IF(J1184&lt;&gt;"","Enrolled",IF(I1184&lt;&gt;"","Admitted",IF(H1184&lt;&gt;"","Applied",IF(G1184&lt;&gt;"","Contacted","New"))))</f>
        <v>Contacted</v>
      </c>
      <c r="M1184" s="32" t="n">
        <f aca="false">IF(G1184="","",G1184-B1184)</f>
        <v>6</v>
      </c>
      <c r="N1184" s="24" t="str">
        <f aca="false">IF(COUNTIF($A$2:A1184,A1184)&gt;1,"Duplicate ID",IF(C1184="","Missing source",IF(OR(AND(G1184&lt;&gt;"",G1184&lt;B1184),AND(H1184&lt;&gt;"",H1184&lt;B1184),AND(I1184&lt;&gt;"",I1184&lt;H1184),AND(J1184&lt;&gt;"",J1184&lt;I1184)),"Date error","OK")))</f>
        <v>OK</v>
      </c>
    </row>
    <row r="1185" customFormat="false" ht="15" hidden="false" customHeight="false" outlineLevel="0" collapsed="false">
      <c r="A1185" s="24" t="s">
        <v>1263</v>
      </c>
      <c r="B1185" s="31" t="n">
        <v>46231</v>
      </c>
      <c r="C1185" s="24" t="s">
        <v>22</v>
      </c>
      <c r="D1185" s="24" t="s">
        <v>36</v>
      </c>
      <c r="E1185" s="24" t="s">
        <v>84</v>
      </c>
      <c r="F1185" s="24" t="s">
        <v>42</v>
      </c>
      <c r="G1185" s="31" t="n">
        <v>46233</v>
      </c>
      <c r="H1185" s="24"/>
      <c r="I1185" s="24"/>
      <c r="J1185" s="24"/>
      <c r="K1185" s="24" t="n">
        <v>1</v>
      </c>
      <c r="L1185" s="24" t="str">
        <f aca="false">IF(J1185&lt;&gt;"","Enrolled",IF(I1185&lt;&gt;"","Admitted",IF(H1185&lt;&gt;"","Applied",IF(G1185&lt;&gt;"","Contacted","New"))))</f>
        <v>Contacted</v>
      </c>
      <c r="M1185" s="32" t="n">
        <f aca="false">IF(G1185="","",G1185-B1185)</f>
        <v>2</v>
      </c>
      <c r="N1185" s="24" t="str">
        <f aca="false">IF(COUNTIF($A$2:A1185,A1185)&gt;1,"Duplicate ID",IF(C1185="","Missing source",IF(OR(AND(G1185&lt;&gt;"",G1185&lt;B1185),AND(H1185&lt;&gt;"",H1185&lt;B1185),AND(I1185&lt;&gt;"",I1185&lt;H1185),AND(J1185&lt;&gt;"",J1185&lt;I1185)),"Date error","OK")))</f>
        <v>OK</v>
      </c>
    </row>
    <row r="1186" customFormat="false" ht="15" hidden="false" customHeight="false" outlineLevel="0" collapsed="false">
      <c r="A1186" s="24" t="s">
        <v>1264</v>
      </c>
      <c r="B1186" s="31" t="n">
        <v>46231</v>
      </c>
      <c r="C1186" s="24" t="s">
        <v>27</v>
      </c>
      <c r="D1186" s="24" t="s">
        <v>36</v>
      </c>
      <c r="E1186" s="24" t="s">
        <v>81</v>
      </c>
      <c r="F1186" s="24" t="s">
        <v>44</v>
      </c>
      <c r="G1186" s="31" t="n">
        <v>46231</v>
      </c>
      <c r="H1186" s="24"/>
      <c r="I1186" s="24"/>
      <c r="J1186" s="24"/>
      <c r="K1186" s="24" t="n">
        <v>2</v>
      </c>
      <c r="L1186" s="24" t="str">
        <f aca="false">IF(J1186&lt;&gt;"","Enrolled",IF(I1186&lt;&gt;"","Admitted",IF(H1186&lt;&gt;"","Applied",IF(G1186&lt;&gt;"","Contacted","New"))))</f>
        <v>Contacted</v>
      </c>
      <c r="M1186" s="32" t="n">
        <f aca="false">IF(G1186="","",G1186-B1186)</f>
        <v>0</v>
      </c>
      <c r="N1186" s="24" t="str">
        <f aca="false">IF(COUNTIF($A$2:A1186,A1186)&gt;1,"Duplicate ID",IF(C1186="","Missing source",IF(OR(AND(G1186&lt;&gt;"",G1186&lt;B1186),AND(H1186&lt;&gt;"",H1186&lt;B1186),AND(I1186&lt;&gt;"",I1186&lt;H1186),AND(J1186&lt;&gt;"",J1186&lt;I1186)),"Date error","OK")))</f>
        <v>OK</v>
      </c>
    </row>
    <row r="1187" customFormat="false" ht="15" hidden="false" customHeight="false" outlineLevel="0" collapsed="false">
      <c r="A1187" s="24" t="s">
        <v>1265</v>
      </c>
      <c r="B1187" s="31" t="n">
        <v>46231</v>
      </c>
      <c r="C1187" s="24" t="s">
        <v>22</v>
      </c>
      <c r="D1187" s="24" t="s">
        <v>32</v>
      </c>
      <c r="E1187" s="24" t="s">
        <v>79</v>
      </c>
      <c r="F1187" s="24" t="s">
        <v>43</v>
      </c>
      <c r="G1187" s="31" t="n">
        <v>46231</v>
      </c>
      <c r="H1187" s="31" t="n">
        <v>46252</v>
      </c>
      <c r="I1187" s="24"/>
      <c r="J1187" s="24"/>
      <c r="K1187" s="24" t="n">
        <v>3</v>
      </c>
      <c r="L1187" s="24" t="str">
        <f aca="false">IF(J1187&lt;&gt;"","Enrolled",IF(I1187&lt;&gt;"","Admitted",IF(H1187&lt;&gt;"","Applied",IF(G1187&lt;&gt;"","Contacted","New"))))</f>
        <v>Applied</v>
      </c>
      <c r="M1187" s="32" t="n">
        <f aca="false">IF(G1187="","",G1187-B1187)</f>
        <v>0</v>
      </c>
      <c r="N1187" s="24" t="str">
        <f aca="false">IF(COUNTIF($A$2:A1187,A1187)&gt;1,"Duplicate ID",IF(C1187="","Missing source",IF(OR(AND(G1187&lt;&gt;"",G1187&lt;B1187),AND(H1187&lt;&gt;"",H1187&lt;B1187),AND(I1187&lt;&gt;"",I1187&lt;H1187),AND(J1187&lt;&gt;"",J1187&lt;I1187)),"Date error","OK")))</f>
        <v>OK</v>
      </c>
    </row>
    <row r="1188" customFormat="false" ht="15" hidden="false" customHeight="false" outlineLevel="0" collapsed="false">
      <c r="A1188" s="24" t="s">
        <v>1266</v>
      </c>
      <c r="B1188" s="31" t="n">
        <v>46231</v>
      </c>
      <c r="C1188" s="24" t="s">
        <v>23</v>
      </c>
      <c r="D1188" s="24" t="s">
        <v>32</v>
      </c>
      <c r="E1188" s="24" t="s">
        <v>81</v>
      </c>
      <c r="F1188" s="24" t="s">
        <v>40</v>
      </c>
      <c r="G1188" s="31" t="n">
        <v>46231</v>
      </c>
      <c r="H1188" s="24"/>
      <c r="I1188" s="24"/>
      <c r="J1188" s="24"/>
      <c r="K1188" s="24" t="n">
        <v>4</v>
      </c>
      <c r="L1188" s="24" t="str">
        <f aca="false">IF(J1188&lt;&gt;"","Enrolled",IF(I1188&lt;&gt;"","Admitted",IF(H1188&lt;&gt;"","Applied",IF(G1188&lt;&gt;"","Contacted","New"))))</f>
        <v>Contacted</v>
      </c>
      <c r="M1188" s="32" t="n">
        <f aca="false">IF(G1188="","",G1188-B1188)</f>
        <v>0</v>
      </c>
      <c r="N1188" s="24" t="str">
        <f aca="false">IF(COUNTIF($A$2:A1188,A1188)&gt;1,"Duplicate ID",IF(C1188="","Missing source",IF(OR(AND(G1188&lt;&gt;"",G1188&lt;B1188),AND(H1188&lt;&gt;"",H1188&lt;B1188),AND(I1188&lt;&gt;"",I1188&lt;H1188),AND(J1188&lt;&gt;"",J1188&lt;I1188)),"Date error","OK")))</f>
        <v>OK</v>
      </c>
    </row>
    <row r="1189" customFormat="false" ht="15" hidden="false" customHeight="false" outlineLevel="0" collapsed="false">
      <c r="A1189" s="24" t="s">
        <v>1267</v>
      </c>
      <c r="B1189" s="31" t="n">
        <v>46232</v>
      </c>
      <c r="C1189" s="24" t="s">
        <v>26</v>
      </c>
      <c r="D1189" s="24" t="s">
        <v>36</v>
      </c>
      <c r="E1189" s="24" t="s">
        <v>81</v>
      </c>
      <c r="F1189" s="24" t="s">
        <v>43</v>
      </c>
      <c r="G1189" s="31" t="n">
        <v>46233</v>
      </c>
      <c r="H1189" s="24"/>
      <c r="I1189" s="24"/>
      <c r="J1189" s="24"/>
      <c r="K1189" s="24" t="n">
        <v>3</v>
      </c>
      <c r="L1189" s="24" t="str">
        <f aca="false">IF(J1189&lt;&gt;"","Enrolled",IF(I1189&lt;&gt;"","Admitted",IF(H1189&lt;&gt;"","Applied",IF(G1189&lt;&gt;"","Contacted","New"))))</f>
        <v>Contacted</v>
      </c>
      <c r="M1189" s="32" t="n">
        <f aca="false">IF(G1189="","",G1189-B1189)</f>
        <v>1</v>
      </c>
      <c r="N1189" s="24" t="str">
        <f aca="false">IF(COUNTIF($A$2:A1189,A1189)&gt;1,"Duplicate ID",IF(C1189="","Missing source",IF(OR(AND(G1189&lt;&gt;"",G1189&lt;B1189),AND(H1189&lt;&gt;"",H1189&lt;B1189),AND(I1189&lt;&gt;"",I1189&lt;H1189),AND(J1189&lt;&gt;"",J1189&lt;I1189)),"Date error","OK")))</f>
        <v>OK</v>
      </c>
    </row>
    <row r="1190" customFormat="false" ht="15" hidden="false" customHeight="false" outlineLevel="0" collapsed="false">
      <c r="A1190" s="24" t="s">
        <v>1268</v>
      </c>
      <c r="B1190" s="31" t="n">
        <v>46232</v>
      </c>
      <c r="C1190" s="24" t="s">
        <v>23</v>
      </c>
      <c r="D1190" s="24" t="s">
        <v>34</v>
      </c>
      <c r="E1190" s="24" t="s">
        <v>89</v>
      </c>
      <c r="F1190" s="24" t="s">
        <v>41</v>
      </c>
      <c r="G1190" s="31" t="n">
        <v>46236</v>
      </c>
      <c r="H1190" s="24"/>
      <c r="I1190" s="24"/>
      <c r="J1190" s="24"/>
      <c r="K1190" s="24" t="n">
        <v>2</v>
      </c>
      <c r="L1190" s="24" t="str">
        <f aca="false">IF(J1190&lt;&gt;"","Enrolled",IF(I1190&lt;&gt;"","Admitted",IF(H1190&lt;&gt;"","Applied",IF(G1190&lt;&gt;"","Contacted","New"))))</f>
        <v>Contacted</v>
      </c>
      <c r="M1190" s="32" t="n">
        <f aca="false">IF(G1190="","",G1190-B1190)</f>
        <v>4</v>
      </c>
      <c r="N1190" s="24" t="str">
        <f aca="false">IF(COUNTIF($A$2:A1190,A1190)&gt;1,"Duplicate ID",IF(C1190="","Missing source",IF(OR(AND(G1190&lt;&gt;"",G1190&lt;B1190),AND(H1190&lt;&gt;"",H1190&lt;B1190),AND(I1190&lt;&gt;"",I1190&lt;H1190),AND(J1190&lt;&gt;"",J1190&lt;I1190)),"Date error","OK")))</f>
        <v>OK</v>
      </c>
    </row>
    <row r="1191" customFormat="false" ht="15" hidden="false" customHeight="false" outlineLevel="0" collapsed="false">
      <c r="A1191" s="24" t="s">
        <v>1269</v>
      </c>
      <c r="B1191" s="31" t="n">
        <v>46232</v>
      </c>
      <c r="C1191" s="24" t="s">
        <v>22</v>
      </c>
      <c r="D1191" s="24" t="s">
        <v>35</v>
      </c>
      <c r="E1191" s="24" t="s">
        <v>79</v>
      </c>
      <c r="F1191" s="24" t="s">
        <v>45</v>
      </c>
      <c r="G1191" s="31" t="n">
        <v>46232</v>
      </c>
      <c r="H1191" s="24"/>
      <c r="I1191" s="24"/>
      <c r="J1191" s="24"/>
      <c r="K1191" s="24" t="n">
        <v>2</v>
      </c>
      <c r="L1191" s="24" t="str">
        <f aca="false">IF(J1191&lt;&gt;"","Enrolled",IF(I1191&lt;&gt;"","Admitted",IF(H1191&lt;&gt;"","Applied",IF(G1191&lt;&gt;"","Contacted","New"))))</f>
        <v>Contacted</v>
      </c>
      <c r="M1191" s="32" t="n">
        <f aca="false">IF(G1191="","",G1191-B1191)</f>
        <v>0</v>
      </c>
      <c r="N1191" s="24" t="str">
        <f aca="false">IF(COUNTIF($A$2:A1191,A1191)&gt;1,"Duplicate ID",IF(C1191="","Missing source",IF(OR(AND(G1191&lt;&gt;"",G1191&lt;B1191),AND(H1191&lt;&gt;"",H1191&lt;B1191),AND(I1191&lt;&gt;"",I1191&lt;H1191),AND(J1191&lt;&gt;"",J1191&lt;I1191)),"Date error","OK")))</f>
        <v>OK</v>
      </c>
    </row>
    <row r="1192" customFormat="false" ht="15" hidden="false" customHeight="false" outlineLevel="0" collapsed="false">
      <c r="A1192" s="24" t="s">
        <v>1270</v>
      </c>
      <c r="B1192" s="31" t="n">
        <v>46232</v>
      </c>
      <c r="C1192" s="24" t="s">
        <v>24</v>
      </c>
      <c r="D1192" s="24" t="s">
        <v>35</v>
      </c>
      <c r="E1192" s="24" t="s">
        <v>84</v>
      </c>
      <c r="F1192" s="24" t="s">
        <v>42</v>
      </c>
      <c r="G1192" s="31" t="n">
        <v>46237</v>
      </c>
      <c r="H1192" s="31" t="n">
        <v>46253</v>
      </c>
      <c r="I1192" s="24"/>
      <c r="J1192" s="24"/>
      <c r="K1192" s="24" t="n">
        <v>2</v>
      </c>
      <c r="L1192" s="24" t="str">
        <f aca="false">IF(J1192&lt;&gt;"","Enrolled",IF(I1192&lt;&gt;"","Admitted",IF(H1192&lt;&gt;"","Applied",IF(G1192&lt;&gt;"","Contacted","New"))))</f>
        <v>Applied</v>
      </c>
      <c r="M1192" s="32" t="n">
        <f aca="false">IF(G1192="","",G1192-B1192)</f>
        <v>5</v>
      </c>
      <c r="N1192" s="24" t="str">
        <f aca="false">IF(COUNTIF($A$2:A1192,A1192)&gt;1,"Duplicate ID",IF(C1192="","Missing source",IF(OR(AND(G1192&lt;&gt;"",G1192&lt;B1192),AND(H1192&lt;&gt;"",H1192&lt;B1192),AND(I1192&lt;&gt;"",I1192&lt;H1192),AND(J1192&lt;&gt;"",J1192&lt;I1192)),"Date error","OK")))</f>
        <v>OK</v>
      </c>
    </row>
    <row r="1193" customFormat="false" ht="15" hidden="false" customHeight="false" outlineLevel="0" collapsed="false">
      <c r="A1193" s="24" t="s">
        <v>1271</v>
      </c>
      <c r="B1193" s="31" t="n">
        <v>46232</v>
      </c>
      <c r="C1193" s="24" t="s">
        <v>21</v>
      </c>
      <c r="D1193" s="24" t="s">
        <v>36</v>
      </c>
      <c r="E1193" s="24" t="s">
        <v>81</v>
      </c>
      <c r="F1193" s="24" t="s">
        <v>41</v>
      </c>
      <c r="G1193" s="31" t="n">
        <v>46234</v>
      </c>
      <c r="H1193" s="24"/>
      <c r="I1193" s="24"/>
      <c r="J1193" s="24"/>
      <c r="K1193" s="24" t="n">
        <v>6</v>
      </c>
      <c r="L1193" s="24" t="str">
        <f aca="false">IF(J1193&lt;&gt;"","Enrolled",IF(I1193&lt;&gt;"","Admitted",IF(H1193&lt;&gt;"","Applied",IF(G1193&lt;&gt;"","Contacted","New"))))</f>
        <v>Contacted</v>
      </c>
      <c r="M1193" s="32" t="n">
        <f aca="false">IF(G1193="","",G1193-B1193)</f>
        <v>2</v>
      </c>
      <c r="N1193" s="24" t="str">
        <f aca="false">IF(COUNTIF($A$2:A1193,A1193)&gt;1,"Duplicate ID",IF(C1193="","Missing source",IF(OR(AND(G1193&lt;&gt;"",G1193&lt;B1193),AND(H1193&lt;&gt;"",H1193&lt;B1193),AND(I1193&lt;&gt;"",I1193&lt;H1193),AND(J1193&lt;&gt;"",J1193&lt;I1193)),"Date error","OK")))</f>
        <v>OK</v>
      </c>
    </row>
    <row r="1194" customFormat="false" ht="15" hidden="false" customHeight="false" outlineLevel="0" collapsed="false">
      <c r="A1194" s="24" t="s">
        <v>1272</v>
      </c>
      <c r="B1194" s="31" t="n">
        <v>46232</v>
      </c>
      <c r="C1194" s="24" t="s">
        <v>26</v>
      </c>
      <c r="D1194" s="24" t="s">
        <v>32</v>
      </c>
      <c r="E1194" s="24" t="s">
        <v>89</v>
      </c>
      <c r="F1194" s="24" t="s">
        <v>42</v>
      </c>
      <c r="G1194" s="31" t="n">
        <v>46233</v>
      </c>
      <c r="H1194" s="24"/>
      <c r="I1194" s="24"/>
      <c r="J1194" s="24"/>
      <c r="K1194" s="24" t="n">
        <v>0</v>
      </c>
      <c r="L1194" s="24" t="str">
        <f aca="false">IF(J1194&lt;&gt;"","Enrolled",IF(I1194&lt;&gt;"","Admitted",IF(H1194&lt;&gt;"","Applied",IF(G1194&lt;&gt;"","Contacted","New"))))</f>
        <v>Contacted</v>
      </c>
      <c r="M1194" s="32" t="n">
        <f aca="false">IF(G1194="","",G1194-B1194)</f>
        <v>1</v>
      </c>
      <c r="N1194" s="24" t="str">
        <f aca="false">IF(COUNTIF($A$2:A1194,A1194)&gt;1,"Duplicate ID",IF(C1194="","Missing source",IF(OR(AND(G1194&lt;&gt;"",G1194&lt;B1194),AND(H1194&lt;&gt;"",H1194&lt;B1194),AND(I1194&lt;&gt;"",I1194&lt;H1194),AND(J1194&lt;&gt;"",J1194&lt;I1194)),"Date error","OK")))</f>
        <v>OK</v>
      </c>
    </row>
    <row r="1195" customFormat="false" ht="15" hidden="false" customHeight="false" outlineLevel="0" collapsed="false">
      <c r="A1195" s="24" t="s">
        <v>1273</v>
      </c>
      <c r="B1195" s="31" t="n">
        <v>46232</v>
      </c>
      <c r="C1195" s="24" t="s">
        <v>22</v>
      </c>
      <c r="D1195" s="24" t="s">
        <v>36</v>
      </c>
      <c r="E1195" s="24" t="s">
        <v>94</v>
      </c>
      <c r="F1195" s="24" t="s">
        <v>44</v>
      </c>
      <c r="G1195" s="31" t="n">
        <v>46233</v>
      </c>
      <c r="H1195" s="24"/>
      <c r="I1195" s="24"/>
      <c r="J1195" s="24"/>
      <c r="K1195" s="24" t="n">
        <v>4</v>
      </c>
      <c r="L1195" s="24" t="str">
        <f aca="false">IF(J1195&lt;&gt;"","Enrolled",IF(I1195&lt;&gt;"","Admitted",IF(H1195&lt;&gt;"","Applied",IF(G1195&lt;&gt;"","Contacted","New"))))</f>
        <v>Contacted</v>
      </c>
      <c r="M1195" s="32" t="n">
        <f aca="false">IF(G1195="","",G1195-B1195)</f>
        <v>1</v>
      </c>
      <c r="N1195" s="24" t="str">
        <f aca="false">IF(COUNTIF($A$2:A1195,A1195)&gt;1,"Duplicate ID",IF(C1195="","Missing source",IF(OR(AND(G1195&lt;&gt;"",G1195&lt;B1195),AND(H1195&lt;&gt;"",H1195&lt;B1195),AND(I1195&lt;&gt;"",I1195&lt;H1195),AND(J1195&lt;&gt;"",J1195&lt;I1195)),"Date error","OK")))</f>
        <v>OK</v>
      </c>
    </row>
    <row r="1196" customFormat="false" ht="15" hidden="false" customHeight="false" outlineLevel="0" collapsed="false">
      <c r="A1196" s="24" t="s">
        <v>1274</v>
      </c>
      <c r="B1196" s="31" t="n">
        <v>46232</v>
      </c>
      <c r="C1196" s="24" t="s">
        <v>25</v>
      </c>
      <c r="D1196" s="24" t="s">
        <v>34</v>
      </c>
      <c r="E1196" s="24" t="s">
        <v>89</v>
      </c>
      <c r="F1196" s="24" t="s">
        <v>40</v>
      </c>
      <c r="G1196" s="31" t="n">
        <v>46232</v>
      </c>
      <c r="H1196" s="24"/>
      <c r="I1196" s="24"/>
      <c r="J1196" s="24"/>
      <c r="K1196" s="24" t="n">
        <v>2</v>
      </c>
      <c r="L1196" s="24" t="str">
        <f aca="false">IF(J1196&lt;&gt;"","Enrolled",IF(I1196&lt;&gt;"","Admitted",IF(H1196&lt;&gt;"","Applied",IF(G1196&lt;&gt;"","Contacted","New"))))</f>
        <v>Contacted</v>
      </c>
      <c r="M1196" s="32" t="n">
        <f aca="false">IF(G1196="","",G1196-B1196)</f>
        <v>0</v>
      </c>
      <c r="N1196" s="24" t="str">
        <f aca="false">IF(COUNTIF($A$2:A1196,A1196)&gt;1,"Duplicate ID",IF(C1196="","Missing source",IF(OR(AND(G1196&lt;&gt;"",G1196&lt;B1196),AND(H1196&lt;&gt;"",H1196&lt;B1196),AND(I1196&lt;&gt;"",I1196&lt;H1196),AND(J1196&lt;&gt;"",J1196&lt;I1196)),"Date error","OK")))</f>
        <v>OK</v>
      </c>
    </row>
    <row r="1197" customFormat="false" ht="15" hidden="false" customHeight="false" outlineLevel="0" collapsed="false">
      <c r="A1197" s="24" t="s">
        <v>1275</v>
      </c>
      <c r="B1197" s="31" t="n">
        <v>46232</v>
      </c>
      <c r="C1197" s="24" t="s">
        <v>22</v>
      </c>
      <c r="D1197" s="24" t="s">
        <v>32</v>
      </c>
      <c r="E1197" s="24" t="s">
        <v>79</v>
      </c>
      <c r="F1197" s="24" t="s">
        <v>43</v>
      </c>
      <c r="G1197" s="24"/>
      <c r="H1197" s="24"/>
      <c r="I1197" s="24"/>
      <c r="J1197" s="24"/>
      <c r="K1197" s="24" t="n">
        <v>0</v>
      </c>
      <c r="L1197" s="24" t="str">
        <f aca="false">IF(J1197&lt;&gt;"","Enrolled",IF(I1197&lt;&gt;"","Admitted",IF(H1197&lt;&gt;"","Applied",IF(G1197&lt;&gt;"","Contacted","New"))))</f>
        <v>New</v>
      </c>
      <c r="M1197" s="32" t="str">
        <f aca="false">IF(G1197="","",G1197-B1197)</f>
        <v/>
      </c>
      <c r="N1197" s="24" t="str">
        <f aca="false">IF(COUNTIF($A$2:A1197,A1197)&gt;1,"Duplicate ID",IF(C1197="","Missing source",IF(OR(AND(G1197&lt;&gt;"",G1197&lt;B1197),AND(H1197&lt;&gt;"",H1197&lt;B1197),AND(I1197&lt;&gt;"",I1197&lt;H1197),AND(J1197&lt;&gt;"",J1197&lt;I1197)),"Date error","OK")))</f>
        <v>OK</v>
      </c>
    </row>
    <row r="1198" customFormat="false" ht="15" hidden="false" customHeight="false" outlineLevel="0" collapsed="false">
      <c r="A1198" s="24" t="s">
        <v>1276</v>
      </c>
      <c r="B1198" s="31" t="n">
        <v>46232</v>
      </c>
      <c r="C1198" s="24" t="s">
        <v>25</v>
      </c>
      <c r="D1198" s="24" t="s">
        <v>34</v>
      </c>
      <c r="E1198" s="24" t="s">
        <v>94</v>
      </c>
      <c r="F1198" s="24" t="s">
        <v>40</v>
      </c>
      <c r="G1198" s="31" t="n">
        <v>46232</v>
      </c>
      <c r="H1198" s="24"/>
      <c r="I1198" s="24"/>
      <c r="J1198" s="24"/>
      <c r="K1198" s="24" t="n">
        <v>4</v>
      </c>
      <c r="L1198" s="24" t="str">
        <f aca="false">IF(J1198&lt;&gt;"","Enrolled",IF(I1198&lt;&gt;"","Admitted",IF(H1198&lt;&gt;"","Applied",IF(G1198&lt;&gt;"","Contacted","New"))))</f>
        <v>Contacted</v>
      </c>
      <c r="M1198" s="32" t="n">
        <f aca="false">IF(G1198="","",G1198-B1198)</f>
        <v>0</v>
      </c>
      <c r="N1198" s="24" t="str">
        <f aca="false">IF(COUNTIF($A$2:A1198,A1198)&gt;1,"Duplicate ID",IF(C1198="","Missing source",IF(OR(AND(G1198&lt;&gt;"",G1198&lt;B1198),AND(H1198&lt;&gt;"",H1198&lt;B1198),AND(I1198&lt;&gt;"",I1198&lt;H1198),AND(J1198&lt;&gt;"",J1198&lt;I1198)),"Date error","OK")))</f>
        <v>OK</v>
      </c>
    </row>
    <row r="1199" customFormat="false" ht="15" hidden="false" customHeight="false" outlineLevel="0" collapsed="false">
      <c r="A1199" s="24" t="s">
        <v>1277</v>
      </c>
      <c r="B1199" s="31" t="n">
        <v>46232</v>
      </c>
      <c r="C1199" s="24" t="s">
        <v>23</v>
      </c>
      <c r="D1199" s="24" t="s">
        <v>35</v>
      </c>
      <c r="E1199" s="24" t="s">
        <v>79</v>
      </c>
      <c r="F1199" s="24" t="s">
        <v>45</v>
      </c>
      <c r="G1199" s="31" t="n">
        <v>46235</v>
      </c>
      <c r="H1199" s="24"/>
      <c r="I1199" s="24"/>
      <c r="J1199" s="24"/>
      <c r="K1199" s="24" t="n">
        <v>2</v>
      </c>
      <c r="L1199" s="24" t="str">
        <f aca="false">IF(J1199&lt;&gt;"","Enrolled",IF(I1199&lt;&gt;"","Admitted",IF(H1199&lt;&gt;"","Applied",IF(G1199&lt;&gt;"","Contacted","New"))))</f>
        <v>Contacted</v>
      </c>
      <c r="M1199" s="32" t="n">
        <f aca="false">IF(G1199="","",G1199-B1199)</f>
        <v>3</v>
      </c>
      <c r="N1199" s="24" t="str">
        <f aca="false">IF(COUNTIF($A$2:A1199,A1199)&gt;1,"Duplicate ID",IF(C1199="","Missing source",IF(OR(AND(G1199&lt;&gt;"",G1199&lt;B1199),AND(H1199&lt;&gt;"",H1199&lt;B1199),AND(I1199&lt;&gt;"",I1199&lt;H1199),AND(J1199&lt;&gt;"",J1199&lt;I1199)),"Date error","OK")))</f>
        <v>OK</v>
      </c>
    </row>
    <row r="1200" customFormat="false" ht="15" hidden="false" customHeight="false" outlineLevel="0" collapsed="false">
      <c r="A1200" s="24" t="s">
        <v>1278</v>
      </c>
      <c r="B1200" s="31" t="n">
        <v>46232</v>
      </c>
      <c r="C1200" s="24" t="s">
        <v>26</v>
      </c>
      <c r="D1200" s="24" t="s">
        <v>36</v>
      </c>
      <c r="E1200" s="24" t="s">
        <v>84</v>
      </c>
      <c r="F1200" s="24" t="s">
        <v>44</v>
      </c>
      <c r="G1200" s="24"/>
      <c r="H1200" s="24"/>
      <c r="I1200" s="24"/>
      <c r="J1200" s="24"/>
      <c r="K1200" s="24" t="n">
        <v>0</v>
      </c>
      <c r="L1200" s="24" t="str">
        <f aca="false">IF(J1200&lt;&gt;"","Enrolled",IF(I1200&lt;&gt;"","Admitted",IF(H1200&lt;&gt;"","Applied",IF(G1200&lt;&gt;"","Contacted","New"))))</f>
        <v>New</v>
      </c>
      <c r="M1200" s="32" t="str">
        <f aca="false">IF(G1200="","",G1200-B1200)</f>
        <v/>
      </c>
      <c r="N1200" s="24" t="str">
        <f aca="false">IF(COUNTIF($A$2:A1200,A1200)&gt;1,"Duplicate ID",IF(C1200="","Missing source",IF(OR(AND(G1200&lt;&gt;"",G1200&lt;B1200),AND(H1200&lt;&gt;"",H1200&lt;B1200),AND(I1200&lt;&gt;"",I1200&lt;H1200),AND(J1200&lt;&gt;"",J1200&lt;I1200)),"Date error","OK")))</f>
        <v>OK</v>
      </c>
    </row>
    <row r="1201" customFormat="false" ht="15" hidden="false" customHeight="false" outlineLevel="0" collapsed="false">
      <c r="A1201" s="24" t="s">
        <v>1279</v>
      </c>
      <c r="B1201" s="31" t="n">
        <v>46232</v>
      </c>
      <c r="C1201" s="24" t="s">
        <v>23</v>
      </c>
      <c r="D1201" s="24" t="s">
        <v>36</v>
      </c>
      <c r="E1201" s="24" t="s">
        <v>79</v>
      </c>
      <c r="F1201" s="24" t="s">
        <v>43</v>
      </c>
      <c r="G1201" s="31" t="n">
        <v>46235</v>
      </c>
      <c r="H1201" s="24"/>
      <c r="I1201" s="24"/>
      <c r="J1201" s="24"/>
      <c r="K1201" s="24" t="n">
        <v>3</v>
      </c>
      <c r="L1201" s="24" t="str">
        <f aca="false">IF(J1201&lt;&gt;"","Enrolled",IF(I1201&lt;&gt;"","Admitted",IF(H1201&lt;&gt;"","Applied",IF(G1201&lt;&gt;"","Contacted","New"))))</f>
        <v>Contacted</v>
      </c>
      <c r="M1201" s="32" t="n">
        <f aca="false">IF(G1201="","",G1201-B1201)</f>
        <v>3</v>
      </c>
      <c r="N1201" s="24" t="str">
        <f aca="false">IF(COUNTIF($A$2:A1201,A1201)&gt;1,"Duplicate ID",IF(C1201="","Missing source",IF(OR(AND(G1201&lt;&gt;"",G1201&lt;B1201),AND(H1201&lt;&gt;"",H1201&lt;B1201),AND(I1201&lt;&gt;"",I1201&lt;H1201),AND(J1201&lt;&gt;"",J1201&lt;I1201)),"Date error","OK")))</f>
        <v>OK</v>
      </c>
    </row>
    <row r="1202" customFormat="false" ht="15" hidden="false" customHeight="false" outlineLevel="0" collapsed="false">
      <c r="A1202" s="24" t="s">
        <v>1280</v>
      </c>
      <c r="B1202" s="31" t="n">
        <v>46232</v>
      </c>
      <c r="C1202" s="24" t="s">
        <v>25</v>
      </c>
      <c r="D1202" s="24" t="s">
        <v>35</v>
      </c>
      <c r="E1202" s="24" t="s">
        <v>89</v>
      </c>
      <c r="F1202" s="24" t="s">
        <v>41</v>
      </c>
      <c r="G1202" s="31" t="n">
        <v>46233</v>
      </c>
      <c r="H1202" s="24"/>
      <c r="I1202" s="24"/>
      <c r="J1202" s="24"/>
      <c r="K1202" s="24" t="n">
        <v>2</v>
      </c>
      <c r="L1202" s="24" t="str">
        <f aca="false">IF(J1202&lt;&gt;"","Enrolled",IF(I1202&lt;&gt;"","Admitted",IF(H1202&lt;&gt;"","Applied",IF(G1202&lt;&gt;"","Contacted","New"))))</f>
        <v>Contacted</v>
      </c>
      <c r="M1202" s="32" t="n">
        <f aca="false">IF(G1202="","",G1202-B1202)</f>
        <v>1</v>
      </c>
      <c r="N1202" s="24" t="str">
        <f aca="false">IF(COUNTIF($A$2:A1202,A1202)&gt;1,"Duplicate ID",IF(C1202="","Missing source",IF(OR(AND(G1202&lt;&gt;"",G1202&lt;B1202),AND(H1202&lt;&gt;"",H1202&lt;B1202),AND(I1202&lt;&gt;"",I1202&lt;H1202),AND(J1202&lt;&gt;"",J1202&lt;I1202)),"Date error","OK")))</f>
        <v>OK</v>
      </c>
    </row>
    <row r="1203" customFormat="false" ht="15" hidden="false" customHeight="false" outlineLevel="0" collapsed="false">
      <c r="A1203" s="24" t="s">
        <v>1281</v>
      </c>
      <c r="B1203" s="31" t="n">
        <v>46232</v>
      </c>
      <c r="C1203" s="24" t="s">
        <v>26</v>
      </c>
      <c r="D1203" s="24" t="s">
        <v>32</v>
      </c>
      <c r="E1203" s="24" t="s">
        <v>89</v>
      </c>
      <c r="F1203" s="24" t="s">
        <v>43</v>
      </c>
      <c r="G1203" s="31" t="n">
        <v>46233</v>
      </c>
      <c r="H1203" s="24"/>
      <c r="I1203" s="24"/>
      <c r="J1203" s="24"/>
      <c r="K1203" s="24" t="n">
        <v>2</v>
      </c>
      <c r="L1203" s="24" t="str">
        <f aca="false">IF(J1203&lt;&gt;"","Enrolled",IF(I1203&lt;&gt;"","Admitted",IF(H1203&lt;&gt;"","Applied",IF(G1203&lt;&gt;"","Contacted","New"))))</f>
        <v>Contacted</v>
      </c>
      <c r="M1203" s="32" t="n">
        <f aca="false">IF(G1203="","",G1203-B1203)</f>
        <v>1</v>
      </c>
      <c r="N1203" s="24" t="str">
        <f aca="false">IF(COUNTIF($A$2:A1203,A1203)&gt;1,"Duplicate ID",IF(C1203="","Missing source",IF(OR(AND(G1203&lt;&gt;"",G1203&lt;B1203),AND(H1203&lt;&gt;"",H1203&lt;B1203),AND(I1203&lt;&gt;"",I1203&lt;H1203),AND(J1203&lt;&gt;"",J1203&lt;I1203)),"Date error","OK")))</f>
        <v>OK</v>
      </c>
    </row>
    <row r="1204" customFormat="false" ht="15" hidden="false" customHeight="false" outlineLevel="0" collapsed="false">
      <c r="A1204" s="24" t="s">
        <v>1282</v>
      </c>
      <c r="B1204" s="31" t="n">
        <v>46232</v>
      </c>
      <c r="C1204" s="24" t="s">
        <v>21</v>
      </c>
      <c r="D1204" s="24" t="s">
        <v>36</v>
      </c>
      <c r="E1204" s="24" t="s">
        <v>94</v>
      </c>
      <c r="F1204" s="24" t="s">
        <v>42</v>
      </c>
      <c r="G1204" s="31" t="n">
        <v>46232</v>
      </c>
      <c r="H1204" s="24"/>
      <c r="I1204" s="24"/>
      <c r="J1204" s="24"/>
      <c r="K1204" s="24" t="n">
        <v>2</v>
      </c>
      <c r="L1204" s="24" t="str">
        <f aca="false">IF(J1204&lt;&gt;"","Enrolled",IF(I1204&lt;&gt;"","Admitted",IF(H1204&lt;&gt;"","Applied",IF(G1204&lt;&gt;"","Contacted","New"))))</f>
        <v>Contacted</v>
      </c>
      <c r="M1204" s="32" t="n">
        <f aca="false">IF(G1204="","",G1204-B1204)</f>
        <v>0</v>
      </c>
      <c r="N1204" s="24" t="str">
        <f aca="false">IF(COUNTIF($A$2:A1204,A1204)&gt;1,"Duplicate ID",IF(C1204="","Missing source",IF(OR(AND(G1204&lt;&gt;"",G1204&lt;B1204),AND(H1204&lt;&gt;"",H1204&lt;B1204),AND(I1204&lt;&gt;"",I1204&lt;H1204),AND(J1204&lt;&gt;"",J1204&lt;I1204)),"Date error","OK")))</f>
        <v>OK</v>
      </c>
    </row>
    <row r="1205" customFormat="false" ht="15" hidden="false" customHeight="false" outlineLevel="0" collapsed="false">
      <c r="A1205" s="24" t="s">
        <v>1283</v>
      </c>
      <c r="B1205" s="31" t="n">
        <v>46232</v>
      </c>
      <c r="C1205" s="24" t="s">
        <v>23</v>
      </c>
      <c r="D1205" s="24" t="s">
        <v>36</v>
      </c>
      <c r="E1205" s="24" t="s">
        <v>81</v>
      </c>
      <c r="F1205" s="24" t="s">
        <v>42</v>
      </c>
      <c r="G1205" s="31" t="n">
        <v>46232</v>
      </c>
      <c r="H1205" s="24"/>
      <c r="I1205" s="24"/>
      <c r="J1205" s="24"/>
      <c r="K1205" s="24" t="n">
        <v>2</v>
      </c>
      <c r="L1205" s="24" t="str">
        <f aca="false">IF(J1205&lt;&gt;"","Enrolled",IF(I1205&lt;&gt;"","Admitted",IF(H1205&lt;&gt;"","Applied",IF(G1205&lt;&gt;"","Contacted","New"))))</f>
        <v>Contacted</v>
      </c>
      <c r="M1205" s="32" t="n">
        <f aca="false">IF(G1205="","",G1205-B1205)</f>
        <v>0</v>
      </c>
      <c r="N1205" s="24" t="str">
        <f aca="false">IF(COUNTIF($A$2:A1205,A1205)&gt;1,"Duplicate ID",IF(C1205="","Missing source",IF(OR(AND(G1205&lt;&gt;"",G1205&lt;B1205),AND(H1205&lt;&gt;"",H1205&lt;B1205),AND(I1205&lt;&gt;"",I1205&lt;H1205),AND(J1205&lt;&gt;"",J1205&lt;I1205)),"Date error","OK")))</f>
        <v>OK</v>
      </c>
    </row>
    <row r="1206" customFormat="false" ht="15" hidden="false" customHeight="false" outlineLevel="0" collapsed="false">
      <c r="A1206" s="24" t="s">
        <v>1284</v>
      </c>
      <c r="B1206" s="31" t="n">
        <v>46232</v>
      </c>
      <c r="C1206" s="24" t="s">
        <v>21</v>
      </c>
      <c r="D1206" s="24" t="s">
        <v>33</v>
      </c>
      <c r="E1206" s="24" t="s">
        <v>81</v>
      </c>
      <c r="F1206" s="24" t="s">
        <v>41</v>
      </c>
      <c r="G1206" s="31" t="n">
        <v>46232</v>
      </c>
      <c r="H1206" s="24"/>
      <c r="I1206" s="24"/>
      <c r="J1206" s="24"/>
      <c r="K1206" s="24" t="n">
        <v>2</v>
      </c>
      <c r="L1206" s="24" t="str">
        <f aca="false">IF(J1206&lt;&gt;"","Enrolled",IF(I1206&lt;&gt;"","Admitted",IF(H1206&lt;&gt;"","Applied",IF(G1206&lt;&gt;"","Contacted","New"))))</f>
        <v>Contacted</v>
      </c>
      <c r="M1206" s="32" t="n">
        <f aca="false">IF(G1206="","",G1206-B1206)</f>
        <v>0</v>
      </c>
      <c r="N1206" s="24" t="str">
        <f aca="false">IF(COUNTIF($A$2:A1206,A1206)&gt;1,"Duplicate ID",IF(C1206="","Missing source",IF(OR(AND(G1206&lt;&gt;"",G1206&lt;B1206),AND(H1206&lt;&gt;"",H1206&lt;B1206),AND(I1206&lt;&gt;"",I1206&lt;H1206),AND(J1206&lt;&gt;"",J1206&lt;I1206)),"Date error","OK")))</f>
        <v>OK</v>
      </c>
    </row>
    <row r="1207" customFormat="false" ht="15" hidden="false" customHeight="false" outlineLevel="0" collapsed="false">
      <c r="A1207" s="24" t="s">
        <v>1285</v>
      </c>
      <c r="B1207" s="31" t="n">
        <v>46232</v>
      </c>
      <c r="C1207" s="24" t="s">
        <v>23</v>
      </c>
      <c r="D1207" s="24" t="s">
        <v>36</v>
      </c>
      <c r="E1207" s="24" t="s">
        <v>81</v>
      </c>
      <c r="F1207" s="24" t="s">
        <v>44</v>
      </c>
      <c r="G1207" s="31" t="n">
        <v>46233</v>
      </c>
      <c r="H1207" s="31" t="n">
        <v>46258</v>
      </c>
      <c r="I1207" s="24"/>
      <c r="J1207" s="24"/>
      <c r="K1207" s="24" t="n">
        <v>3</v>
      </c>
      <c r="L1207" s="24" t="str">
        <f aca="false">IF(J1207&lt;&gt;"","Enrolled",IF(I1207&lt;&gt;"","Admitted",IF(H1207&lt;&gt;"","Applied",IF(G1207&lt;&gt;"","Contacted","New"))))</f>
        <v>Applied</v>
      </c>
      <c r="M1207" s="32" t="n">
        <f aca="false">IF(G1207="","",G1207-B1207)</f>
        <v>1</v>
      </c>
      <c r="N1207" s="24" t="str">
        <f aca="false">IF(COUNTIF($A$2:A1207,A1207)&gt;1,"Duplicate ID",IF(C1207="","Missing source",IF(OR(AND(G1207&lt;&gt;"",G1207&lt;B1207),AND(H1207&lt;&gt;"",H1207&lt;B1207),AND(I1207&lt;&gt;"",I1207&lt;H1207),AND(J1207&lt;&gt;"",J1207&lt;I1207)),"Date error","OK")))</f>
        <v>OK</v>
      </c>
    </row>
    <row r="1208" customFormat="false" ht="15" hidden="false" customHeight="false" outlineLevel="0" collapsed="false">
      <c r="A1208" s="24" t="s">
        <v>1286</v>
      </c>
      <c r="B1208" s="31" t="n">
        <v>46232</v>
      </c>
      <c r="C1208" s="24" t="s">
        <v>23</v>
      </c>
      <c r="D1208" s="24" t="s">
        <v>34</v>
      </c>
      <c r="E1208" s="24" t="s">
        <v>79</v>
      </c>
      <c r="F1208" s="24" t="s">
        <v>44</v>
      </c>
      <c r="G1208" s="31" t="n">
        <v>46236</v>
      </c>
      <c r="H1208" s="24"/>
      <c r="I1208" s="24"/>
      <c r="J1208" s="24"/>
      <c r="K1208" s="24" t="n">
        <v>1</v>
      </c>
      <c r="L1208" s="24" t="str">
        <f aca="false">IF(J1208&lt;&gt;"","Enrolled",IF(I1208&lt;&gt;"","Admitted",IF(H1208&lt;&gt;"","Applied",IF(G1208&lt;&gt;"","Contacted","New"))))</f>
        <v>Contacted</v>
      </c>
      <c r="M1208" s="32" t="n">
        <f aca="false">IF(G1208="","",G1208-B1208)</f>
        <v>4</v>
      </c>
      <c r="N1208" s="24" t="str">
        <f aca="false">IF(COUNTIF($A$2:A1208,A1208)&gt;1,"Duplicate ID",IF(C1208="","Missing source",IF(OR(AND(G1208&lt;&gt;"",G1208&lt;B1208),AND(H1208&lt;&gt;"",H1208&lt;B1208),AND(I1208&lt;&gt;"",I1208&lt;H1208),AND(J1208&lt;&gt;"",J1208&lt;I1208)),"Date error","OK")))</f>
        <v>OK</v>
      </c>
    </row>
    <row r="1209" customFormat="false" ht="15" hidden="false" customHeight="false" outlineLevel="0" collapsed="false">
      <c r="A1209" s="24" t="s">
        <v>1287</v>
      </c>
      <c r="B1209" s="31" t="n">
        <v>46232</v>
      </c>
      <c r="C1209" s="24" t="s">
        <v>22</v>
      </c>
      <c r="D1209" s="24" t="s">
        <v>36</v>
      </c>
      <c r="E1209" s="24" t="s">
        <v>94</v>
      </c>
      <c r="F1209" s="24" t="s">
        <v>41</v>
      </c>
      <c r="G1209" s="31" t="n">
        <v>46232</v>
      </c>
      <c r="H1209" s="24"/>
      <c r="I1209" s="24"/>
      <c r="J1209" s="24"/>
      <c r="K1209" s="24" t="n">
        <v>5</v>
      </c>
      <c r="L1209" s="24" t="str">
        <f aca="false">IF(J1209&lt;&gt;"","Enrolled",IF(I1209&lt;&gt;"","Admitted",IF(H1209&lt;&gt;"","Applied",IF(G1209&lt;&gt;"","Contacted","New"))))</f>
        <v>Contacted</v>
      </c>
      <c r="M1209" s="32" t="n">
        <f aca="false">IF(G1209="","",G1209-B1209)</f>
        <v>0</v>
      </c>
      <c r="N1209" s="24" t="str">
        <f aca="false">IF(COUNTIF($A$2:A1209,A1209)&gt;1,"Duplicate ID",IF(C1209="","Missing source",IF(OR(AND(G1209&lt;&gt;"",G1209&lt;B1209),AND(H1209&lt;&gt;"",H1209&lt;B1209),AND(I1209&lt;&gt;"",I1209&lt;H1209),AND(J1209&lt;&gt;"",J1209&lt;I1209)),"Date error","OK")))</f>
        <v>OK</v>
      </c>
    </row>
    <row r="1210" customFormat="false" ht="15" hidden="false" customHeight="false" outlineLevel="0" collapsed="false">
      <c r="A1210" s="24" t="s">
        <v>1288</v>
      </c>
      <c r="B1210" s="31" t="n">
        <v>46232</v>
      </c>
      <c r="C1210" s="24" t="s">
        <v>24</v>
      </c>
      <c r="D1210" s="24" t="s">
        <v>32</v>
      </c>
      <c r="E1210" s="24" t="s">
        <v>79</v>
      </c>
      <c r="F1210" s="24" t="s">
        <v>43</v>
      </c>
      <c r="G1210" s="31" t="n">
        <v>46239</v>
      </c>
      <c r="H1210" s="24"/>
      <c r="I1210" s="24"/>
      <c r="J1210" s="24"/>
      <c r="K1210" s="24" t="n">
        <v>4</v>
      </c>
      <c r="L1210" s="24" t="str">
        <f aca="false">IF(J1210&lt;&gt;"","Enrolled",IF(I1210&lt;&gt;"","Admitted",IF(H1210&lt;&gt;"","Applied",IF(G1210&lt;&gt;"","Contacted","New"))))</f>
        <v>Contacted</v>
      </c>
      <c r="M1210" s="32" t="n">
        <f aca="false">IF(G1210="","",G1210-B1210)</f>
        <v>7</v>
      </c>
      <c r="N1210" s="24" t="str">
        <f aca="false">IF(COUNTIF($A$2:A1210,A1210)&gt;1,"Duplicate ID",IF(C1210="","Missing source",IF(OR(AND(G1210&lt;&gt;"",G1210&lt;B1210),AND(H1210&lt;&gt;"",H1210&lt;B1210),AND(I1210&lt;&gt;"",I1210&lt;H1210),AND(J1210&lt;&gt;"",J1210&lt;I1210)),"Date error","OK")))</f>
        <v>OK</v>
      </c>
    </row>
    <row r="1211" customFormat="false" ht="15" hidden="false" customHeight="false" outlineLevel="0" collapsed="false">
      <c r="A1211" s="24" t="s">
        <v>1289</v>
      </c>
      <c r="B1211" s="31" t="n">
        <v>46232</v>
      </c>
      <c r="C1211" s="24" t="s">
        <v>27</v>
      </c>
      <c r="D1211" s="24" t="s">
        <v>33</v>
      </c>
      <c r="E1211" s="24" t="s">
        <v>89</v>
      </c>
      <c r="F1211" s="24" t="s">
        <v>44</v>
      </c>
      <c r="G1211" s="31" t="n">
        <v>46236</v>
      </c>
      <c r="H1211" s="24"/>
      <c r="I1211" s="24"/>
      <c r="J1211" s="24"/>
      <c r="K1211" s="24" t="n">
        <v>2</v>
      </c>
      <c r="L1211" s="24" t="str">
        <f aca="false">IF(J1211&lt;&gt;"","Enrolled",IF(I1211&lt;&gt;"","Admitted",IF(H1211&lt;&gt;"","Applied",IF(G1211&lt;&gt;"","Contacted","New"))))</f>
        <v>Contacted</v>
      </c>
      <c r="M1211" s="32" t="n">
        <f aca="false">IF(G1211="","",G1211-B1211)</f>
        <v>4</v>
      </c>
      <c r="N1211" s="24" t="str">
        <f aca="false">IF(COUNTIF($A$2:A1211,A1211)&gt;1,"Duplicate ID",IF(C1211="","Missing source",IF(OR(AND(G1211&lt;&gt;"",G1211&lt;B1211),AND(H1211&lt;&gt;"",H1211&lt;B1211),AND(I1211&lt;&gt;"",I1211&lt;H1211),AND(J1211&lt;&gt;"",J1211&lt;I1211)),"Date error","OK")))</f>
        <v>OK</v>
      </c>
    </row>
    <row r="1212" customFormat="false" ht="15" hidden="false" customHeight="false" outlineLevel="0" collapsed="false">
      <c r="A1212" s="24" t="s">
        <v>1290</v>
      </c>
      <c r="B1212" s="31" t="n">
        <v>46232</v>
      </c>
      <c r="C1212" s="24" t="s">
        <v>27</v>
      </c>
      <c r="D1212" s="24" t="s">
        <v>32</v>
      </c>
      <c r="E1212" s="24" t="s">
        <v>94</v>
      </c>
      <c r="F1212" s="24" t="s">
        <v>41</v>
      </c>
      <c r="G1212" s="31" t="n">
        <v>46232</v>
      </c>
      <c r="H1212" s="24"/>
      <c r="I1212" s="24"/>
      <c r="J1212" s="24"/>
      <c r="K1212" s="24" t="n">
        <v>3</v>
      </c>
      <c r="L1212" s="24" t="str">
        <f aca="false">IF(J1212&lt;&gt;"","Enrolled",IF(I1212&lt;&gt;"","Admitted",IF(H1212&lt;&gt;"","Applied",IF(G1212&lt;&gt;"","Contacted","New"))))</f>
        <v>Contacted</v>
      </c>
      <c r="M1212" s="32" t="n">
        <f aca="false">IF(G1212="","",G1212-B1212)</f>
        <v>0</v>
      </c>
      <c r="N1212" s="24" t="str">
        <f aca="false">IF(COUNTIF($A$2:A1212,A1212)&gt;1,"Duplicate ID",IF(C1212="","Missing source",IF(OR(AND(G1212&lt;&gt;"",G1212&lt;B1212),AND(H1212&lt;&gt;"",H1212&lt;B1212),AND(I1212&lt;&gt;"",I1212&lt;H1212),AND(J1212&lt;&gt;"",J1212&lt;I1212)),"Date error","OK")))</f>
        <v>OK</v>
      </c>
    </row>
    <row r="1213" customFormat="false" ht="15" hidden="false" customHeight="false" outlineLevel="0" collapsed="false">
      <c r="A1213" s="24" t="s">
        <v>1291</v>
      </c>
      <c r="B1213" s="31" t="n">
        <v>46233</v>
      </c>
      <c r="C1213" s="24" t="s">
        <v>23</v>
      </c>
      <c r="D1213" s="24" t="s">
        <v>32</v>
      </c>
      <c r="E1213" s="24" t="s">
        <v>89</v>
      </c>
      <c r="F1213" s="24" t="s">
        <v>40</v>
      </c>
      <c r="G1213" s="31" t="n">
        <v>46234</v>
      </c>
      <c r="H1213" s="24"/>
      <c r="I1213" s="24"/>
      <c r="J1213" s="24"/>
      <c r="K1213" s="24" t="n">
        <v>1</v>
      </c>
      <c r="L1213" s="24" t="str">
        <f aca="false">IF(J1213&lt;&gt;"","Enrolled",IF(I1213&lt;&gt;"","Admitted",IF(H1213&lt;&gt;"","Applied",IF(G1213&lt;&gt;"","Contacted","New"))))</f>
        <v>Contacted</v>
      </c>
      <c r="M1213" s="32" t="n">
        <f aca="false">IF(G1213="","",G1213-B1213)</f>
        <v>1</v>
      </c>
      <c r="N1213" s="24" t="str">
        <f aca="false">IF(COUNTIF($A$2:A1213,A1213)&gt;1,"Duplicate ID",IF(C1213="","Missing source",IF(OR(AND(G1213&lt;&gt;"",G1213&lt;B1213),AND(H1213&lt;&gt;"",H1213&lt;B1213),AND(I1213&lt;&gt;"",I1213&lt;H1213),AND(J1213&lt;&gt;"",J1213&lt;I1213)),"Date error","OK")))</f>
        <v>OK</v>
      </c>
    </row>
    <row r="1214" customFormat="false" ht="15" hidden="false" customHeight="false" outlineLevel="0" collapsed="false">
      <c r="A1214" s="24" t="s">
        <v>1292</v>
      </c>
      <c r="B1214" s="31" t="n">
        <v>46233</v>
      </c>
      <c r="C1214" s="24" t="s">
        <v>24</v>
      </c>
      <c r="D1214" s="24" t="s">
        <v>36</v>
      </c>
      <c r="E1214" s="24" t="s">
        <v>89</v>
      </c>
      <c r="F1214" s="24" t="s">
        <v>44</v>
      </c>
      <c r="G1214" s="31" t="n">
        <v>46235</v>
      </c>
      <c r="H1214" s="31" t="n">
        <v>46240</v>
      </c>
      <c r="I1214" s="31" t="n">
        <v>46246</v>
      </c>
      <c r="J1214" s="24"/>
      <c r="K1214" s="24" t="n">
        <v>3</v>
      </c>
      <c r="L1214" s="24" t="str">
        <f aca="false">IF(J1214&lt;&gt;"","Enrolled",IF(I1214&lt;&gt;"","Admitted",IF(H1214&lt;&gt;"","Applied",IF(G1214&lt;&gt;"","Contacted","New"))))</f>
        <v>Admitted</v>
      </c>
      <c r="M1214" s="32" t="n">
        <f aca="false">IF(G1214="","",G1214-B1214)</f>
        <v>2</v>
      </c>
      <c r="N1214" s="24" t="str">
        <f aca="false">IF(COUNTIF($A$2:A1214,A1214)&gt;1,"Duplicate ID",IF(C1214="","Missing source",IF(OR(AND(G1214&lt;&gt;"",G1214&lt;B1214),AND(H1214&lt;&gt;"",H1214&lt;B1214),AND(I1214&lt;&gt;"",I1214&lt;H1214),AND(J1214&lt;&gt;"",J1214&lt;I1214)),"Date error","OK")))</f>
        <v>OK</v>
      </c>
    </row>
    <row r="1215" customFormat="false" ht="15" hidden="false" customHeight="false" outlineLevel="0" collapsed="false">
      <c r="A1215" s="24" t="s">
        <v>1293</v>
      </c>
      <c r="B1215" s="31" t="n">
        <v>46233</v>
      </c>
      <c r="C1215" s="24" t="s">
        <v>23</v>
      </c>
      <c r="D1215" s="24" t="s">
        <v>32</v>
      </c>
      <c r="E1215" s="24" t="s">
        <v>94</v>
      </c>
      <c r="F1215" s="24" t="s">
        <v>44</v>
      </c>
      <c r="G1215" s="31" t="n">
        <v>46235</v>
      </c>
      <c r="H1215" s="31" t="n">
        <v>46245</v>
      </c>
      <c r="I1215" s="31" t="n">
        <v>46257</v>
      </c>
      <c r="J1215" s="24"/>
      <c r="K1215" s="24" t="n">
        <v>2</v>
      </c>
      <c r="L1215" s="24" t="str">
        <f aca="false">IF(J1215&lt;&gt;"","Enrolled",IF(I1215&lt;&gt;"","Admitted",IF(H1215&lt;&gt;"","Applied",IF(G1215&lt;&gt;"","Contacted","New"))))</f>
        <v>Admitted</v>
      </c>
      <c r="M1215" s="32" t="n">
        <f aca="false">IF(G1215="","",G1215-B1215)</f>
        <v>2</v>
      </c>
      <c r="N1215" s="24" t="str">
        <f aca="false">IF(COUNTIF($A$2:A1215,A1215)&gt;1,"Duplicate ID",IF(C1215="","Missing source",IF(OR(AND(G1215&lt;&gt;"",G1215&lt;B1215),AND(H1215&lt;&gt;"",H1215&lt;B1215),AND(I1215&lt;&gt;"",I1215&lt;H1215),AND(J1215&lt;&gt;"",J1215&lt;I1215)),"Date error","OK")))</f>
        <v>OK</v>
      </c>
    </row>
    <row r="1216" customFormat="false" ht="15" hidden="false" customHeight="false" outlineLevel="0" collapsed="false">
      <c r="A1216" s="24" t="s">
        <v>1294</v>
      </c>
      <c r="B1216" s="31" t="n">
        <v>46233</v>
      </c>
      <c r="C1216" s="24" t="s">
        <v>27</v>
      </c>
      <c r="D1216" s="24" t="s">
        <v>32</v>
      </c>
      <c r="E1216" s="24" t="s">
        <v>79</v>
      </c>
      <c r="F1216" s="24" t="s">
        <v>42</v>
      </c>
      <c r="G1216" s="31" t="n">
        <v>46236</v>
      </c>
      <c r="H1216" s="24"/>
      <c r="I1216" s="24"/>
      <c r="J1216" s="24"/>
      <c r="K1216" s="24" t="n">
        <v>2</v>
      </c>
      <c r="L1216" s="24" t="str">
        <f aca="false">IF(J1216&lt;&gt;"","Enrolled",IF(I1216&lt;&gt;"","Admitted",IF(H1216&lt;&gt;"","Applied",IF(G1216&lt;&gt;"","Contacted","New"))))</f>
        <v>Contacted</v>
      </c>
      <c r="M1216" s="32" t="n">
        <f aca="false">IF(G1216="","",G1216-B1216)</f>
        <v>3</v>
      </c>
      <c r="N1216" s="24" t="str">
        <f aca="false">IF(COUNTIF($A$2:A1216,A1216)&gt;1,"Duplicate ID",IF(C1216="","Missing source",IF(OR(AND(G1216&lt;&gt;"",G1216&lt;B1216),AND(H1216&lt;&gt;"",H1216&lt;B1216),AND(I1216&lt;&gt;"",I1216&lt;H1216),AND(J1216&lt;&gt;"",J1216&lt;I1216)),"Date error","OK")))</f>
        <v>OK</v>
      </c>
    </row>
    <row r="1217" customFormat="false" ht="15" hidden="false" customHeight="false" outlineLevel="0" collapsed="false">
      <c r="A1217" s="24" t="s">
        <v>1295</v>
      </c>
      <c r="B1217" s="31" t="n">
        <v>46233</v>
      </c>
      <c r="C1217" s="24" t="s">
        <v>25</v>
      </c>
      <c r="D1217" s="24" t="s">
        <v>32</v>
      </c>
      <c r="E1217" s="24" t="s">
        <v>84</v>
      </c>
      <c r="F1217" s="24" t="s">
        <v>41</v>
      </c>
      <c r="G1217" s="24"/>
      <c r="H1217" s="24"/>
      <c r="I1217" s="24"/>
      <c r="J1217" s="24"/>
      <c r="K1217" s="24" t="n">
        <v>0</v>
      </c>
      <c r="L1217" s="24" t="str">
        <f aca="false">IF(J1217&lt;&gt;"","Enrolled",IF(I1217&lt;&gt;"","Admitted",IF(H1217&lt;&gt;"","Applied",IF(G1217&lt;&gt;"","Contacted","New"))))</f>
        <v>New</v>
      </c>
      <c r="M1217" s="32" t="str">
        <f aca="false">IF(G1217="","",G1217-B1217)</f>
        <v/>
      </c>
      <c r="N1217" s="24" t="str">
        <f aca="false">IF(COUNTIF($A$2:A1217,A1217)&gt;1,"Duplicate ID",IF(C1217="","Missing source",IF(OR(AND(G1217&lt;&gt;"",G1217&lt;B1217),AND(H1217&lt;&gt;"",H1217&lt;B1217),AND(I1217&lt;&gt;"",I1217&lt;H1217),AND(J1217&lt;&gt;"",J1217&lt;I1217)),"Date error","OK")))</f>
        <v>OK</v>
      </c>
    </row>
    <row r="1218" customFormat="false" ht="15" hidden="false" customHeight="false" outlineLevel="0" collapsed="false">
      <c r="A1218" s="24" t="s">
        <v>1296</v>
      </c>
      <c r="B1218" s="31" t="n">
        <v>46233</v>
      </c>
      <c r="C1218" s="24" t="s">
        <v>21</v>
      </c>
      <c r="D1218" s="24" t="s">
        <v>36</v>
      </c>
      <c r="E1218" s="24" t="s">
        <v>89</v>
      </c>
      <c r="F1218" s="24" t="s">
        <v>42</v>
      </c>
      <c r="G1218" s="31" t="n">
        <v>46235</v>
      </c>
      <c r="H1218" s="31" t="n">
        <v>46243</v>
      </c>
      <c r="I1218" s="31" t="n">
        <v>46258</v>
      </c>
      <c r="J1218" s="24"/>
      <c r="K1218" s="24" t="n">
        <v>1</v>
      </c>
      <c r="L1218" s="24" t="str">
        <f aca="false">IF(J1218&lt;&gt;"","Enrolled",IF(I1218&lt;&gt;"","Admitted",IF(H1218&lt;&gt;"","Applied",IF(G1218&lt;&gt;"","Contacted","New"))))</f>
        <v>Admitted</v>
      </c>
      <c r="M1218" s="32" t="n">
        <f aca="false">IF(G1218="","",G1218-B1218)</f>
        <v>2</v>
      </c>
      <c r="N1218" s="24" t="str">
        <f aca="false">IF(COUNTIF($A$2:A1218,A1218)&gt;1,"Duplicate ID",IF(C1218="","Missing source",IF(OR(AND(G1218&lt;&gt;"",G1218&lt;B1218),AND(H1218&lt;&gt;"",H1218&lt;B1218),AND(I1218&lt;&gt;"",I1218&lt;H1218),AND(J1218&lt;&gt;"",J1218&lt;I1218)),"Date error","OK")))</f>
        <v>OK</v>
      </c>
    </row>
    <row r="1219" customFormat="false" ht="15" hidden="false" customHeight="false" outlineLevel="0" collapsed="false">
      <c r="A1219" s="24" t="s">
        <v>1297</v>
      </c>
      <c r="B1219" s="31" t="n">
        <v>46233</v>
      </c>
      <c r="C1219" s="24" t="s">
        <v>27</v>
      </c>
      <c r="D1219" s="24" t="s">
        <v>32</v>
      </c>
      <c r="E1219" s="24" t="s">
        <v>89</v>
      </c>
      <c r="F1219" s="24" t="s">
        <v>43</v>
      </c>
      <c r="G1219" s="31" t="n">
        <v>46235</v>
      </c>
      <c r="H1219" s="24"/>
      <c r="I1219" s="24"/>
      <c r="J1219" s="24"/>
      <c r="K1219" s="24" t="n">
        <v>2</v>
      </c>
      <c r="L1219" s="24" t="str">
        <f aca="false">IF(J1219&lt;&gt;"","Enrolled",IF(I1219&lt;&gt;"","Admitted",IF(H1219&lt;&gt;"","Applied",IF(G1219&lt;&gt;"","Contacted","New"))))</f>
        <v>Contacted</v>
      </c>
      <c r="M1219" s="32" t="n">
        <f aca="false">IF(G1219="","",G1219-B1219)</f>
        <v>2</v>
      </c>
      <c r="N1219" s="24" t="str">
        <f aca="false">IF(COUNTIF($A$2:A1219,A1219)&gt;1,"Duplicate ID",IF(C1219="","Missing source",IF(OR(AND(G1219&lt;&gt;"",G1219&lt;B1219),AND(H1219&lt;&gt;"",H1219&lt;B1219),AND(I1219&lt;&gt;"",I1219&lt;H1219),AND(J1219&lt;&gt;"",J1219&lt;I1219)),"Date error","OK")))</f>
        <v>OK</v>
      </c>
    </row>
    <row r="1220" customFormat="false" ht="15" hidden="false" customHeight="false" outlineLevel="0" collapsed="false">
      <c r="A1220" s="24" t="s">
        <v>1298</v>
      </c>
      <c r="B1220" s="31" t="n">
        <v>46233</v>
      </c>
      <c r="C1220" s="24" t="s">
        <v>26</v>
      </c>
      <c r="D1220" s="24" t="s">
        <v>32</v>
      </c>
      <c r="E1220" s="24" t="s">
        <v>89</v>
      </c>
      <c r="F1220" s="24" t="s">
        <v>43</v>
      </c>
      <c r="G1220" s="31" t="n">
        <v>46234</v>
      </c>
      <c r="H1220" s="24"/>
      <c r="I1220" s="24"/>
      <c r="J1220" s="24"/>
      <c r="K1220" s="24" t="n">
        <v>2</v>
      </c>
      <c r="L1220" s="24" t="str">
        <f aca="false">IF(J1220&lt;&gt;"","Enrolled",IF(I1220&lt;&gt;"","Admitted",IF(H1220&lt;&gt;"","Applied",IF(G1220&lt;&gt;"","Contacted","New"))))</f>
        <v>Contacted</v>
      </c>
      <c r="M1220" s="32" t="n">
        <f aca="false">IF(G1220="","",G1220-B1220)</f>
        <v>1</v>
      </c>
      <c r="N1220" s="24" t="str">
        <f aca="false">IF(COUNTIF($A$2:A1220,A1220)&gt;1,"Duplicate ID",IF(C1220="","Missing source",IF(OR(AND(G1220&lt;&gt;"",G1220&lt;B1220),AND(H1220&lt;&gt;"",H1220&lt;B1220),AND(I1220&lt;&gt;"",I1220&lt;H1220),AND(J1220&lt;&gt;"",J1220&lt;I1220)),"Date error","OK")))</f>
        <v>OK</v>
      </c>
    </row>
    <row r="1221" customFormat="false" ht="15" hidden="false" customHeight="false" outlineLevel="0" collapsed="false">
      <c r="A1221" s="24" t="s">
        <v>1299</v>
      </c>
      <c r="B1221" s="31" t="n">
        <v>46234</v>
      </c>
      <c r="C1221" s="24" t="s">
        <v>23</v>
      </c>
      <c r="D1221" s="24" t="s">
        <v>34</v>
      </c>
      <c r="E1221" s="24" t="s">
        <v>81</v>
      </c>
      <c r="F1221" s="24" t="s">
        <v>42</v>
      </c>
      <c r="G1221" s="24"/>
      <c r="H1221" s="24"/>
      <c r="I1221" s="24"/>
      <c r="J1221" s="24"/>
      <c r="K1221" s="24" t="n">
        <v>0</v>
      </c>
      <c r="L1221" s="24" t="str">
        <f aca="false">IF(J1221&lt;&gt;"","Enrolled",IF(I1221&lt;&gt;"","Admitted",IF(H1221&lt;&gt;"","Applied",IF(G1221&lt;&gt;"","Contacted","New"))))</f>
        <v>New</v>
      </c>
      <c r="M1221" s="32" t="str">
        <f aca="false">IF(G1221="","",G1221-B1221)</f>
        <v/>
      </c>
      <c r="N1221" s="24" t="str">
        <f aca="false">IF(COUNTIF($A$2:A1221,A1221)&gt;1,"Duplicate ID",IF(C1221="","Missing source",IF(OR(AND(G1221&lt;&gt;"",G1221&lt;B1221),AND(H1221&lt;&gt;"",H1221&lt;B1221),AND(I1221&lt;&gt;"",I1221&lt;H1221),AND(J1221&lt;&gt;"",J1221&lt;I1221)),"Date error","OK")))</f>
        <v>OK</v>
      </c>
    </row>
    <row r="1222" customFormat="false" ht="15" hidden="false" customHeight="false" outlineLevel="0" collapsed="false">
      <c r="A1222" s="24" t="s">
        <v>1300</v>
      </c>
      <c r="B1222" s="31" t="n">
        <v>46234</v>
      </c>
      <c r="C1222" s="24" t="s">
        <v>26</v>
      </c>
      <c r="D1222" s="24" t="s">
        <v>33</v>
      </c>
      <c r="E1222" s="24" t="s">
        <v>89</v>
      </c>
      <c r="F1222" s="24" t="s">
        <v>43</v>
      </c>
      <c r="G1222" s="31" t="n">
        <v>46235</v>
      </c>
      <c r="H1222" s="24"/>
      <c r="I1222" s="24"/>
      <c r="J1222" s="24"/>
      <c r="K1222" s="24" t="n">
        <v>3</v>
      </c>
      <c r="L1222" s="24" t="str">
        <f aca="false">IF(J1222&lt;&gt;"","Enrolled",IF(I1222&lt;&gt;"","Admitted",IF(H1222&lt;&gt;"","Applied",IF(G1222&lt;&gt;"","Contacted","New"))))</f>
        <v>Contacted</v>
      </c>
      <c r="M1222" s="32" t="n">
        <f aca="false">IF(G1222="","",G1222-B1222)</f>
        <v>1</v>
      </c>
      <c r="N1222" s="24" t="str">
        <f aca="false">IF(COUNTIF($A$2:A1222,A1222)&gt;1,"Duplicate ID",IF(C1222="","Missing source",IF(OR(AND(G1222&lt;&gt;"",G1222&lt;B1222),AND(H1222&lt;&gt;"",H1222&lt;B1222),AND(I1222&lt;&gt;"",I1222&lt;H1222),AND(J1222&lt;&gt;"",J1222&lt;I1222)),"Date error","OK")))</f>
        <v>OK</v>
      </c>
    </row>
    <row r="1223" customFormat="false" ht="15" hidden="false" customHeight="false" outlineLevel="0" collapsed="false">
      <c r="A1223" s="24" t="s">
        <v>1301</v>
      </c>
      <c r="B1223" s="31" t="n">
        <v>46234</v>
      </c>
      <c r="C1223" s="24" t="s">
        <v>22</v>
      </c>
      <c r="D1223" s="24" t="s">
        <v>32</v>
      </c>
      <c r="E1223" s="24" t="s">
        <v>94</v>
      </c>
      <c r="F1223" s="24" t="s">
        <v>43</v>
      </c>
      <c r="G1223" s="31" t="n">
        <v>46234</v>
      </c>
      <c r="H1223" s="31" t="n">
        <v>46256</v>
      </c>
      <c r="I1223" s="24"/>
      <c r="J1223" s="24"/>
      <c r="K1223" s="24" t="n">
        <v>4</v>
      </c>
      <c r="L1223" s="24" t="str">
        <f aca="false">IF(J1223&lt;&gt;"","Enrolled",IF(I1223&lt;&gt;"","Admitted",IF(H1223&lt;&gt;"","Applied",IF(G1223&lt;&gt;"","Contacted","New"))))</f>
        <v>Applied</v>
      </c>
      <c r="M1223" s="32" t="n">
        <f aca="false">IF(G1223="","",G1223-B1223)</f>
        <v>0</v>
      </c>
      <c r="N1223" s="24" t="str">
        <f aca="false">IF(COUNTIF($A$2:A1223,A1223)&gt;1,"Duplicate ID",IF(C1223="","Missing source",IF(OR(AND(G1223&lt;&gt;"",G1223&lt;B1223),AND(H1223&lt;&gt;"",H1223&lt;B1223),AND(I1223&lt;&gt;"",I1223&lt;H1223),AND(J1223&lt;&gt;"",J1223&lt;I1223)),"Date error","OK")))</f>
        <v>OK</v>
      </c>
    </row>
    <row r="1224" customFormat="false" ht="15" hidden="false" customHeight="false" outlineLevel="0" collapsed="false">
      <c r="A1224" s="24" t="s">
        <v>1302</v>
      </c>
      <c r="B1224" s="31" t="n">
        <v>46234</v>
      </c>
      <c r="C1224" s="24" t="s">
        <v>27</v>
      </c>
      <c r="D1224" s="24" t="s">
        <v>35</v>
      </c>
      <c r="E1224" s="24" t="s">
        <v>89</v>
      </c>
      <c r="F1224" s="24" t="s">
        <v>43</v>
      </c>
      <c r="G1224" s="31" t="n">
        <v>46235</v>
      </c>
      <c r="H1224" s="24"/>
      <c r="I1224" s="24"/>
      <c r="J1224" s="24"/>
      <c r="K1224" s="24" t="n">
        <v>5</v>
      </c>
      <c r="L1224" s="24" t="str">
        <f aca="false">IF(J1224&lt;&gt;"","Enrolled",IF(I1224&lt;&gt;"","Admitted",IF(H1224&lt;&gt;"","Applied",IF(G1224&lt;&gt;"","Contacted","New"))))</f>
        <v>Contacted</v>
      </c>
      <c r="M1224" s="32" t="n">
        <f aca="false">IF(G1224="","",G1224-B1224)</f>
        <v>1</v>
      </c>
      <c r="N1224" s="24" t="str">
        <f aca="false">IF(COUNTIF($A$2:A1224,A1224)&gt;1,"Duplicate ID",IF(C1224="","Missing source",IF(OR(AND(G1224&lt;&gt;"",G1224&lt;B1224),AND(H1224&lt;&gt;"",H1224&lt;B1224),AND(I1224&lt;&gt;"",I1224&lt;H1224),AND(J1224&lt;&gt;"",J1224&lt;I1224)),"Date error","OK")))</f>
        <v>OK</v>
      </c>
    </row>
    <row r="1225" customFormat="false" ht="15" hidden="false" customHeight="false" outlineLevel="0" collapsed="false">
      <c r="A1225" s="24" t="s">
        <v>1303</v>
      </c>
      <c r="B1225" s="31" t="n">
        <v>46234</v>
      </c>
      <c r="C1225" s="24" t="s">
        <v>26</v>
      </c>
      <c r="D1225" s="24" t="s">
        <v>36</v>
      </c>
      <c r="E1225" s="24" t="s">
        <v>94</v>
      </c>
      <c r="F1225" s="24" t="s">
        <v>42</v>
      </c>
      <c r="G1225" s="31" t="n">
        <v>46235</v>
      </c>
      <c r="H1225" s="24"/>
      <c r="I1225" s="24"/>
      <c r="J1225" s="24"/>
      <c r="K1225" s="24" t="n">
        <v>3</v>
      </c>
      <c r="L1225" s="24" t="str">
        <f aca="false">IF(J1225&lt;&gt;"","Enrolled",IF(I1225&lt;&gt;"","Admitted",IF(H1225&lt;&gt;"","Applied",IF(G1225&lt;&gt;"","Contacted","New"))))</f>
        <v>Contacted</v>
      </c>
      <c r="M1225" s="32" t="n">
        <f aca="false">IF(G1225="","",G1225-B1225)</f>
        <v>1</v>
      </c>
      <c r="N1225" s="24" t="str">
        <f aca="false">IF(COUNTIF($A$2:A1225,A1225)&gt;1,"Duplicate ID",IF(C1225="","Missing source",IF(OR(AND(G1225&lt;&gt;"",G1225&lt;B1225),AND(H1225&lt;&gt;"",H1225&lt;B1225),AND(I1225&lt;&gt;"",I1225&lt;H1225),AND(J1225&lt;&gt;"",J1225&lt;I1225)),"Date error","OK")))</f>
        <v>OK</v>
      </c>
    </row>
    <row r="1226" customFormat="false" ht="15" hidden="false" customHeight="false" outlineLevel="0" collapsed="false">
      <c r="A1226" s="24" t="s">
        <v>1304</v>
      </c>
      <c r="B1226" s="31" t="n">
        <v>46234</v>
      </c>
      <c r="C1226" s="24" t="s">
        <v>27</v>
      </c>
      <c r="D1226" s="24" t="s">
        <v>32</v>
      </c>
      <c r="E1226" s="24" t="s">
        <v>89</v>
      </c>
      <c r="F1226" s="24" t="s">
        <v>40</v>
      </c>
      <c r="G1226" s="31" t="n">
        <v>46235</v>
      </c>
      <c r="H1226" s="24"/>
      <c r="I1226" s="24"/>
      <c r="J1226" s="24"/>
      <c r="K1226" s="24" t="n">
        <v>4</v>
      </c>
      <c r="L1226" s="24" t="str">
        <f aca="false">IF(J1226&lt;&gt;"","Enrolled",IF(I1226&lt;&gt;"","Admitted",IF(H1226&lt;&gt;"","Applied",IF(G1226&lt;&gt;"","Contacted","New"))))</f>
        <v>Contacted</v>
      </c>
      <c r="M1226" s="32" t="n">
        <f aca="false">IF(G1226="","",G1226-B1226)</f>
        <v>1</v>
      </c>
      <c r="N1226" s="24" t="str">
        <f aca="false">IF(COUNTIF($A$2:A1226,A1226)&gt;1,"Duplicate ID",IF(C1226="","Missing source",IF(OR(AND(G1226&lt;&gt;"",G1226&lt;B1226),AND(H1226&lt;&gt;"",H1226&lt;B1226),AND(I1226&lt;&gt;"",I1226&lt;H1226),AND(J1226&lt;&gt;"",J1226&lt;I1226)),"Date error","OK")))</f>
        <v>OK</v>
      </c>
    </row>
    <row r="1227" customFormat="false" ht="15" hidden="false" customHeight="false" outlineLevel="0" collapsed="false">
      <c r="A1227" s="24" t="s">
        <v>1305</v>
      </c>
      <c r="B1227" s="31" t="n">
        <v>46234</v>
      </c>
      <c r="C1227" s="24" t="s">
        <v>24</v>
      </c>
      <c r="D1227" s="24" t="s">
        <v>36</v>
      </c>
      <c r="E1227" s="24" t="s">
        <v>79</v>
      </c>
      <c r="F1227" s="24" t="s">
        <v>45</v>
      </c>
      <c r="G1227" s="31" t="n">
        <v>46240</v>
      </c>
      <c r="H1227" s="24"/>
      <c r="I1227" s="24"/>
      <c r="J1227" s="24"/>
      <c r="K1227" s="24" t="n">
        <v>4</v>
      </c>
      <c r="L1227" s="24" t="str">
        <f aca="false">IF(J1227&lt;&gt;"","Enrolled",IF(I1227&lt;&gt;"","Admitted",IF(H1227&lt;&gt;"","Applied",IF(G1227&lt;&gt;"","Contacted","New"))))</f>
        <v>Contacted</v>
      </c>
      <c r="M1227" s="32" t="n">
        <f aca="false">IF(G1227="","",G1227-B1227)</f>
        <v>6</v>
      </c>
      <c r="N1227" s="24" t="str">
        <f aca="false">IF(COUNTIF($A$2:A1227,A1227)&gt;1,"Duplicate ID",IF(C1227="","Missing source",IF(OR(AND(G1227&lt;&gt;"",G1227&lt;B1227),AND(H1227&lt;&gt;"",H1227&lt;B1227),AND(I1227&lt;&gt;"",I1227&lt;H1227),AND(J1227&lt;&gt;"",J1227&lt;I1227)),"Date error","OK")))</f>
        <v>OK</v>
      </c>
    </row>
    <row r="1228" customFormat="false" ht="15" hidden="false" customHeight="false" outlineLevel="0" collapsed="false">
      <c r="A1228" s="24" t="s">
        <v>1306</v>
      </c>
      <c r="B1228" s="31" t="n">
        <v>46235</v>
      </c>
      <c r="C1228" s="24" t="s">
        <v>24</v>
      </c>
      <c r="D1228" s="24" t="s">
        <v>33</v>
      </c>
      <c r="E1228" s="24" t="s">
        <v>94</v>
      </c>
      <c r="F1228" s="24" t="s">
        <v>44</v>
      </c>
      <c r="G1228" s="31" t="n">
        <v>46236</v>
      </c>
      <c r="H1228" s="24"/>
      <c r="I1228" s="24"/>
      <c r="J1228" s="24"/>
      <c r="K1228" s="24" t="n">
        <v>0</v>
      </c>
      <c r="L1228" s="24" t="str">
        <f aca="false">IF(J1228&lt;&gt;"","Enrolled",IF(I1228&lt;&gt;"","Admitted",IF(H1228&lt;&gt;"","Applied",IF(G1228&lt;&gt;"","Contacted","New"))))</f>
        <v>Contacted</v>
      </c>
      <c r="M1228" s="32" t="n">
        <f aca="false">IF(G1228="","",G1228-B1228)</f>
        <v>1</v>
      </c>
      <c r="N1228" s="24" t="str">
        <f aca="false">IF(COUNTIF($A$2:A1228,A1228)&gt;1,"Duplicate ID",IF(C1228="","Missing source",IF(OR(AND(G1228&lt;&gt;"",G1228&lt;B1228),AND(H1228&lt;&gt;"",H1228&lt;B1228),AND(I1228&lt;&gt;"",I1228&lt;H1228),AND(J1228&lt;&gt;"",J1228&lt;I1228)),"Date error","OK")))</f>
        <v>OK</v>
      </c>
    </row>
    <row r="1229" customFormat="false" ht="15" hidden="false" customHeight="false" outlineLevel="0" collapsed="false">
      <c r="A1229" s="24" t="s">
        <v>1307</v>
      </c>
      <c r="B1229" s="31" t="n">
        <v>46235</v>
      </c>
      <c r="C1229" s="24" t="s">
        <v>27</v>
      </c>
      <c r="D1229" s="24" t="s">
        <v>33</v>
      </c>
      <c r="E1229" s="24" t="s">
        <v>84</v>
      </c>
      <c r="F1229" s="24" t="s">
        <v>44</v>
      </c>
      <c r="G1229" s="31" t="n">
        <v>46235</v>
      </c>
      <c r="H1229" s="24"/>
      <c r="I1229" s="24"/>
      <c r="J1229" s="24"/>
      <c r="K1229" s="24" t="n">
        <v>6</v>
      </c>
      <c r="L1229" s="24" t="str">
        <f aca="false">IF(J1229&lt;&gt;"","Enrolled",IF(I1229&lt;&gt;"","Admitted",IF(H1229&lt;&gt;"","Applied",IF(G1229&lt;&gt;"","Contacted","New"))))</f>
        <v>Contacted</v>
      </c>
      <c r="M1229" s="32" t="n">
        <f aca="false">IF(G1229="","",G1229-B1229)</f>
        <v>0</v>
      </c>
      <c r="N1229" s="24" t="str">
        <f aca="false">IF(COUNTIF($A$2:A1229,A1229)&gt;1,"Duplicate ID",IF(C1229="","Missing source",IF(OR(AND(G1229&lt;&gt;"",G1229&lt;B1229),AND(H1229&lt;&gt;"",H1229&lt;B1229),AND(I1229&lt;&gt;"",I1229&lt;H1229),AND(J1229&lt;&gt;"",J1229&lt;I1229)),"Date error","OK")))</f>
        <v>OK</v>
      </c>
    </row>
    <row r="1230" customFormat="false" ht="15" hidden="false" customHeight="false" outlineLevel="0" collapsed="false">
      <c r="A1230" s="24" t="s">
        <v>1308</v>
      </c>
      <c r="B1230" s="31" t="n">
        <v>46235</v>
      </c>
      <c r="C1230" s="24" t="s">
        <v>23</v>
      </c>
      <c r="D1230" s="24" t="s">
        <v>36</v>
      </c>
      <c r="E1230" s="24" t="s">
        <v>89</v>
      </c>
      <c r="F1230" s="24" t="s">
        <v>44</v>
      </c>
      <c r="G1230" s="31" t="n">
        <v>46236</v>
      </c>
      <c r="H1230" s="24"/>
      <c r="I1230" s="24"/>
      <c r="J1230" s="24"/>
      <c r="K1230" s="24" t="n">
        <v>2</v>
      </c>
      <c r="L1230" s="24" t="str">
        <f aca="false">IF(J1230&lt;&gt;"","Enrolled",IF(I1230&lt;&gt;"","Admitted",IF(H1230&lt;&gt;"","Applied",IF(G1230&lt;&gt;"","Contacted","New"))))</f>
        <v>Contacted</v>
      </c>
      <c r="M1230" s="32" t="n">
        <f aca="false">IF(G1230="","",G1230-B1230)</f>
        <v>1</v>
      </c>
      <c r="N1230" s="24" t="str">
        <f aca="false">IF(COUNTIF($A$2:A1230,A1230)&gt;1,"Duplicate ID",IF(C1230="","Missing source",IF(OR(AND(G1230&lt;&gt;"",G1230&lt;B1230),AND(H1230&lt;&gt;"",H1230&lt;B1230),AND(I1230&lt;&gt;"",I1230&lt;H1230),AND(J1230&lt;&gt;"",J1230&lt;I1230)),"Date error","OK")))</f>
        <v>OK</v>
      </c>
    </row>
    <row r="1231" customFormat="false" ht="15" hidden="false" customHeight="false" outlineLevel="0" collapsed="false">
      <c r="A1231" s="24" t="s">
        <v>1309</v>
      </c>
      <c r="B1231" s="31" t="n">
        <v>46235</v>
      </c>
      <c r="C1231" s="24" t="s">
        <v>26</v>
      </c>
      <c r="D1231" s="24" t="s">
        <v>33</v>
      </c>
      <c r="E1231" s="24" t="s">
        <v>81</v>
      </c>
      <c r="F1231" s="24" t="s">
        <v>44</v>
      </c>
      <c r="G1231" s="31" t="n">
        <v>46240</v>
      </c>
      <c r="H1231" s="24"/>
      <c r="I1231" s="24"/>
      <c r="J1231" s="24"/>
      <c r="K1231" s="24" t="n">
        <v>3</v>
      </c>
      <c r="L1231" s="24" t="str">
        <f aca="false">IF(J1231&lt;&gt;"","Enrolled",IF(I1231&lt;&gt;"","Admitted",IF(H1231&lt;&gt;"","Applied",IF(G1231&lt;&gt;"","Contacted","New"))))</f>
        <v>Contacted</v>
      </c>
      <c r="M1231" s="32" t="n">
        <f aca="false">IF(G1231="","",G1231-B1231)</f>
        <v>5</v>
      </c>
      <c r="N1231" s="24" t="str">
        <f aca="false">IF(COUNTIF($A$2:A1231,A1231)&gt;1,"Duplicate ID",IF(C1231="","Missing source",IF(OR(AND(G1231&lt;&gt;"",G1231&lt;B1231),AND(H1231&lt;&gt;"",H1231&lt;B1231),AND(I1231&lt;&gt;"",I1231&lt;H1231),AND(J1231&lt;&gt;"",J1231&lt;I1231)),"Date error","OK")))</f>
        <v>OK</v>
      </c>
    </row>
    <row r="1232" customFormat="false" ht="15" hidden="false" customHeight="false" outlineLevel="0" collapsed="false">
      <c r="A1232" s="24" t="s">
        <v>1310</v>
      </c>
      <c r="B1232" s="31" t="n">
        <v>46235</v>
      </c>
      <c r="C1232" s="24" t="s">
        <v>23</v>
      </c>
      <c r="D1232" s="24" t="s">
        <v>34</v>
      </c>
      <c r="E1232" s="24" t="s">
        <v>94</v>
      </c>
      <c r="F1232" s="24" t="s">
        <v>44</v>
      </c>
      <c r="G1232" s="31" t="n">
        <v>46236</v>
      </c>
      <c r="H1232" s="24"/>
      <c r="I1232" s="24"/>
      <c r="J1232" s="24"/>
      <c r="K1232" s="24" t="n">
        <v>2</v>
      </c>
      <c r="L1232" s="24" t="str">
        <f aca="false">IF(J1232&lt;&gt;"","Enrolled",IF(I1232&lt;&gt;"","Admitted",IF(H1232&lt;&gt;"","Applied",IF(G1232&lt;&gt;"","Contacted","New"))))</f>
        <v>Contacted</v>
      </c>
      <c r="M1232" s="32" t="n">
        <f aca="false">IF(G1232="","",G1232-B1232)</f>
        <v>1</v>
      </c>
      <c r="N1232" s="24" t="str">
        <f aca="false">IF(COUNTIF($A$2:A1232,A1232)&gt;1,"Duplicate ID",IF(C1232="","Missing source",IF(OR(AND(G1232&lt;&gt;"",G1232&lt;B1232),AND(H1232&lt;&gt;"",H1232&lt;B1232),AND(I1232&lt;&gt;"",I1232&lt;H1232),AND(J1232&lt;&gt;"",J1232&lt;I1232)),"Date error","OK")))</f>
        <v>OK</v>
      </c>
    </row>
    <row r="1233" customFormat="false" ht="15" hidden="false" customHeight="false" outlineLevel="0" collapsed="false">
      <c r="A1233" s="24" t="s">
        <v>1311</v>
      </c>
      <c r="B1233" s="31" t="n">
        <v>46235</v>
      </c>
      <c r="C1233" s="24" t="s">
        <v>25</v>
      </c>
      <c r="D1233" s="24" t="s">
        <v>34</v>
      </c>
      <c r="E1233" s="24" t="s">
        <v>81</v>
      </c>
      <c r="F1233" s="24" t="s">
        <v>43</v>
      </c>
      <c r="G1233" s="31" t="n">
        <v>46236</v>
      </c>
      <c r="H1233" s="24"/>
      <c r="I1233" s="24"/>
      <c r="J1233" s="24"/>
      <c r="K1233" s="24" t="n">
        <v>2</v>
      </c>
      <c r="L1233" s="24" t="str">
        <f aca="false">IF(J1233&lt;&gt;"","Enrolled",IF(I1233&lt;&gt;"","Admitted",IF(H1233&lt;&gt;"","Applied",IF(G1233&lt;&gt;"","Contacted","New"))))</f>
        <v>Contacted</v>
      </c>
      <c r="M1233" s="32" t="n">
        <f aca="false">IF(G1233="","",G1233-B1233)</f>
        <v>1</v>
      </c>
      <c r="N1233" s="24" t="str">
        <f aca="false">IF(COUNTIF($A$2:A1233,A1233)&gt;1,"Duplicate ID",IF(C1233="","Missing source",IF(OR(AND(G1233&lt;&gt;"",G1233&lt;B1233),AND(H1233&lt;&gt;"",H1233&lt;B1233),AND(I1233&lt;&gt;"",I1233&lt;H1233),AND(J1233&lt;&gt;"",J1233&lt;I1233)),"Date error","OK")))</f>
        <v>OK</v>
      </c>
    </row>
    <row r="1234" customFormat="false" ht="15" hidden="false" customHeight="false" outlineLevel="0" collapsed="false">
      <c r="A1234" s="24" t="s">
        <v>1312</v>
      </c>
      <c r="B1234" s="31" t="n">
        <v>46235</v>
      </c>
      <c r="C1234" s="24" t="s">
        <v>26</v>
      </c>
      <c r="D1234" s="24" t="s">
        <v>32</v>
      </c>
      <c r="E1234" s="24" t="s">
        <v>94</v>
      </c>
      <c r="F1234" s="24" t="s">
        <v>43</v>
      </c>
      <c r="G1234" s="31" t="n">
        <v>46235</v>
      </c>
      <c r="H1234" s="31" t="n">
        <v>46241</v>
      </c>
      <c r="I1234" s="24"/>
      <c r="J1234" s="24"/>
      <c r="K1234" s="24" t="n">
        <v>4</v>
      </c>
      <c r="L1234" s="24" t="str">
        <f aca="false">IF(J1234&lt;&gt;"","Enrolled",IF(I1234&lt;&gt;"","Admitted",IF(H1234&lt;&gt;"","Applied",IF(G1234&lt;&gt;"","Contacted","New"))))</f>
        <v>Applied</v>
      </c>
      <c r="M1234" s="32" t="n">
        <f aca="false">IF(G1234="","",G1234-B1234)</f>
        <v>0</v>
      </c>
      <c r="N1234" s="24" t="str">
        <f aca="false">IF(COUNTIF($A$2:A1234,A1234)&gt;1,"Duplicate ID",IF(C1234="","Missing source",IF(OR(AND(G1234&lt;&gt;"",G1234&lt;B1234),AND(H1234&lt;&gt;"",H1234&lt;B1234),AND(I1234&lt;&gt;"",I1234&lt;H1234),AND(J1234&lt;&gt;"",J1234&lt;I1234)),"Date error","OK")))</f>
        <v>OK</v>
      </c>
    </row>
    <row r="1235" customFormat="false" ht="15" hidden="false" customHeight="false" outlineLevel="0" collapsed="false">
      <c r="A1235" s="24" t="s">
        <v>1313</v>
      </c>
      <c r="B1235" s="31" t="n">
        <v>46235</v>
      </c>
      <c r="C1235" s="24" t="s">
        <v>22</v>
      </c>
      <c r="D1235" s="24" t="s">
        <v>33</v>
      </c>
      <c r="E1235" s="24" t="s">
        <v>79</v>
      </c>
      <c r="F1235" s="24" t="s">
        <v>45</v>
      </c>
      <c r="G1235" s="31" t="n">
        <v>46236</v>
      </c>
      <c r="H1235" s="24"/>
      <c r="I1235" s="24"/>
      <c r="J1235" s="24"/>
      <c r="K1235" s="24" t="n">
        <v>3</v>
      </c>
      <c r="L1235" s="24" t="str">
        <f aca="false">IF(J1235&lt;&gt;"","Enrolled",IF(I1235&lt;&gt;"","Admitted",IF(H1235&lt;&gt;"","Applied",IF(G1235&lt;&gt;"","Contacted","New"))))</f>
        <v>Contacted</v>
      </c>
      <c r="M1235" s="32" t="n">
        <f aca="false">IF(G1235="","",G1235-B1235)</f>
        <v>1</v>
      </c>
      <c r="N1235" s="24" t="str">
        <f aca="false">IF(COUNTIF($A$2:A1235,A1235)&gt;1,"Duplicate ID",IF(C1235="","Missing source",IF(OR(AND(G1235&lt;&gt;"",G1235&lt;B1235),AND(H1235&lt;&gt;"",H1235&lt;B1235),AND(I1235&lt;&gt;"",I1235&lt;H1235),AND(J1235&lt;&gt;"",J1235&lt;I1235)),"Date error","OK")))</f>
        <v>OK</v>
      </c>
    </row>
    <row r="1236" customFormat="false" ht="15" hidden="false" customHeight="false" outlineLevel="0" collapsed="false">
      <c r="A1236" s="24" t="s">
        <v>1314</v>
      </c>
      <c r="B1236" s="31" t="n">
        <v>46235</v>
      </c>
      <c r="C1236" s="24" t="s">
        <v>26</v>
      </c>
      <c r="D1236" s="24" t="s">
        <v>34</v>
      </c>
      <c r="E1236" s="24" t="s">
        <v>79</v>
      </c>
      <c r="F1236" s="24" t="s">
        <v>41</v>
      </c>
      <c r="G1236" s="31" t="n">
        <v>46235</v>
      </c>
      <c r="H1236" s="24"/>
      <c r="I1236" s="24"/>
      <c r="J1236" s="24"/>
      <c r="K1236" s="24" t="n">
        <v>4</v>
      </c>
      <c r="L1236" s="24" t="str">
        <f aca="false">IF(J1236&lt;&gt;"","Enrolled",IF(I1236&lt;&gt;"","Admitted",IF(H1236&lt;&gt;"","Applied",IF(G1236&lt;&gt;"","Contacted","New"))))</f>
        <v>Contacted</v>
      </c>
      <c r="M1236" s="32" t="n">
        <f aca="false">IF(G1236="","",G1236-B1236)</f>
        <v>0</v>
      </c>
      <c r="N1236" s="24" t="str">
        <f aca="false">IF(COUNTIF($A$2:A1236,A1236)&gt;1,"Duplicate ID",IF(C1236="","Missing source",IF(OR(AND(G1236&lt;&gt;"",G1236&lt;B1236),AND(H1236&lt;&gt;"",H1236&lt;B1236),AND(I1236&lt;&gt;"",I1236&lt;H1236),AND(J1236&lt;&gt;"",J1236&lt;I1236)),"Date error","OK")))</f>
        <v>OK</v>
      </c>
    </row>
    <row r="1237" customFormat="false" ht="15" hidden="false" customHeight="false" outlineLevel="0" collapsed="false">
      <c r="A1237" s="24" t="s">
        <v>1315</v>
      </c>
      <c r="B1237" s="31" t="n">
        <v>46235</v>
      </c>
      <c r="C1237" s="24" t="s">
        <v>25</v>
      </c>
      <c r="D1237" s="24" t="s">
        <v>33</v>
      </c>
      <c r="E1237" s="24" t="s">
        <v>94</v>
      </c>
      <c r="F1237" s="24" t="s">
        <v>41</v>
      </c>
      <c r="G1237" s="31" t="n">
        <v>46235</v>
      </c>
      <c r="H1237" s="24"/>
      <c r="I1237" s="24"/>
      <c r="J1237" s="24"/>
      <c r="K1237" s="24" t="n">
        <v>3</v>
      </c>
      <c r="L1237" s="24" t="str">
        <f aca="false">IF(J1237&lt;&gt;"","Enrolled",IF(I1237&lt;&gt;"","Admitted",IF(H1237&lt;&gt;"","Applied",IF(G1237&lt;&gt;"","Contacted","New"))))</f>
        <v>Contacted</v>
      </c>
      <c r="M1237" s="32" t="n">
        <f aca="false">IF(G1237="","",G1237-B1237)</f>
        <v>0</v>
      </c>
      <c r="N1237" s="24" t="str">
        <f aca="false">IF(COUNTIF($A$2:A1237,A1237)&gt;1,"Duplicate ID",IF(C1237="","Missing source",IF(OR(AND(G1237&lt;&gt;"",G1237&lt;B1237),AND(H1237&lt;&gt;"",H1237&lt;B1237),AND(I1237&lt;&gt;"",I1237&lt;H1237),AND(J1237&lt;&gt;"",J1237&lt;I1237)),"Date error","OK")))</f>
        <v>OK</v>
      </c>
    </row>
    <row r="1238" customFormat="false" ht="15" hidden="false" customHeight="false" outlineLevel="0" collapsed="false">
      <c r="A1238" s="24" t="s">
        <v>1316</v>
      </c>
      <c r="B1238" s="31" t="n">
        <v>46236</v>
      </c>
      <c r="C1238" s="24" t="s">
        <v>25</v>
      </c>
      <c r="D1238" s="24" t="s">
        <v>36</v>
      </c>
      <c r="E1238" s="24" t="s">
        <v>81</v>
      </c>
      <c r="F1238" s="24" t="s">
        <v>44</v>
      </c>
      <c r="G1238" s="24"/>
      <c r="H1238" s="24"/>
      <c r="I1238" s="24"/>
      <c r="J1238" s="24"/>
      <c r="K1238" s="24" t="n">
        <v>0</v>
      </c>
      <c r="L1238" s="24" t="str">
        <f aca="false">IF(J1238&lt;&gt;"","Enrolled",IF(I1238&lt;&gt;"","Admitted",IF(H1238&lt;&gt;"","Applied",IF(G1238&lt;&gt;"","Contacted","New"))))</f>
        <v>New</v>
      </c>
      <c r="M1238" s="32" t="str">
        <f aca="false">IF(G1238="","",G1238-B1238)</f>
        <v/>
      </c>
      <c r="N1238" s="24" t="str">
        <f aca="false">IF(COUNTIF($A$2:A1238,A1238)&gt;1,"Duplicate ID",IF(C1238="","Missing source",IF(OR(AND(G1238&lt;&gt;"",G1238&lt;B1238),AND(H1238&lt;&gt;"",H1238&lt;B1238),AND(I1238&lt;&gt;"",I1238&lt;H1238),AND(J1238&lt;&gt;"",J1238&lt;I1238)),"Date error","OK")))</f>
        <v>OK</v>
      </c>
    </row>
    <row r="1239" customFormat="false" ht="15" hidden="false" customHeight="false" outlineLevel="0" collapsed="false">
      <c r="A1239" s="24" t="s">
        <v>1317</v>
      </c>
      <c r="B1239" s="31" t="n">
        <v>46236</v>
      </c>
      <c r="C1239" s="24" t="s">
        <v>23</v>
      </c>
      <c r="D1239" s="24" t="s">
        <v>36</v>
      </c>
      <c r="E1239" s="24" t="s">
        <v>79</v>
      </c>
      <c r="F1239" s="24" t="s">
        <v>44</v>
      </c>
      <c r="G1239" s="31" t="n">
        <v>46239</v>
      </c>
      <c r="H1239" s="24"/>
      <c r="I1239" s="24"/>
      <c r="J1239" s="24"/>
      <c r="K1239" s="24" t="n">
        <v>4</v>
      </c>
      <c r="L1239" s="24" t="str">
        <f aca="false">IF(J1239&lt;&gt;"","Enrolled",IF(I1239&lt;&gt;"","Admitted",IF(H1239&lt;&gt;"","Applied",IF(G1239&lt;&gt;"","Contacted","New"))))</f>
        <v>Contacted</v>
      </c>
      <c r="M1239" s="32" t="n">
        <f aca="false">IF(G1239="","",G1239-B1239)</f>
        <v>3</v>
      </c>
      <c r="N1239" s="24" t="str">
        <f aca="false">IF(COUNTIF($A$2:A1239,A1239)&gt;1,"Duplicate ID",IF(C1239="","Missing source",IF(OR(AND(G1239&lt;&gt;"",G1239&lt;B1239),AND(H1239&lt;&gt;"",H1239&lt;B1239),AND(I1239&lt;&gt;"",I1239&lt;H1239),AND(J1239&lt;&gt;"",J1239&lt;I1239)),"Date error","OK")))</f>
        <v>OK</v>
      </c>
    </row>
    <row r="1240" customFormat="false" ht="15" hidden="false" customHeight="false" outlineLevel="0" collapsed="false">
      <c r="A1240" s="24" t="s">
        <v>1318</v>
      </c>
      <c r="B1240" s="31" t="n">
        <v>46236</v>
      </c>
      <c r="C1240" s="24" t="s">
        <v>26</v>
      </c>
      <c r="D1240" s="24" t="s">
        <v>33</v>
      </c>
      <c r="E1240" s="24" t="s">
        <v>89</v>
      </c>
      <c r="F1240" s="24" t="s">
        <v>42</v>
      </c>
      <c r="G1240" s="24"/>
      <c r="H1240" s="24"/>
      <c r="I1240" s="24"/>
      <c r="J1240" s="24"/>
      <c r="K1240" s="24" t="n">
        <v>0</v>
      </c>
      <c r="L1240" s="24" t="str">
        <f aca="false">IF(J1240&lt;&gt;"","Enrolled",IF(I1240&lt;&gt;"","Admitted",IF(H1240&lt;&gt;"","Applied",IF(G1240&lt;&gt;"","Contacted","New"))))</f>
        <v>New</v>
      </c>
      <c r="M1240" s="32" t="str">
        <f aca="false">IF(G1240="","",G1240-B1240)</f>
        <v/>
      </c>
      <c r="N1240" s="24" t="str">
        <f aca="false">IF(COUNTIF($A$2:A1240,A1240)&gt;1,"Duplicate ID",IF(C1240="","Missing source",IF(OR(AND(G1240&lt;&gt;"",G1240&lt;B1240),AND(H1240&lt;&gt;"",H1240&lt;B1240),AND(I1240&lt;&gt;"",I1240&lt;H1240),AND(J1240&lt;&gt;"",J1240&lt;I1240)),"Date error","OK")))</f>
        <v>OK</v>
      </c>
    </row>
    <row r="1241" customFormat="false" ht="15" hidden="false" customHeight="false" outlineLevel="0" collapsed="false">
      <c r="A1241" s="24" t="s">
        <v>1319</v>
      </c>
      <c r="B1241" s="31" t="n">
        <v>46236</v>
      </c>
      <c r="C1241" s="24" t="s">
        <v>21</v>
      </c>
      <c r="D1241" s="24" t="s">
        <v>36</v>
      </c>
      <c r="E1241" s="24" t="s">
        <v>84</v>
      </c>
      <c r="F1241" s="24" t="s">
        <v>44</v>
      </c>
      <c r="G1241" s="31" t="n">
        <v>46240</v>
      </c>
      <c r="H1241" s="31" t="n">
        <v>46253</v>
      </c>
      <c r="I1241" s="24"/>
      <c r="J1241" s="24"/>
      <c r="K1241" s="24" t="n">
        <v>8</v>
      </c>
      <c r="L1241" s="24" t="str">
        <f aca="false">IF(J1241&lt;&gt;"","Enrolled",IF(I1241&lt;&gt;"","Admitted",IF(H1241&lt;&gt;"","Applied",IF(G1241&lt;&gt;"","Contacted","New"))))</f>
        <v>Applied</v>
      </c>
      <c r="M1241" s="32" t="n">
        <f aca="false">IF(G1241="","",G1241-B1241)</f>
        <v>4</v>
      </c>
      <c r="N1241" s="24" t="str">
        <f aca="false">IF(COUNTIF($A$2:A1241,A1241)&gt;1,"Duplicate ID",IF(C1241="","Missing source",IF(OR(AND(G1241&lt;&gt;"",G1241&lt;B1241),AND(H1241&lt;&gt;"",H1241&lt;B1241),AND(I1241&lt;&gt;"",I1241&lt;H1241),AND(J1241&lt;&gt;"",J1241&lt;I1241)),"Date error","OK")))</f>
        <v>OK</v>
      </c>
    </row>
    <row r="1242" customFormat="false" ht="15" hidden="false" customHeight="false" outlineLevel="0" collapsed="false">
      <c r="A1242" s="24" t="s">
        <v>1320</v>
      </c>
      <c r="B1242" s="31" t="n">
        <v>46236</v>
      </c>
      <c r="C1242" s="24" t="s">
        <v>22</v>
      </c>
      <c r="D1242" s="24" t="s">
        <v>36</v>
      </c>
      <c r="E1242" s="24" t="s">
        <v>94</v>
      </c>
      <c r="F1242" s="24" t="s">
        <v>44</v>
      </c>
      <c r="G1242" s="24"/>
      <c r="H1242" s="24"/>
      <c r="I1242" s="24"/>
      <c r="J1242" s="24"/>
      <c r="K1242" s="24" t="n">
        <v>0</v>
      </c>
      <c r="L1242" s="24" t="str">
        <f aca="false">IF(J1242&lt;&gt;"","Enrolled",IF(I1242&lt;&gt;"","Admitted",IF(H1242&lt;&gt;"","Applied",IF(G1242&lt;&gt;"","Contacted","New"))))</f>
        <v>New</v>
      </c>
      <c r="M1242" s="32" t="str">
        <f aca="false">IF(G1242="","",G1242-B1242)</f>
        <v/>
      </c>
      <c r="N1242" s="24" t="str">
        <f aca="false">IF(COUNTIF($A$2:A1242,A1242)&gt;1,"Duplicate ID",IF(C1242="","Missing source",IF(OR(AND(G1242&lt;&gt;"",G1242&lt;B1242),AND(H1242&lt;&gt;"",H1242&lt;B1242),AND(I1242&lt;&gt;"",I1242&lt;H1242),AND(J1242&lt;&gt;"",J1242&lt;I1242)),"Date error","OK")))</f>
        <v>OK</v>
      </c>
    </row>
    <row r="1243" customFormat="false" ht="15" hidden="false" customHeight="false" outlineLevel="0" collapsed="false">
      <c r="A1243" s="24" t="s">
        <v>1321</v>
      </c>
      <c r="B1243" s="31" t="n">
        <v>46236</v>
      </c>
      <c r="C1243" s="24" t="s">
        <v>22</v>
      </c>
      <c r="D1243" s="24" t="s">
        <v>32</v>
      </c>
      <c r="E1243" s="24" t="s">
        <v>79</v>
      </c>
      <c r="F1243" s="24" t="s">
        <v>40</v>
      </c>
      <c r="G1243" s="31" t="n">
        <v>46237</v>
      </c>
      <c r="H1243" s="24"/>
      <c r="I1243" s="24"/>
      <c r="J1243" s="24"/>
      <c r="K1243" s="24" t="n">
        <v>2</v>
      </c>
      <c r="L1243" s="24" t="str">
        <f aca="false">IF(J1243&lt;&gt;"","Enrolled",IF(I1243&lt;&gt;"","Admitted",IF(H1243&lt;&gt;"","Applied",IF(G1243&lt;&gt;"","Contacted","New"))))</f>
        <v>Contacted</v>
      </c>
      <c r="M1243" s="32" t="n">
        <f aca="false">IF(G1243="","",G1243-B1243)</f>
        <v>1</v>
      </c>
      <c r="N1243" s="24" t="str">
        <f aca="false">IF(COUNTIF($A$2:A1243,A1243)&gt;1,"Duplicate ID",IF(C1243="","Missing source",IF(OR(AND(G1243&lt;&gt;"",G1243&lt;B1243),AND(H1243&lt;&gt;"",H1243&lt;B1243),AND(I1243&lt;&gt;"",I1243&lt;H1243),AND(J1243&lt;&gt;"",J1243&lt;I1243)),"Date error","OK")))</f>
        <v>OK</v>
      </c>
    </row>
    <row r="1244" customFormat="false" ht="15" hidden="false" customHeight="false" outlineLevel="0" collapsed="false">
      <c r="A1244" s="24" t="s">
        <v>1322</v>
      </c>
      <c r="B1244" s="31" t="n">
        <v>46236</v>
      </c>
      <c r="C1244" s="24" t="s">
        <v>25</v>
      </c>
      <c r="D1244" s="24" t="s">
        <v>34</v>
      </c>
      <c r="E1244" s="24" t="s">
        <v>79</v>
      </c>
      <c r="F1244" s="24" t="s">
        <v>42</v>
      </c>
      <c r="G1244" s="31" t="n">
        <v>46238</v>
      </c>
      <c r="H1244" s="24"/>
      <c r="I1244" s="24"/>
      <c r="J1244" s="24"/>
      <c r="K1244" s="24" t="n">
        <v>3</v>
      </c>
      <c r="L1244" s="24" t="str">
        <f aca="false">IF(J1244&lt;&gt;"","Enrolled",IF(I1244&lt;&gt;"","Admitted",IF(H1244&lt;&gt;"","Applied",IF(G1244&lt;&gt;"","Contacted","New"))))</f>
        <v>Contacted</v>
      </c>
      <c r="M1244" s="32" t="n">
        <f aca="false">IF(G1244="","",G1244-B1244)</f>
        <v>2</v>
      </c>
      <c r="N1244" s="24" t="str">
        <f aca="false">IF(COUNTIF($A$2:A1244,A1244)&gt;1,"Duplicate ID",IF(C1244="","Missing source",IF(OR(AND(G1244&lt;&gt;"",G1244&lt;B1244),AND(H1244&lt;&gt;"",H1244&lt;B1244),AND(I1244&lt;&gt;"",I1244&lt;H1244),AND(J1244&lt;&gt;"",J1244&lt;I1244)),"Date error","OK")))</f>
        <v>OK</v>
      </c>
    </row>
    <row r="1245" customFormat="false" ht="15" hidden="false" customHeight="false" outlineLevel="0" collapsed="false">
      <c r="A1245" s="24" t="s">
        <v>1323</v>
      </c>
      <c r="B1245" s="31" t="n">
        <v>46236</v>
      </c>
      <c r="C1245" s="24" t="s">
        <v>23</v>
      </c>
      <c r="D1245" s="24" t="s">
        <v>33</v>
      </c>
      <c r="E1245" s="24" t="s">
        <v>94</v>
      </c>
      <c r="F1245" s="24" t="s">
        <v>42</v>
      </c>
      <c r="G1245" s="31" t="n">
        <v>46236</v>
      </c>
      <c r="H1245" s="24"/>
      <c r="I1245" s="24"/>
      <c r="J1245" s="24"/>
      <c r="K1245" s="24" t="n">
        <v>4</v>
      </c>
      <c r="L1245" s="24" t="str">
        <f aca="false">IF(J1245&lt;&gt;"","Enrolled",IF(I1245&lt;&gt;"","Admitted",IF(H1245&lt;&gt;"","Applied",IF(G1245&lt;&gt;"","Contacted","New"))))</f>
        <v>Contacted</v>
      </c>
      <c r="M1245" s="32" t="n">
        <f aca="false">IF(G1245="","",G1245-B1245)</f>
        <v>0</v>
      </c>
      <c r="N1245" s="24" t="str">
        <f aca="false">IF(COUNTIF($A$2:A1245,A1245)&gt;1,"Duplicate ID",IF(C1245="","Missing source",IF(OR(AND(G1245&lt;&gt;"",G1245&lt;B1245),AND(H1245&lt;&gt;"",H1245&lt;B1245),AND(I1245&lt;&gt;"",I1245&lt;H1245),AND(J1245&lt;&gt;"",J1245&lt;I1245)),"Date error","OK")))</f>
        <v>OK</v>
      </c>
    </row>
    <row r="1246" customFormat="false" ht="15" hidden="false" customHeight="false" outlineLevel="0" collapsed="false">
      <c r="A1246" s="24" t="s">
        <v>1324</v>
      </c>
      <c r="B1246" s="31" t="n">
        <v>46236</v>
      </c>
      <c r="C1246" s="24" t="s">
        <v>23</v>
      </c>
      <c r="D1246" s="24" t="s">
        <v>32</v>
      </c>
      <c r="E1246" s="24" t="s">
        <v>89</v>
      </c>
      <c r="F1246" s="24" t="s">
        <v>42</v>
      </c>
      <c r="G1246" s="31" t="n">
        <v>46236</v>
      </c>
      <c r="H1246" s="24"/>
      <c r="I1246" s="24"/>
      <c r="J1246" s="24"/>
      <c r="K1246" s="24" t="n">
        <v>2</v>
      </c>
      <c r="L1246" s="24" t="str">
        <f aca="false">IF(J1246&lt;&gt;"","Enrolled",IF(I1246&lt;&gt;"","Admitted",IF(H1246&lt;&gt;"","Applied",IF(G1246&lt;&gt;"","Contacted","New"))))</f>
        <v>Contacted</v>
      </c>
      <c r="M1246" s="32" t="n">
        <f aca="false">IF(G1246="","",G1246-B1246)</f>
        <v>0</v>
      </c>
      <c r="N1246" s="24" t="str">
        <f aca="false">IF(COUNTIF($A$2:A1246,A1246)&gt;1,"Duplicate ID",IF(C1246="","Missing source",IF(OR(AND(G1246&lt;&gt;"",G1246&lt;B1246),AND(H1246&lt;&gt;"",H1246&lt;B1246),AND(I1246&lt;&gt;"",I1246&lt;H1246),AND(J1246&lt;&gt;"",J1246&lt;I1246)),"Date error","OK")))</f>
        <v>OK</v>
      </c>
    </row>
    <row r="1247" customFormat="false" ht="15" hidden="false" customHeight="false" outlineLevel="0" collapsed="false">
      <c r="A1247" s="24" t="s">
        <v>1325</v>
      </c>
      <c r="B1247" s="31" t="n">
        <v>46236</v>
      </c>
      <c r="C1247" s="24" t="s">
        <v>27</v>
      </c>
      <c r="D1247" s="24" t="s">
        <v>32</v>
      </c>
      <c r="E1247" s="24" t="s">
        <v>89</v>
      </c>
      <c r="F1247" s="24" t="s">
        <v>42</v>
      </c>
      <c r="G1247" s="31" t="n">
        <v>46237</v>
      </c>
      <c r="H1247" s="24"/>
      <c r="I1247" s="24"/>
      <c r="J1247" s="24"/>
      <c r="K1247" s="24" t="n">
        <v>3</v>
      </c>
      <c r="L1247" s="24" t="str">
        <f aca="false">IF(J1247&lt;&gt;"","Enrolled",IF(I1247&lt;&gt;"","Admitted",IF(H1247&lt;&gt;"","Applied",IF(G1247&lt;&gt;"","Contacted","New"))))</f>
        <v>Contacted</v>
      </c>
      <c r="M1247" s="32" t="n">
        <f aca="false">IF(G1247="","",G1247-B1247)</f>
        <v>1</v>
      </c>
      <c r="N1247" s="24" t="str">
        <f aca="false">IF(COUNTIF($A$2:A1247,A1247)&gt;1,"Duplicate ID",IF(C1247="","Missing source",IF(OR(AND(G1247&lt;&gt;"",G1247&lt;B1247),AND(H1247&lt;&gt;"",H1247&lt;B1247),AND(I1247&lt;&gt;"",I1247&lt;H1247),AND(J1247&lt;&gt;"",J1247&lt;I1247)),"Date error","OK")))</f>
        <v>OK</v>
      </c>
    </row>
    <row r="1248" customFormat="false" ht="15" hidden="false" customHeight="false" outlineLevel="0" collapsed="false">
      <c r="A1248" s="24" t="s">
        <v>1326</v>
      </c>
      <c r="B1248" s="31" t="n">
        <v>46236</v>
      </c>
      <c r="C1248" s="24" t="s">
        <v>25</v>
      </c>
      <c r="D1248" s="24" t="s">
        <v>32</v>
      </c>
      <c r="E1248" s="24" t="s">
        <v>94</v>
      </c>
      <c r="F1248" s="24" t="s">
        <v>41</v>
      </c>
      <c r="G1248" s="31" t="n">
        <v>46237</v>
      </c>
      <c r="H1248" s="24"/>
      <c r="I1248" s="24"/>
      <c r="J1248" s="24"/>
      <c r="K1248" s="24" t="n">
        <v>3</v>
      </c>
      <c r="L1248" s="24" t="str">
        <f aca="false">IF(J1248&lt;&gt;"","Enrolled",IF(I1248&lt;&gt;"","Admitted",IF(H1248&lt;&gt;"","Applied",IF(G1248&lt;&gt;"","Contacted","New"))))</f>
        <v>Contacted</v>
      </c>
      <c r="M1248" s="32" t="n">
        <f aca="false">IF(G1248="","",G1248-B1248)</f>
        <v>1</v>
      </c>
      <c r="N1248" s="24" t="str">
        <f aca="false">IF(COUNTIF($A$2:A1248,A1248)&gt;1,"Duplicate ID",IF(C1248="","Missing source",IF(OR(AND(G1248&lt;&gt;"",G1248&lt;B1248),AND(H1248&lt;&gt;"",H1248&lt;B1248),AND(I1248&lt;&gt;"",I1248&lt;H1248),AND(J1248&lt;&gt;"",J1248&lt;I1248)),"Date error","OK")))</f>
        <v>OK</v>
      </c>
    </row>
    <row r="1249" customFormat="false" ht="15" hidden="false" customHeight="false" outlineLevel="0" collapsed="false">
      <c r="A1249" s="24" t="s">
        <v>1327</v>
      </c>
      <c r="B1249" s="31" t="n">
        <v>46236</v>
      </c>
      <c r="C1249" s="24" t="s">
        <v>22</v>
      </c>
      <c r="D1249" s="24" t="s">
        <v>35</v>
      </c>
      <c r="E1249" s="24" t="s">
        <v>89</v>
      </c>
      <c r="F1249" s="24" t="s">
        <v>42</v>
      </c>
      <c r="G1249" s="31" t="n">
        <v>46237</v>
      </c>
      <c r="H1249" s="24"/>
      <c r="I1249" s="24"/>
      <c r="J1249" s="24"/>
      <c r="K1249" s="24" t="n">
        <v>2</v>
      </c>
      <c r="L1249" s="24" t="str">
        <f aca="false">IF(J1249&lt;&gt;"","Enrolled",IF(I1249&lt;&gt;"","Admitted",IF(H1249&lt;&gt;"","Applied",IF(G1249&lt;&gt;"","Contacted","New"))))</f>
        <v>Contacted</v>
      </c>
      <c r="M1249" s="32" t="n">
        <f aca="false">IF(G1249="","",G1249-B1249)</f>
        <v>1</v>
      </c>
      <c r="N1249" s="24" t="str">
        <f aca="false">IF(COUNTIF($A$2:A1249,A1249)&gt;1,"Duplicate ID",IF(C1249="","Missing source",IF(OR(AND(G1249&lt;&gt;"",G1249&lt;B1249),AND(H1249&lt;&gt;"",H1249&lt;B1249),AND(I1249&lt;&gt;"",I1249&lt;H1249),AND(J1249&lt;&gt;"",J1249&lt;I1249)),"Date error","OK")))</f>
        <v>OK</v>
      </c>
    </row>
    <row r="1250" customFormat="false" ht="15" hidden="false" customHeight="false" outlineLevel="0" collapsed="false">
      <c r="A1250" s="24" t="s">
        <v>1328</v>
      </c>
      <c r="B1250" s="31" t="n">
        <v>46236</v>
      </c>
      <c r="C1250" s="24" t="s">
        <v>26</v>
      </c>
      <c r="D1250" s="24" t="s">
        <v>32</v>
      </c>
      <c r="E1250" s="24" t="s">
        <v>79</v>
      </c>
      <c r="F1250" s="24" t="s">
        <v>43</v>
      </c>
      <c r="G1250" s="31" t="n">
        <v>46236</v>
      </c>
      <c r="H1250" s="24"/>
      <c r="I1250" s="24"/>
      <c r="J1250" s="24"/>
      <c r="K1250" s="24" t="n">
        <v>2</v>
      </c>
      <c r="L1250" s="24" t="str">
        <f aca="false">IF(J1250&lt;&gt;"","Enrolled",IF(I1250&lt;&gt;"","Admitted",IF(H1250&lt;&gt;"","Applied",IF(G1250&lt;&gt;"","Contacted","New"))))</f>
        <v>Contacted</v>
      </c>
      <c r="M1250" s="32" t="n">
        <f aca="false">IF(G1250="","",G1250-B1250)</f>
        <v>0</v>
      </c>
      <c r="N1250" s="24" t="str">
        <f aca="false">IF(COUNTIF($A$2:A1250,A1250)&gt;1,"Duplicate ID",IF(C1250="","Missing source",IF(OR(AND(G1250&lt;&gt;"",G1250&lt;B1250),AND(H1250&lt;&gt;"",H1250&lt;B1250),AND(I1250&lt;&gt;"",I1250&lt;H1250),AND(J1250&lt;&gt;"",J1250&lt;I1250)),"Date error","OK")))</f>
        <v>OK</v>
      </c>
    </row>
    <row r="1251" customFormat="false" ht="15" hidden="false" customHeight="false" outlineLevel="0" collapsed="false">
      <c r="A1251" s="24" t="s">
        <v>1329</v>
      </c>
      <c r="B1251" s="31" t="n">
        <v>46236</v>
      </c>
      <c r="C1251" s="24" t="s">
        <v>26</v>
      </c>
      <c r="D1251" s="24" t="s">
        <v>36</v>
      </c>
      <c r="E1251" s="24" t="s">
        <v>79</v>
      </c>
      <c r="F1251" s="24" t="s">
        <v>42</v>
      </c>
      <c r="G1251" s="24"/>
      <c r="H1251" s="24"/>
      <c r="I1251" s="24"/>
      <c r="J1251" s="24"/>
      <c r="K1251" s="24" t="n">
        <v>0</v>
      </c>
      <c r="L1251" s="24" t="str">
        <f aca="false">IF(J1251&lt;&gt;"","Enrolled",IF(I1251&lt;&gt;"","Admitted",IF(H1251&lt;&gt;"","Applied",IF(G1251&lt;&gt;"","Contacted","New"))))</f>
        <v>New</v>
      </c>
      <c r="M1251" s="32" t="str">
        <f aca="false">IF(G1251="","",G1251-B1251)</f>
        <v/>
      </c>
      <c r="N1251" s="24" t="str">
        <f aca="false">IF(COUNTIF($A$2:A1251,A1251)&gt;1,"Duplicate ID",IF(C1251="","Missing source",IF(OR(AND(G1251&lt;&gt;"",G1251&lt;B1251),AND(H1251&lt;&gt;"",H1251&lt;B1251),AND(I1251&lt;&gt;"",I1251&lt;H1251),AND(J1251&lt;&gt;"",J1251&lt;I1251)),"Date error","OK")))</f>
        <v>OK</v>
      </c>
    </row>
    <row r="1252" customFormat="false" ht="15" hidden="false" customHeight="false" outlineLevel="0" collapsed="false">
      <c r="A1252" s="24" t="s">
        <v>1330</v>
      </c>
      <c r="B1252" s="31" t="n">
        <v>46236</v>
      </c>
      <c r="C1252" s="24" t="s">
        <v>26</v>
      </c>
      <c r="D1252" s="24" t="s">
        <v>36</v>
      </c>
      <c r="E1252" s="24" t="s">
        <v>89</v>
      </c>
      <c r="F1252" s="24" t="s">
        <v>43</v>
      </c>
      <c r="G1252" s="31" t="n">
        <v>46237</v>
      </c>
      <c r="H1252" s="24"/>
      <c r="I1252" s="24"/>
      <c r="J1252" s="24"/>
      <c r="K1252" s="24" t="n">
        <v>2</v>
      </c>
      <c r="L1252" s="24" t="str">
        <f aca="false">IF(J1252&lt;&gt;"","Enrolled",IF(I1252&lt;&gt;"","Admitted",IF(H1252&lt;&gt;"","Applied",IF(G1252&lt;&gt;"","Contacted","New"))))</f>
        <v>Contacted</v>
      </c>
      <c r="M1252" s="32" t="n">
        <f aca="false">IF(G1252="","",G1252-B1252)</f>
        <v>1</v>
      </c>
      <c r="N1252" s="24" t="str">
        <f aca="false">IF(COUNTIF($A$2:A1252,A1252)&gt;1,"Duplicate ID",IF(C1252="","Missing source",IF(OR(AND(G1252&lt;&gt;"",G1252&lt;B1252),AND(H1252&lt;&gt;"",H1252&lt;B1252),AND(I1252&lt;&gt;"",I1252&lt;H1252),AND(J1252&lt;&gt;"",J1252&lt;I1252)),"Date error","OK")))</f>
        <v>OK</v>
      </c>
    </row>
    <row r="1253" customFormat="false" ht="15" hidden="false" customHeight="false" outlineLevel="0" collapsed="false">
      <c r="A1253" s="24" t="s">
        <v>1331</v>
      </c>
      <c r="B1253" s="31" t="n">
        <v>46236</v>
      </c>
      <c r="C1253" s="24" t="s">
        <v>23</v>
      </c>
      <c r="D1253" s="24" t="s">
        <v>33</v>
      </c>
      <c r="E1253" s="24" t="s">
        <v>89</v>
      </c>
      <c r="F1253" s="24" t="s">
        <v>40</v>
      </c>
      <c r="G1253" s="31" t="n">
        <v>46237</v>
      </c>
      <c r="H1253" s="24"/>
      <c r="I1253" s="24"/>
      <c r="J1253" s="24"/>
      <c r="K1253" s="24" t="n">
        <v>2</v>
      </c>
      <c r="L1253" s="24" t="str">
        <f aca="false">IF(J1253&lt;&gt;"","Enrolled",IF(I1253&lt;&gt;"","Admitted",IF(H1253&lt;&gt;"","Applied",IF(G1253&lt;&gt;"","Contacted","New"))))</f>
        <v>Contacted</v>
      </c>
      <c r="M1253" s="32" t="n">
        <f aca="false">IF(G1253="","",G1253-B1253)</f>
        <v>1</v>
      </c>
      <c r="N1253" s="24" t="str">
        <f aca="false">IF(COUNTIF($A$2:A1253,A1253)&gt;1,"Duplicate ID",IF(C1253="","Missing source",IF(OR(AND(G1253&lt;&gt;"",G1253&lt;B1253),AND(H1253&lt;&gt;"",H1253&lt;B1253),AND(I1253&lt;&gt;"",I1253&lt;H1253),AND(J1253&lt;&gt;"",J1253&lt;I1253)),"Date error","OK")))</f>
        <v>OK</v>
      </c>
    </row>
    <row r="1254" customFormat="false" ht="15" hidden="false" customHeight="false" outlineLevel="0" collapsed="false">
      <c r="A1254" s="24" t="s">
        <v>1332</v>
      </c>
      <c r="B1254" s="31" t="n">
        <v>46236</v>
      </c>
      <c r="C1254" s="24" t="s">
        <v>26</v>
      </c>
      <c r="D1254" s="24" t="s">
        <v>36</v>
      </c>
      <c r="E1254" s="24" t="s">
        <v>89</v>
      </c>
      <c r="F1254" s="24" t="s">
        <v>40</v>
      </c>
      <c r="G1254" s="31" t="n">
        <v>46236</v>
      </c>
      <c r="H1254" s="24"/>
      <c r="I1254" s="24"/>
      <c r="J1254" s="24"/>
      <c r="K1254" s="24" t="n">
        <v>6</v>
      </c>
      <c r="L1254" s="24" t="str">
        <f aca="false">IF(J1254&lt;&gt;"","Enrolled",IF(I1254&lt;&gt;"","Admitted",IF(H1254&lt;&gt;"","Applied",IF(G1254&lt;&gt;"","Contacted","New"))))</f>
        <v>Contacted</v>
      </c>
      <c r="M1254" s="32" t="n">
        <f aca="false">IF(G1254="","",G1254-B1254)</f>
        <v>0</v>
      </c>
      <c r="N1254" s="24" t="str">
        <f aca="false">IF(COUNTIF($A$2:A1254,A1254)&gt;1,"Duplicate ID",IF(C1254="","Missing source",IF(OR(AND(G1254&lt;&gt;"",G1254&lt;B1254),AND(H1254&lt;&gt;"",H1254&lt;B1254),AND(I1254&lt;&gt;"",I1254&lt;H1254),AND(J1254&lt;&gt;"",J1254&lt;I1254)),"Date error","OK")))</f>
        <v>OK</v>
      </c>
    </row>
    <row r="1255" customFormat="false" ht="15" hidden="false" customHeight="false" outlineLevel="0" collapsed="false">
      <c r="A1255" s="24" t="s">
        <v>1333</v>
      </c>
      <c r="B1255" s="31" t="n">
        <v>46237</v>
      </c>
      <c r="C1255" s="24" t="s">
        <v>26</v>
      </c>
      <c r="D1255" s="24" t="s">
        <v>33</v>
      </c>
      <c r="E1255" s="24" t="s">
        <v>89</v>
      </c>
      <c r="F1255" s="24" t="s">
        <v>44</v>
      </c>
      <c r="G1255" s="31" t="n">
        <v>46240</v>
      </c>
      <c r="H1255" s="24"/>
      <c r="I1255" s="24"/>
      <c r="J1255" s="24"/>
      <c r="K1255" s="24" t="n">
        <v>4</v>
      </c>
      <c r="L1255" s="24" t="str">
        <f aca="false">IF(J1255&lt;&gt;"","Enrolled",IF(I1255&lt;&gt;"","Admitted",IF(H1255&lt;&gt;"","Applied",IF(G1255&lt;&gt;"","Contacted","New"))))</f>
        <v>Contacted</v>
      </c>
      <c r="M1255" s="32" t="n">
        <f aca="false">IF(G1255="","",G1255-B1255)</f>
        <v>3</v>
      </c>
      <c r="N1255" s="24" t="str">
        <f aca="false">IF(COUNTIF($A$2:A1255,A1255)&gt;1,"Duplicate ID",IF(C1255="","Missing source",IF(OR(AND(G1255&lt;&gt;"",G1255&lt;B1255),AND(H1255&lt;&gt;"",H1255&lt;B1255),AND(I1255&lt;&gt;"",I1255&lt;H1255),AND(J1255&lt;&gt;"",J1255&lt;I1255)),"Date error","OK")))</f>
        <v>OK</v>
      </c>
    </row>
    <row r="1256" customFormat="false" ht="15" hidden="false" customHeight="false" outlineLevel="0" collapsed="false">
      <c r="A1256" s="24" t="s">
        <v>1334</v>
      </c>
      <c r="B1256" s="31" t="n">
        <v>46237</v>
      </c>
      <c r="C1256" s="24" t="s">
        <v>23</v>
      </c>
      <c r="D1256" s="24" t="s">
        <v>36</v>
      </c>
      <c r="E1256" s="24" t="s">
        <v>89</v>
      </c>
      <c r="F1256" s="24" t="s">
        <v>45</v>
      </c>
      <c r="G1256" s="31" t="n">
        <v>46238</v>
      </c>
      <c r="H1256" s="24"/>
      <c r="I1256" s="24"/>
      <c r="J1256" s="24"/>
      <c r="K1256" s="24" t="n">
        <v>4</v>
      </c>
      <c r="L1256" s="24" t="str">
        <f aca="false">IF(J1256&lt;&gt;"","Enrolled",IF(I1256&lt;&gt;"","Admitted",IF(H1256&lt;&gt;"","Applied",IF(G1256&lt;&gt;"","Contacted","New"))))</f>
        <v>Contacted</v>
      </c>
      <c r="M1256" s="32" t="n">
        <f aca="false">IF(G1256="","",G1256-B1256)</f>
        <v>1</v>
      </c>
      <c r="N1256" s="24" t="str">
        <f aca="false">IF(COUNTIF($A$2:A1256,A1256)&gt;1,"Duplicate ID",IF(C1256="","Missing source",IF(OR(AND(G1256&lt;&gt;"",G1256&lt;B1256),AND(H1256&lt;&gt;"",H1256&lt;B1256),AND(I1256&lt;&gt;"",I1256&lt;H1256),AND(J1256&lt;&gt;"",J1256&lt;I1256)),"Date error","OK")))</f>
        <v>OK</v>
      </c>
    </row>
    <row r="1257" customFormat="false" ht="15" hidden="false" customHeight="false" outlineLevel="0" collapsed="false">
      <c r="A1257" s="24" t="s">
        <v>1335</v>
      </c>
      <c r="B1257" s="31" t="n">
        <v>46237</v>
      </c>
      <c r="C1257" s="24" t="s">
        <v>27</v>
      </c>
      <c r="D1257" s="24" t="s">
        <v>33</v>
      </c>
      <c r="E1257" s="24" t="s">
        <v>94</v>
      </c>
      <c r="F1257" s="24" t="s">
        <v>45</v>
      </c>
      <c r="G1257" s="31" t="n">
        <v>46238</v>
      </c>
      <c r="H1257" s="24"/>
      <c r="I1257" s="24"/>
      <c r="J1257" s="24"/>
      <c r="K1257" s="24" t="n">
        <v>5</v>
      </c>
      <c r="L1257" s="24" t="str">
        <f aca="false">IF(J1257&lt;&gt;"","Enrolled",IF(I1257&lt;&gt;"","Admitted",IF(H1257&lt;&gt;"","Applied",IF(G1257&lt;&gt;"","Contacted","New"))))</f>
        <v>Contacted</v>
      </c>
      <c r="M1257" s="32" t="n">
        <f aca="false">IF(G1257="","",G1257-B1257)</f>
        <v>1</v>
      </c>
      <c r="N1257" s="24" t="str">
        <f aca="false">IF(COUNTIF($A$2:A1257,A1257)&gt;1,"Duplicate ID",IF(C1257="","Missing source",IF(OR(AND(G1257&lt;&gt;"",G1257&lt;B1257),AND(H1257&lt;&gt;"",H1257&lt;B1257),AND(I1257&lt;&gt;"",I1257&lt;H1257),AND(J1257&lt;&gt;"",J1257&lt;I1257)),"Date error","OK")))</f>
        <v>OK</v>
      </c>
    </row>
    <row r="1258" customFormat="false" ht="15" hidden="false" customHeight="false" outlineLevel="0" collapsed="false">
      <c r="A1258" s="24" t="s">
        <v>1336</v>
      </c>
      <c r="B1258" s="31" t="n">
        <v>46237</v>
      </c>
      <c r="C1258" s="24" t="s">
        <v>23</v>
      </c>
      <c r="D1258" s="24" t="s">
        <v>33</v>
      </c>
      <c r="E1258" s="24" t="s">
        <v>94</v>
      </c>
      <c r="F1258" s="24" t="s">
        <v>40</v>
      </c>
      <c r="G1258" s="24"/>
      <c r="H1258" s="24"/>
      <c r="I1258" s="24"/>
      <c r="J1258" s="24"/>
      <c r="K1258" s="24" t="n">
        <v>0</v>
      </c>
      <c r="L1258" s="24" t="str">
        <f aca="false">IF(J1258&lt;&gt;"","Enrolled",IF(I1258&lt;&gt;"","Admitted",IF(H1258&lt;&gt;"","Applied",IF(G1258&lt;&gt;"","Contacted","New"))))</f>
        <v>New</v>
      </c>
      <c r="M1258" s="32" t="str">
        <f aca="false">IF(G1258="","",G1258-B1258)</f>
        <v/>
      </c>
      <c r="N1258" s="24" t="str">
        <f aca="false">IF(COUNTIF($A$2:A1258,A1258)&gt;1,"Duplicate ID",IF(C1258="","Missing source",IF(OR(AND(G1258&lt;&gt;"",G1258&lt;B1258),AND(H1258&lt;&gt;"",H1258&lt;B1258),AND(I1258&lt;&gt;"",I1258&lt;H1258),AND(J1258&lt;&gt;"",J1258&lt;I1258)),"Date error","OK")))</f>
        <v>OK</v>
      </c>
    </row>
    <row r="1259" customFormat="false" ht="15" hidden="false" customHeight="false" outlineLevel="0" collapsed="false">
      <c r="A1259" s="24" t="s">
        <v>1337</v>
      </c>
      <c r="B1259" s="31" t="n">
        <v>46237</v>
      </c>
      <c r="C1259" s="24" t="s">
        <v>25</v>
      </c>
      <c r="D1259" s="24" t="s">
        <v>36</v>
      </c>
      <c r="E1259" s="24" t="s">
        <v>79</v>
      </c>
      <c r="F1259" s="24" t="s">
        <v>41</v>
      </c>
      <c r="G1259" s="31" t="n">
        <v>46237</v>
      </c>
      <c r="H1259" s="31" t="n">
        <v>46257</v>
      </c>
      <c r="I1259" s="24"/>
      <c r="J1259" s="24"/>
      <c r="K1259" s="24" t="n">
        <v>2</v>
      </c>
      <c r="L1259" s="24" t="str">
        <f aca="false">IF(J1259&lt;&gt;"","Enrolled",IF(I1259&lt;&gt;"","Admitted",IF(H1259&lt;&gt;"","Applied",IF(G1259&lt;&gt;"","Contacted","New"))))</f>
        <v>Applied</v>
      </c>
      <c r="M1259" s="32" t="n">
        <f aca="false">IF(G1259="","",G1259-B1259)</f>
        <v>0</v>
      </c>
      <c r="N1259" s="24" t="str">
        <f aca="false">IF(COUNTIF($A$2:A1259,A1259)&gt;1,"Duplicate ID",IF(C1259="","Missing source",IF(OR(AND(G1259&lt;&gt;"",G1259&lt;B1259),AND(H1259&lt;&gt;"",H1259&lt;B1259),AND(I1259&lt;&gt;"",I1259&lt;H1259),AND(J1259&lt;&gt;"",J1259&lt;I1259)),"Date error","OK")))</f>
        <v>OK</v>
      </c>
    </row>
    <row r="1260" customFormat="false" ht="15" hidden="false" customHeight="false" outlineLevel="0" collapsed="false">
      <c r="A1260" s="24" t="s">
        <v>1338</v>
      </c>
      <c r="B1260" s="31" t="n">
        <v>46237</v>
      </c>
      <c r="C1260" s="24" t="s">
        <v>23</v>
      </c>
      <c r="D1260" s="24" t="s">
        <v>34</v>
      </c>
      <c r="E1260" s="24" t="s">
        <v>89</v>
      </c>
      <c r="F1260" s="24" t="s">
        <v>41</v>
      </c>
      <c r="G1260" s="24"/>
      <c r="H1260" s="24"/>
      <c r="I1260" s="24"/>
      <c r="J1260" s="24"/>
      <c r="K1260" s="24" t="n">
        <v>0</v>
      </c>
      <c r="L1260" s="24" t="str">
        <f aca="false">IF(J1260&lt;&gt;"","Enrolled",IF(I1260&lt;&gt;"","Admitted",IF(H1260&lt;&gt;"","Applied",IF(G1260&lt;&gt;"","Contacted","New"))))</f>
        <v>New</v>
      </c>
      <c r="M1260" s="32" t="str">
        <f aca="false">IF(G1260="","",G1260-B1260)</f>
        <v/>
      </c>
      <c r="N1260" s="24" t="str">
        <f aca="false">IF(COUNTIF($A$2:A1260,A1260)&gt;1,"Duplicate ID",IF(C1260="","Missing source",IF(OR(AND(G1260&lt;&gt;"",G1260&lt;B1260),AND(H1260&lt;&gt;"",H1260&lt;B1260),AND(I1260&lt;&gt;"",I1260&lt;H1260),AND(J1260&lt;&gt;"",J1260&lt;I1260)),"Date error","OK")))</f>
        <v>OK</v>
      </c>
    </row>
    <row r="1261" customFormat="false" ht="15" hidden="false" customHeight="false" outlineLevel="0" collapsed="false">
      <c r="A1261" s="24" t="s">
        <v>1339</v>
      </c>
      <c r="B1261" s="31" t="n">
        <v>46237</v>
      </c>
      <c r="C1261" s="24" t="s">
        <v>27</v>
      </c>
      <c r="D1261" s="24" t="s">
        <v>33</v>
      </c>
      <c r="E1261" s="24" t="s">
        <v>94</v>
      </c>
      <c r="F1261" s="24" t="s">
        <v>42</v>
      </c>
      <c r="G1261" s="31" t="n">
        <v>46240</v>
      </c>
      <c r="H1261" s="24"/>
      <c r="I1261" s="24"/>
      <c r="J1261" s="24"/>
      <c r="K1261" s="24" t="n">
        <v>5</v>
      </c>
      <c r="L1261" s="24" t="str">
        <f aca="false">IF(J1261&lt;&gt;"","Enrolled",IF(I1261&lt;&gt;"","Admitted",IF(H1261&lt;&gt;"","Applied",IF(G1261&lt;&gt;"","Contacted","New"))))</f>
        <v>Contacted</v>
      </c>
      <c r="M1261" s="32" t="n">
        <f aca="false">IF(G1261="","",G1261-B1261)</f>
        <v>3</v>
      </c>
      <c r="N1261" s="24" t="str">
        <f aca="false">IF(COUNTIF($A$2:A1261,A1261)&gt;1,"Duplicate ID",IF(C1261="","Missing source",IF(OR(AND(G1261&lt;&gt;"",G1261&lt;B1261),AND(H1261&lt;&gt;"",H1261&lt;B1261),AND(I1261&lt;&gt;"",I1261&lt;H1261),AND(J1261&lt;&gt;"",J1261&lt;I1261)),"Date error","OK")))</f>
        <v>OK</v>
      </c>
    </row>
    <row r="1262" customFormat="false" ht="15" hidden="false" customHeight="false" outlineLevel="0" collapsed="false">
      <c r="A1262" s="24" t="s">
        <v>1340</v>
      </c>
      <c r="B1262" s="31" t="n">
        <v>46237</v>
      </c>
      <c r="C1262" s="24" t="s">
        <v>23</v>
      </c>
      <c r="D1262" s="24" t="s">
        <v>36</v>
      </c>
      <c r="E1262" s="24" t="s">
        <v>79</v>
      </c>
      <c r="F1262" s="24" t="s">
        <v>44</v>
      </c>
      <c r="G1262" s="31" t="n">
        <v>46239</v>
      </c>
      <c r="H1262" s="24"/>
      <c r="I1262" s="24"/>
      <c r="J1262" s="24"/>
      <c r="K1262" s="24" t="n">
        <v>4</v>
      </c>
      <c r="L1262" s="24" t="str">
        <f aca="false">IF(J1262&lt;&gt;"","Enrolled",IF(I1262&lt;&gt;"","Admitted",IF(H1262&lt;&gt;"","Applied",IF(G1262&lt;&gt;"","Contacted","New"))))</f>
        <v>Contacted</v>
      </c>
      <c r="M1262" s="32" t="n">
        <f aca="false">IF(G1262="","",G1262-B1262)</f>
        <v>2</v>
      </c>
      <c r="N1262" s="24" t="str">
        <f aca="false">IF(COUNTIF($A$2:A1262,A1262)&gt;1,"Duplicate ID",IF(C1262="","Missing source",IF(OR(AND(G1262&lt;&gt;"",G1262&lt;B1262),AND(H1262&lt;&gt;"",H1262&lt;B1262),AND(I1262&lt;&gt;"",I1262&lt;H1262),AND(J1262&lt;&gt;"",J1262&lt;I1262)),"Date error","OK")))</f>
        <v>OK</v>
      </c>
    </row>
    <row r="1263" customFormat="false" ht="15" hidden="false" customHeight="false" outlineLevel="0" collapsed="false">
      <c r="A1263" s="24" t="s">
        <v>1341</v>
      </c>
      <c r="B1263" s="31" t="n">
        <v>46237</v>
      </c>
      <c r="C1263" s="24" t="s">
        <v>26</v>
      </c>
      <c r="D1263" s="24" t="s">
        <v>34</v>
      </c>
      <c r="E1263" s="24" t="s">
        <v>94</v>
      </c>
      <c r="F1263" s="24" t="s">
        <v>43</v>
      </c>
      <c r="G1263" s="24"/>
      <c r="H1263" s="24"/>
      <c r="I1263" s="24"/>
      <c r="J1263" s="24"/>
      <c r="K1263" s="24" t="n">
        <v>0</v>
      </c>
      <c r="L1263" s="24" t="str">
        <f aca="false">IF(J1263&lt;&gt;"","Enrolled",IF(I1263&lt;&gt;"","Admitted",IF(H1263&lt;&gt;"","Applied",IF(G1263&lt;&gt;"","Contacted","New"))))</f>
        <v>New</v>
      </c>
      <c r="M1263" s="32" t="str">
        <f aca="false">IF(G1263="","",G1263-B1263)</f>
        <v/>
      </c>
      <c r="N1263" s="24" t="str">
        <f aca="false">IF(COUNTIF($A$2:A1263,A1263)&gt;1,"Duplicate ID",IF(C1263="","Missing source",IF(OR(AND(G1263&lt;&gt;"",G1263&lt;B1263),AND(H1263&lt;&gt;"",H1263&lt;B1263),AND(I1263&lt;&gt;"",I1263&lt;H1263),AND(J1263&lt;&gt;"",J1263&lt;I1263)),"Date error","OK")))</f>
        <v>OK</v>
      </c>
    </row>
    <row r="1264" customFormat="false" ht="15" hidden="false" customHeight="false" outlineLevel="0" collapsed="false">
      <c r="A1264" s="24" t="s">
        <v>1342</v>
      </c>
      <c r="B1264" s="31" t="n">
        <v>46237</v>
      </c>
      <c r="C1264" s="24" t="s">
        <v>26</v>
      </c>
      <c r="D1264" s="24" t="s">
        <v>32</v>
      </c>
      <c r="E1264" s="24" t="s">
        <v>79</v>
      </c>
      <c r="F1264" s="24" t="s">
        <v>44</v>
      </c>
      <c r="G1264" s="31" t="n">
        <v>46239</v>
      </c>
      <c r="H1264" s="24"/>
      <c r="I1264" s="24"/>
      <c r="J1264" s="24"/>
      <c r="K1264" s="24" t="n">
        <v>2</v>
      </c>
      <c r="L1264" s="24" t="str">
        <f aca="false">IF(J1264&lt;&gt;"","Enrolled",IF(I1264&lt;&gt;"","Admitted",IF(H1264&lt;&gt;"","Applied",IF(G1264&lt;&gt;"","Contacted","New"))))</f>
        <v>Contacted</v>
      </c>
      <c r="M1264" s="32" t="n">
        <f aca="false">IF(G1264="","",G1264-B1264)</f>
        <v>2</v>
      </c>
      <c r="N1264" s="24" t="str">
        <f aca="false">IF(COUNTIF($A$2:A1264,A1264)&gt;1,"Duplicate ID",IF(C1264="","Missing source",IF(OR(AND(G1264&lt;&gt;"",G1264&lt;B1264),AND(H1264&lt;&gt;"",H1264&lt;B1264),AND(I1264&lt;&gt;"",I1264&lt;H1264),AND(J1264&lt;&gt;"",J1264&lt;I1264)),"Date error","OK")))</f>
        <v>OK</v>
      </c>
    </row>
    <row r="1265" customFormat="false" ht="15" hidden="false" customHeight="false" outlineLevel="0" collapsed="false">
      <c r="A1265" s="24" t="s">
        <v>1343</v>
      </c>
      <c r="B1265" s="31" t="n">
        <v>46237</v>
      </c>
      <c r="C1265" s="24" t="s">
        <v>23</v>
      </c>
      <c r="D1265" s="24" t="s">
        <v>35</v>
      </c>
      <c r="E1265" s="24" t="s">
        <v>89</v>
      </c>
      <c r="F1265" s="24" t="s">
        <v>41</v>
      </c>
      <c r="G1265" s="31" t="n">
        <v>46237</v>
      </c>
      <c r="H1265" s="24"/>
      <c r="I1265" s="24"/>
      <c r="J1265" s="24"/>
      <c r="K1265" s="24" t="n">
        <v>3</v>
      </c>
      <c r="L1265" s="24" t="str">
        <f aca="false">IF(J1265&lt;&gt;"","Enrolled",IF(I1265&lt;&gt;"","Admitted",IF(H1265&lt;&gt;"","Applied",IF(G1265&lt;&gt;"","Contacted","New"))))</f>
        <v>Contacted</v>
      </c>
      <c r="M1265" s="32" t="n">
        <f aca="false">IF(G1265="","",G1265-B1265)</f>
        <v>0</v>
      </c>
      <c r="N1265" s="24" t="str">
        <f aca="false">IF(COUNTIF($A$2:A1265,A1265)&gt;1,"Duplicate ID",IF(C1265="","Missing source",IF(OR(AND(G1265&lt;&gt;"",G1265&lt;B1265),AND(H1265&lt;&gt;"",H1265&lt;B1265),AND(I1265&lt;&gt;"",I1265&lt;H1265),AND(J1265&lt;&gt;"",J1265&lt;I1265)),"Date error","OK")))</f>
        <v>OK</v>
      </c>
    </row>
    <row r="1266" customFormat="false" ht="15" hidden="false" customHeight="false" outlineLevel="0" collapsed="false">
      <c r="A1266" s="24" t="s">
        <v>1344</v>
      </c>
      <c r="B1266" s="31" t="n">
        <v>46237</v>
      </c>
      <c r="C1266" s="24" t="s">
        <v>23</v>
      </c>
      <c r="D1266" s="24" t="s">
        <v>36</v>
      </c>
      <c r="E1266" s="24" t="s">
        <v>94</v>
      </c>
      <c r="F1266" s="24" t="s">
        <v>41</v>
      </c>
      <c r="G1266" s="31" t="n">
        <v>46237</v>
      </c>
      <c r="H1266" s="24"/>
      <c r="I1266" s="24"/>
      <c r="J1266" s="24"/>
      <c r="K1266" s="24" t="n">
        <v>3</v>
      </c>
      <c r="L1266" s="24" t="str">
        <f aca="false">IF(J1266&lt;&gt;"","Enrolled",IF(I1266&lt;&gt;"","Admitted",IF(H1266&lt;&gt;"","Applied",IF(G1266&lt;&gt;"","Contacted","New"))))</f>
        <v>Contacted</v>
      </c>
      <c r="M1266" s="32" t="n">
        <f aca="false">IF(G1266="","",G1266-B1266)</f>
        <v>0</v>
      </c>
      <c r="N1266" s="24" t="str">
        <f aca="false">IF(COUNTIF($A$2:A1266,A1266)&gt;1,"Duplicate ID",IF(C1266="","Missing source",IF(OR(AND(G1266&lt;&gt;"",G1266&lt;B1266),AND(H1266&lt;&gt;"",H1266&lt;B1266),AND(I1266&lt;&gt;"",I1266&lt;H1266),AND(J1266&lt;&gt;"",J1266&lt;I1266)),"Date error","OK")))</f>
        <v>OK</v>
      </c>
    </row>
    <row r="1267" customFormat="false" ht="15" hidden="false" customHeight="false" outlineLevel="0" collapsed="false">
      <c r="A1267" s="24" t="s">
        <v>1345</v>
      </c>
      <c r="B1267" s="31" t="n">
        <v>46237</v>
      </c>
      <c r="C1267" s="24" t="s">
        <v>25</v>
      </c>
      <c r="D1267" s="24" t="s">
        <v>36</v>
      </c>
      <c r="E1267" s="24" t="s">
        <v>94</v>
      </c>
      <c r="F1267" s="24" t="s">
        <v>41</v>
      </c>
      <c r="G1267" s="31" t="n">
        <v>46238</v>
      </c>
      <c r="H1267" s="24"/>
      <c r="I1267" s="24"/>
      <c r="J1267" s="24"/>
      <c r="K1267" s="24" t="n">
        <v>1</v>
      </c>
      <c r="L1267" s="24" t="str">
        <f aca="false">IF(J1267&lt;&gt;"","Enrolled",IF(I1267&lt;&gt;"","Admitted",IF(H1267&lt;&gt;"","Applied",IF(G1267&lt;&gt;"","Contacted","New"))))</f>
        <v>Contacted</v>
      </c>
      <c r="M1267" s="32" t="n">
        <f aca="false">IF(G1267="","",G1267-B1267)</f>
        <v>1</v>
      </c>
      <c r="N1267" s="24" t="str">
        <f aca="false">IF(COUNTIF($A$2:A1267,A1267)&gt;1,"Duplicate ID",IF(C1267="","Missing source",IF(OR(AND(G1267&lt;&gt;"",G1267&lt;B1267),AND(H1267&lt;&gt;"",H1267&lt;B1267),AND(I1267&lt;&gt;"",I1267&lt;H1267),AND(J1267&lt;&gt;"",J1267&lt;I1267)),"Date error","OK")))</f>
        <v>OK</v>
      </c>
    </row>
    <row r="1268" customFormat="false" ht="15" hidden="false" customHeight="false" outlineLevel="0" collapsed="false">
      <c r="A1268" s="24" t="s">
        <v>1346</v>
      </c>
      <c r="B1268" s="31" t="n">
        <v>46237</v>
      </c>
      <c r="C1268" s="24" t="s">
        <v>25</v>
      </c>
      <c r="D1268" s="24" t="s">
        <v>32</v>
      </c>
      <c r="E1268" s="24" t="s">
        <v>89</v>
      </c>
      <c r="F1268" s="24" t="s">
        <v>42</v>
      </c>
      <c r="G1268" s="31" t="n">
        <v>46239</v>
      </c>
      <c r="H1268" s="31" t="n">
        <v>46248</v>
      </c>
      <c r="I1268" s="24"/>
      <c r="J1268" s="24"/>
      <c r="K1268" s="24" t="n">
        <v>3</v>
      </c>
      <c r="L1268" s="24" t="str">
        <f aca="false">IF(J1268&lt;&gt;"","Enrolled",IF(I1268&lt;&gt;"","Admitted",IF(H1268&lt;&gt;"","Applied",IF(G1268&lt;&gt;"","Contacted","New"))))</f>
        <v>Applied</v>
      </c>
      <c r="M1268" s="32" t="n">
        <f aca="false">IF(G1268="","",G1268-B1268)</f>
        <v>2</v>
      </c>
      <c r="N1268" s="24" t="str">
        <f aca="false">IF(COUNTIF($A$2:A1268,A1268)&gt;1,"Duplicate ID",IF(C1268="","Missing source",IF(OR(AND(G1268&lt;&gt;"",G1268&lt;B1268),AND(H1268&lt;&gt;"",H1268&lt;B1268),AND(I1268&lt;&gt;"",I1268&lt;H1268),AND(J1268&lt;&gt;"",J1268&lt;I1268)),"Date error","OK")))</f>
        <v>OK</v>
      </c>
    </row>
    <row r="1269" customFormat="false" ht="15" hidden="false" customHeight="false" outlineLevel="0" collapsed="false">
      <c r="A1269" s="24" t="s">
        <v>1347</v>
      </c>
      <c r="B1269" s="31" t="n">
        <v>46238</v>
      </c>
      <c r="C1269" s="24" t="s">
        <v>23</v>
      </c>
      <c r="D1269" s="24" t="s">
        <v>35</v>
      </c>
      <c r="E1269" s="24" t="s">
        <v>94</v>
      </c>
      <c r="F1269" s="24" t="s">
        <v>42</v>
      </c>
      <c r="G1269" s="31" t="n">
        <v>46239</v>
      </c>
      <c r="H1269" s="24"/>
      <c r="I1269" s="24"/>
      <c r="J1269" s="24"/>
      <c r="K1269" s="24" t="n">
        <v>1</v>
      </c>
      <c r="L1269" s="24" t="str">
        <f aca="false">IF(J1269&lt;&gt;"","Enrolled",IF(I1269&lt;&gt;"","Admitted",IF(H1269&lt;&gt;"","Applied",IF(G1269&lt;&gt;"","Contacted","New"))))</f>
        <v>Contacted</v>
      </c>
      <c r="M1269" s="32" t="n">
        <f aca="false">IF(G1269="","",G1269-B1269)</f>
        <v>1</v>
      </c>
      <c r="N1269" s="24" t="str">
        <f aca="false">IF(COUNTIF($A$2:A1269,A1269)&gt;1,"Duplicate ID",IF(C1269="","Missing source",IF(OR(AND(G1269&lt;&gt;"",G1269&lt;B1269),AND(H1269&lt;&gt;"",H1269&lt;B1269),AND(I1269&lt;&gt;"",I1269&lt;H1269),AND(J1269&lt;&gt;"",J1269&lt;I1269)),"Date error","OK")))</f>
        <v>OK</v>
      </c>
    </row>
    <row r="1270" customFormat="false" ht="15" hidden="false" customHeight="false" outlineLevel="0" collapsed="false">
      <c r="A1270" s="24" t="s">
        <v>1348</v>
      </c>
      <c r="B1270" s="31" t="n">
        <v>46238</v>
      </c>
      <c r="C1270" s="24" t="s">
        <v>26</v>
      </c>
      <c r="D1270" s="24" t="s">
        <v>36</v>
      </c>
      <c r="E1270" s="24" t="s">
        <v>79</v>
      </c>
      <c r="F1270" s="24" t="s">
        <v>41</v>
      </c>
      <c r="G1270" s="24"/>
      <c r="H1270" s="24"/>
      <c r="I1270" s="24"/>
      <c r="J1270" s="24"/>
      <c r="K1270" s="24" t="n">
        <v>0</v>
      </c>
      <c r="L1270" s="24" t="str">
        <f aca="false">IF(J1270&lt;&gt;"","Enrolled",IF(I1270&lt;&gt;"","Admitted",IF(H1270&lt;&gt;"","Applied",IF(G1270&lt;&gt;"","Contacted","New"))))</f>
        <v>New</v>
      </c>
      <c r="M1270" s="32" t="str">
        <f aca="false">IF(G1270="","",G1270-B1270)</f>
        <v/>
      </c>
      <c r="N1270" s="24" t="str">
        <f aca="false">IF(COUNTIF($A$2:A1270,A1270)&gt;1,"Duplicate ID",IF(C1270="","Missing source",IF(OR(AND(G1270&lt;&gt;"",G1270&lt;B1270),AND(H1270&lt;&gt;"",H1270&lt;B1270),AND(I1270&lt;&gt;"",I1270&lt;H1270),AND(J1270&lt;&gt;"",J1270&lt;I1270)),"Date error","OK")))</f>
        <v>OK</v>
      </c>
    </row>
    <row r="1271" customFormat="false" ht="15" hidden="false" customHeight="false" outlineLevel="0" collapsed="false">
      <c r="A1271" s="24" t="s">
        <v>1349</v>
      </c>
      <c r="B1271" s="31" t="n">
        <v>46238</v>
      </c>
      <c r="C1271" s="24" t="s">
        <v>27</v>
      </c>
      <c r="D1271" s="24" t="s">
        <v>36</v>
      </c>
      <c r="E1271" s="24" t="s">
        <v>79</v>
      </c>
      <c r="F1271" s="24" t="s">
        <v>41</v>
      </c>
      <c r="G1271" s="31" t="n">
        <v>46238</v>
      </c>
      <c r="H1271" s="24"/>
      <c r="I1271" s="24"/>
      <c r="J1271" s="24"/>
      <c r="K1271" s="24" t="n">
        <v>2</v>
      </c>
      <c r="L1271" s="24" t="str">
        <f aca="false">IF(J1271&lt;&gt;"","Enrolled",IF(I1271&lt;&gt;"","Admitted",IF(H1271&lt;&gt;"","Applied",IF(G1271&lt;&gt;"","Contacted","New"))))</f>
        <v>Contacted</v>
      </c>
      <c r="M1271" s="32" t="n">
        <f aca="false">IF(G1271="","",G1271-B1271)</f>
        <v>0</v>
      </c>
      <c r="N1271" s="24" t="str">
        <f aca="false">IF(COUNTIF($A$2:A1271,A1271)&gt;1,"Duplicate ID",IF(C1271="","Missing source",IF(OR(AND(G1271&lt;&gt;"",G1271&lt;B1271),AND(H1271&lt;&gt;"",H1271&lt;B1271),AND(I1271&lt;&gt;"",I1271&lt;H1271),AND(J1271&lt;&gt;"",J1271&lt;I1271)),"Date error","OK")))</f>
        <v>OK</v>
      </c>
    </row>
    <row r="1272" customFormat="false" ht="15" hidden="false" customHeight="false" outlineLevel="0" collapsed="false">
      <c r="A1272" s="24" t="s">
        <v>1350</v>
      </c>
      <c r="B1272" s="31" t="n">
        <v>46238</v>
      </c>
      <c r="C1272" s="24" t="s">
        <v>22</v>
      </c>
      <c r="D1272" s="24" t="s">
        <v>36</v>
      </c>
      <c r="E1272" s="24" t="s">
        <v>89</v>
      </c>
      <c r="F1272" s="24" t="s">
        <v>42</v>
      </c>
      <c r="G1272" s="31" t="n">
        <v>46239</v>
      </c>
      <c r="H1272" s="24"/>
      <c r="I1272" s="24"/>
      <c r="J1272" s="24"/>
      <c r="K1272" s="24" t="n">
        <v>3</v>
      </c>
      <c r="L1272" s="24" t="str">
        <f aca="false">IF(J1272&lt;&gt;"","Enrolled",IF(I1272&lt;&gt;"","Admitted",IF(H1272&lt;&gt;"","Applied",IF(G1272&lt;&gt;"","Contacted","New"))))</f>
        <v>Contacted</v>
      </c>
      <c r="M1272" s="32" t="n">
        <f aca="false">IF(G1272="","",G1272-B1272)</f>
        <v>1</v>
      </c>
      <c r="N1272" s="24" t="str">
        <f aca="false">IF(COUNTIF($A$2:A1272,A1272)&gt;1,"Duplicate ID",IF(C1272="","Missing source",IF(OR(AND(G1272&lt;&gt;"",G1272&lt;B1272),AND(H1272&lt;&gt;"",H1272&lt;B1272),AND(I1272&lt;&gt;"",I1272&lt;H1272),AND(J1272&lt;&gt;"",J1272&lt;I1272)),"Date error","OK")))</f>
        <v>OK</v>
      </c>
    </row>
    <row r="1273" customFormat="false" ht="15" hidden="false" customHeight="false" outlineLevel="0" collapsed="false">
      <c r="A1273" s="24" t="s">
        <v>1351</v>
      </c>
      <c r="B1273" s="31" t="n">
        <v>46238</v>
      </c>
      <c r="C1273" s="24" t="s">
        <v>25</v>
      </c>
      <c r="D1273" s="24" t="s">
        <v>36</v>
      </c>
      <c r="E1273" s="24" t="s">
        <v>79</v>
      </c>
      <c r="F1273" s="24" t="s">
        <v>40</v>
      </c>
      <c r="G1273" s="31" t="n">
        <v>46239</v>
      </c>
      <c r="H1273" s="24"/>
      <c r="I1273" s="24"/>
      <c r="J1273" s="24"/>
      <c r="K1273" s="24" t="n">
        <v>1</v>
      </c>
      <c r="L1273" s="24" t="str">
        <f aca="false">IF(J1273&lt;&gt;"","Enrolled",IF(I1273&lt;&gt;"","Admitted",IF(H1273&lt;&gt;"","Applied",IF(G1273&lt;&gt;"","Contacted","New"))))</f>
        <v>Contacted</v>
      </c>
      <c r="M1273" s="32" t="n">
        <f aca="false">IF(G1273="","",G1273-B1273)</f>
        <v>1</v>
      </c>
      <c r="N1273" s="24" t="str">
        <f aca="false">IF(COUNTIF($A$2:A1273,A1273)&gt;1,"Duplicate ID",IF(C1273="","Missing source",IF(OR(AND(G1273&lt;&gt;"",G1273&lt;B1273),AND(H1273&lt;&gt;"",H1273&lt;B1273),AND(I1273&lt;&gt;"",I1273&lt;H1273),AND(J1273&lt;&gt;"",J1273&lt;I1273)),"Date error","OK")))</f>
        <v>OK</v>
      </c>
    </row>
    <row r="1274" customFormat="false" ht="15" hidden="false" customHeight="false" outlineLevel="0" collapsed="false">
      <c r="A1274" s="24" t="s">
        <v>1352</v>
      </c>
      <c r="B1274" s="31" t="n">
        <v>46238</v>
      </c>
      <c r="C1274" s="24" t="s">
        <v>25</v>
      </c>
      <c r="D1274" s="24" t="s">
        <v>34</v>
      </c>
      <c r="E1274" s="24" t="s">
        <v>89</v>
      </c>
      <c r="F1274" s="24" t="s">
        <v>43</v>
      </c>
      <c r="G1274" s="31" t="n">
        <v>46238</v>
      </c>
      <c r="H1274" s="24"/>
      <c r="I1274" s="24"/>
      <c r="J1274" s="24"/>
      <c r="K1274" s="24" t="n">
        <v>3</v>
      </c>
      <c r="L1274" s="24" t="str">
        <f aca="false">IF(J1274&lt;&gt;"","Enrolled",IF(I1274&lt;&gt;"","Admitted",IF(H1274&lt;&gt;"","Applied",IF(G1274&lt;&gt;"","Contacted","New"))))</f>
        <v>Contacted</v>
      </c>
      <c r="M1274" s="32" t="n">
        <f aca="false">IF(G1274="","",G1274-B1274)</f>
        <v>0</v>
      </c>
      <c r="N1274" s="24" t="str">
        <f aca="false">IF(COUNTIF($A$2:A1274,A1274)&gt;1,"Duplicate ID",IF(C1274="","Missing source",IF(OR(AND(G1274&lt;&gt;"",G1274&lt;B1274),AND(H1274&lt;&gt;"",H1274&lt;B1274),AND(I1274&lt;&gt;"",I1274&lt;H1274),AND(J1274&lt;&gt;"",J1274&lt;I1274)),"Date error","OK")))</f>
        <v>OK</v>
      </c>
    </row>
    <row r="1275" customFormat="false" ht="15" hidden="false" customHeight="false" outlineLevel="0" collapsed="false">
      <c r="A1275" s="24" t="s">
        <v>1353</v>
      </c>
      <c r="B1275" s="31" t="n">
        <v>46238</v>
      </c>
      <c r="C1275" s="24" t="s">
        <v>23</v>
      </c>
      <c r="D1275" s="24" t="s">
        <v>32</v>
      </c>
      <c r="E1275" s="24" t="s">
        <v>89</v>
      </c>
      <c r="F1275" s="24" t="s">
        <v>40</v>
      </c>
      <c r="G1275" s="31" t="n">
        <v>46240</v>
      </c>
      <c r="H1275" s="24"/>
      <c r="I1275" s="24"/>
      <c r="J1275" s="24"/>
      <c r="K1275" s="24" t="n">
        <v>3</v>
      </c>
      <c r="L1275" s="24" t="str">
        <f aca="false">IF(J1275&lt;&gt;"","Enrolled",IF(I1275&lt;&gt;"","Admitted",IF(H1275&lt;&gt;"","Applied",IF(G1275&lt;&gt;"","Contacted","New"))))</f>
        <v>Contacted</v>
      </c>
      <c r="M1275" s="32" t="n">
        <f aca="false">IF(G1275="","",G1275-B1275)</f>
        <v>2</v>
      </c>
      <c r="N1275" s="24" t="str">
        <f aca="false">IF(COUNTIF($A$2:A1275,A1275)&gt;1,"Duplicate ID",IF(C1275="","Missing source",IF(OR(AND(G1275&lt;&gt;"",G1275&lt;B1275),AND(H1275&lt;&gt;"",H1275&lt;B1275),AND(I1275&lt;&gt;"",I1275&lt;H1275),AND(J1275&lt;&gt;"",J1275&lt;I1275)),"Date error","OK")))</f>
        <v>OK</v>
      </c>
    </row>
    <row r="1276" customFormat="false" ht="15" hidden="false" customHeight="false" outlineLevel="0" collapsed="false">
      <c r="A1276" s="24" t="s">
        <v>1354</v>
      </c>
      <c r="B1276" s="31" t="n">
        <v>46238</v>
      </c>
      <c r="C1276" s="24" t="s">
        <v>27</v>
      </c>
      <c r="D1276" s="24" t="s">
        <v>34</v>
      </c>
      <c r="E1276" s="24" t="s">
        <v>79</v>
      </c>
      <c r="F1276" s="24" t="s">
        <v>45</v>
      </c>
      <c r="G1276" s="31" t="n">
        <v>46241</v>
      </c>
      <c r="H1276" s="24"/>
      <c r="I1276" s="24"/>
      <c r="J1276" s="24"/>
      <c r="K1276" s="24" t="n">
        <v>2</v>
      </c>
      <c r="L1276" s="24" t="str">
        <f aca="false">IF(J1276&lt;&gt;"","Enrolled",IF(I1276&lt;&gt;"","Admitted",IF(H1276&lt;&gt;"","Applied",IF(G1276&lt;&gt;"","Contacted","New"))))</f>
        <v>Contacted</v>
      </c>
      <c r="M1276" s="32" t="n">
        <f aca="false">IF(G1276="","",G1276-B1276)</f>
        <v>3</v>
      </c>
      <c r="N1276" s="24" t="str">
        <f aca="false">IF(COUNTIF($A$2:A1276,A1276)&gt;1,"Duplicate ID",IF(C1276="","Missing source",IF(OR(AND(G1276&lt;&gt;"",G1276&lt;B1276),AND(H1276&lt;&gt;"",H1276&lt;B1276),AND(I1276&lt;&gt;"",I1276&lt;H1276),AND(J1276&lt;&gt;"",J1276&lt;I1276)),"Date error","OK")))</f>
        <v>OK</v>
      </c>
    </row>
    <row r="1277" customFormat="false" ht="15" hidden="false" customHeight="false" outlineLevel="0" collapsed="false">
      <c r="A1277" s="24" t="s">
        <v>1355</v>
      </c>
      <c r="B1277" s="31" t="n">
        <v>46238</v>
      </c>
      <c r="C1277" s="24" t="s">
        <v>24</v>
      </c>
      <c r="D1277" s="24" t="s">
        <v>33</v>
      </c>
      <c r="E1277" s="24" t="s">
        <v>94</v>
      </c>
      <c r="F1277" s="24" t="s">
        <v>43</v>
      </c>
      <c r="G1277" s="31" t="n">
        <v>46239</v>
      </c>
      <c r="H1277" s="24"/>
      <c r="I1277" s="24"/>
      <c r="J1277" s="24"/>
      <c r="K1277" s="24" t="n">
        <v>1</v>
      </c>
      <c r="L1277" s="24" t="str">
        <f aca="false">IF(J1277&lt;&gt;"","Enrolled",IF(I1277&lt;&gt;"","Admitted",IF(H1277&lt;&gt;"","Applied",IF(G1277&lt;&gt;"","Contacted","New"))))</f>
        <v>Contacted</v>
      </c>
      <c r="M1277" s="32" t="n">
        <f aca="false">IF(G1277="","",G1277-B1277)</f>
        <v>1</v>
      </c>
      <c r="N1277" s="24" t="str">
        <f aca="false">IF(COUNTIF($A$2:A1277,A1277)&gt;1,"Duplicate ID",IF(C1277="","Missing source",IF(OR(AND(G1277&lt;&gt;"",G1277&lt;B1277),AND(H1277&lt;&gt;"",H1277&lt;B1277),AND(I1277&lt;&gt;"",I1277&lt;H1277),AND(J1277&lt;&gt;"",J1277&lt;I1277)),"Date error","OK")))</f>
        <v>OK</v>
      </c>
    </row>
    <row r="1278" customFormat="false" ht="15" hidden="false" customHeight="false" outlineLevel="0" collapsed="false">
      <c r="A1278" s="24" t="s">
        <v>1356</v>
      </c>
      <c r="B1278" s="31" t="n">
        <v>46238</v>
      </c>
      <c r="C1278" s="24" t="s">
        <v>26</v>
      </c>
      <c r="D1278" s="24" t="s">
        <v>34</v>
      </c>
      <c r="E1278" s="24" t="s">
        <v>81</v>
      </c>
      <c r="F1278" s="24" t="s">
        <v>42</v>
      </c>
      <c r="G1278" s="31" t="n">
        <v>46239</v>
      </c>
      <c r="H1278" s="31" t="n">
        <v>46260</v>
      </c>
      <c r="I1278" s="24"/>
      <c r="J1278" s="24"/>
      <c r="K1278" s="24" t="n">
        <v>1</v>
      </c>
      <c r="L1278" s="24" t="str">
        <f aca="false">IF(J1278&lt;&gt;"","Enrolled",IF(I1278&lt;&gt;"","Admitted",IF(H1278&lt;&gt;"","Applied",IF(G1278&lt;&gt;"","Contacted","New"))))</f>
        <v>Applied</v>
      </c>
      <c r="M1278" s="32" t="n">
        <f aca="false">IF(G1278="","",G1278-B1278)</f>
        <v>1</v>
      </c>
      <c r="N1278" s="24" t="str">
        <f aca="false">IF(COUNTIF($A$2:A1278,A1278)&gt;1,"Duplicate ID",IF(C1278="","Missing source",IF(OR(AND(G1278&lt;&gt;"",G1278&lt;B1278),AND(H1278&lt;&gt;"",H1278&lt;B1278),AND(I1278&lt;&gt;"",I1278&lt;H1278),AND(J1278&lt;&gt;"",J1278&lt;I1278)),"Date error","OK")))</f>
        <v>OK</v>
      </c>
    </row>
    <row r="1279" customFormat="false" ht="15" hidden="false" customHeight="false" outlineLevel="0" collapsed="false">
      <c r="A1279" s="24" t="s">
        <v>1357</v>
      </c>
      <c r="B1279" s="31" t="n">
        <v>46238</v>
      </c>
      <c r="C1279" s="24" t="s">
        <v>26</v>
      </c>
      <c r="D1279" s="24" t="s">
        <v>34</v>
      </c>
      <c r="E1279" s="24" t="s">
        <v>94</v>
      </c>
      <c r="F1279" s="24" t="s">
        <v>41</v>
      </c>
      <c r="G1279" s="24"/>
      <c r="H1279" s="24"/>
      <c r="I1279" s="24"/>
      <c r="J1279" s="24"/>
      <c r="K1279" s="24" t="n">
        <v>0</v>
      </c>
      <c r="L1279" s="24" t="str">
        <f aca="false">IF(J1279&lt;&gt;"","Enrolled",IF(I1279&lt;&gt;"","Admitted",IF(H1279&lt;&gt;"","Applied",IF(G1279&lt;&gt;"","Contacted","New"))))</f>
        <v>New</v>
      </c>
      <c r="M1279" s="32" t="str">
        <f aca="false">IF(G1279="","",G1279-B1279)</f>
        <v/>
      </c>
      <c r="N1279" s="24" t="str">
        <f aca="false">IF(COUNTIF($A$2:A1279,A1279)&gt;1,"Duplicate ID",IF(C1279="","Missing source",IF(OR(AND(G1279&lt;&gt;"",G1279&lt;B1279),AND(H1279&lt;&gt;"",H1279&lt;B1279),AND(I1279&lt;&gt;"",I1279&lt;H1279),AND(J1279&lt;&gt;"",J1279&lt;I1279)),"Date error","OK")))</f>
        <v>OK</v>
      </c>
    </row>
    <row r="1280" customFormat="false" ht="15" hidden="false" customHeight="false" outlineLevel="0" collapsed="false">
      <c r="A1280" s="24" t="s">
        <v>1358</v>
      </c>
      <c r="B1280" s="31" t="n">
        <v>46238</v>
      </c>
      <c r="C1280" s="24" t="s">
        <v>21</v>
      </c>
      <c r="D1280" s="24" t="s">
        <v>35</v>
      </c>
      <c r="E1280" s="24" t="s">
        <v>79</v>
      </c>
      <c r="F1280" s="24" t="s">
        <v>42</v>
      </c>
      <c r="G1280" s="31" t="n">
        <v>46238</v>
      </c>
      <c r="H1280" s="24"/>
      <c r="I1280" s="24"/>
      <c r="J1280" s="24"/>
      <c r="K1280" s="24" t="n">
        <v>4</v>
      </c>
      <c r="L1280" s="24" t="str">
        <f aca="false">IF(J1280&lt;&gt;"","Enrolled",IF(I1280&lt;&gt;"","Admitted",IF(H1280&lt;&gt;"","Applied",IF(G1280&lt;&gt;"","Contacted","New"))))</f>
        <v>Contacted</v>
      </c>
      <c r="M1280" s="32" t="n">
        <f aca="false">IF(G1280="","",G1280-B1280)</f>
        <v>0</v>
      </c>
      <c r="N1280" s="24" t="str">
        <f aca="false">IF(COUNTIF($A$2:A1280,A1280)&gt;1,"Duplicate ID",IF(C1280="","Missing source",IF(OR(AND(G1280&lt;&gt;"",G1280&lt;B1280),AND(H1280&lt;&gt;"",H1280&lt;B1280),AND(I1280&lt;&gt;"",I1280&lt;H1280),AND(J1280&lt;&gt;"",J1280&lt;I1280)),"Date error","OK")))</f>
        <v>OK</v>
      </c>
    </row>
    <row r="1281" customFormat="false" ht="15" hidden="false" customHeight="false" outlineLevel="0" collapsed="false">
      <c r="A1281" s="24" t="s">
        <v>1359</v>
      </c>
      <c r="B1281" s="31" t="n">
        <v>46238</v>
      </c>
      <c r="C1281" s="24" t="s">
        <v>23</v>
      </c>
      <c r="D1281" s="24" t="s">
        <v>35</v>
      </c>
      <c r="E1281" s="24" t="s">
        <v>79</v>
      </c>
      <c r="F1281" s="24" t="s">
        <v>42</v>
      </c>
      <c r="G1281" s="31" t="n">
        <v>46240</v>
      </c>
      <c r="H1281" s="24"/>
      <c r="I1281" s="24"/>
      <c r="J1281" s="24"/>
      <c r="K1281" s="24" t="n">
        <v>5</v>
      </c>
      <c r="L1281" s="24" t="str">
        <f aca="false">IF(J1281&lt;&gt;"","Enrolled",IF(I1281&lt;&gt;"","Admitted",IF(H1281&lt;&gt;"","Applied",IF(G1281&lt;&gt;"","Contacted","New"))))</f>
        <v>Contacted</v>
      </c>
      <c r="M1281" s="32" t="n">
        <f aca="false">IF(G1281="","",G1281-B1281)</f>
        <v>2</v>
      </c>
      <c r="N1281" s="24" t="str">
        <f aca="false">IF(COUNTIF($A$2:A1281,A1281)&gt;1,"Duplicate ID",IF(C1281="","Missing source",IF(OR(AND(G1281&lt;&gt;"",G1281&lt;B1281),AND(H1281&lt;&gt;"",H1281&lt;B1281),AND(I1281&lt;&gt;"",I1281&lt;H1281),AND(J1281&lt;&gt;"",J1281&lt;I1281)),"Date error","OK")))</f>
        <v>OK</v>
      </c>
    </row>
    <row r="1282" customFormat="false" ht="15" hidden="false" customHeight="false" outlineLevel="0" collapsed="false">
      <c r="A1282" s="24" t="s">
        <v>1360</v>
      </c>
      <c r="B1282" s="31" t="n">
        <v>46238</v>
      </c>
      <c r="C1282" s="24" t="s">
        <v>26</v>
      </c>
      <c r="D1282" s="24" t="s">
        <v>35</v>
      </c>
      <c r="E1282" s="24" t="s">
        <v>94</v>
      </c>
      <c r="F1282" s="24" t="s">
        <v>42</v>
      </c>
      <c r="G1282" s="31" t="n">
        <v>46238</v>
      </c>
      <c r="H1282" s="31" t="n">
        <v>46263</v>
      </c>
      <c r="I1282" s="24"/>
      <c r="J1282" s="24"/>
      <c r="K1282" s="24" t="n">
        <v>1</v>
      </c>
      <c r="L1282" s="24" t="str">
        <f aca="false">IF(J1282&lt;&gt;"","Enrolled",IF(I1282&lt;&gt;"","Admitted",IF(H1282&lt;&gt;"","Applied",IF(G1282&lt;&gt;"","Contacted","New"))))</f>
        <v>Applied</v>
      </c>
      <c r="M1282" s="32" t="n">
        <f aca="false">IF(G1282="","",G1282-B1282)</f>
        <v>0</v>
      </c>
      <c r="N1282" s="24" t="str">
        <f aca="false">IF(COUNTIF($A$2:A1282,A1282)&gt;1,"Duplicate ID",IF(C1282="","Missing source",IF(OR(AND(G1282&lt;&gt;"",G1282&lt;B1282),AND(H1282&lt;&gt;"",H1282&lt;B1282),AND(I1282&lt;&gt;"",I1282&lt;H1282),AND(J1282&lt;&gt;"",J1282&lt;I1282)),"Date error","OK")))</f>
        <v>OK</v>
      </c>
    </row>
    <row r="1283" customFormat="false" ht="15" hidden="false" customHeight="false" outlineLevel="0" collapsed="false">
      <c r="A1283" s="24" t="s">
        <v>1361</v>
      </c>
      <c r="B1283" s="31" t="n">
        <v>46238</v>
      </c>
      <c r="C1283" s="24" t="s">
        <v>23</v>
      </c>
      <c r="D1283" s="24" t="s">
        <v>36</v>
      </c>
      <c r="E1283" s="24" t="s">
        <v>89</v>
      </c>
      <c r="F1283" s="24" t="s">
        <v>44</v>
      </c>
      <c r="G1283" s="24"/>
      <c r="H1283" s="24"/>
      <c r="I1283" s="24"/>
      <c r="J1283" s="24"/>
      <c r="K1283" s="24" t="n">
        <v>0</v>
      </c>
      <c r="L1283" s="24" t="str">
        <f aca="false">IF(J1283&lt;&gt;"","Enrolled",IF(I1283&lt;&gt;"","Admitted",IF(H1283&lt;&gt;"","Applied",IF(G1283&lt;&gt;"","Contacted","New"))))</f>
        <v>New</v>
      </c>
      <c r="M1283" s="32" t="str">
        <f aca="false">IF(G1283="","",G1283-B1283)</f>
        <v/>
      </c>
      <c r="N1283" s="24" t="str">
        <f aca="false">IF(COUNTIF($A$2:A1283,A1283)&gt;1,"Duplicate ID",IF(C1283="","Missing source",IF(OR(AND(G1283&lt;&gt;"",G1283&lt;B1283),AND(H1283&lt;&gt;"",H1283&lt;B1283),AND(I1283&lt;&gt;"",I1283&lt;H1283),AND(J1283&lt;&gt;"",J1283&lt;I1283)),"Date error","OK")))</f>
        <v>OK</v>
      </c>
    </row>
    <row r="1284" customFormat="false" ht="15" hidden="false" customHeight="false" outlineLevel="0" collapsed="false">
      <c r="A1284" s="24" t="s">
        <v>1362</v>
      </c>
      <c r="B1284" s="31" t="n">
        <v>46239</v>
      </c>
      <c r="C1284" s="24" t="s">
        <v>21</v>
      </c>
      <c r="D1284" s="24" t="s">
        <v>32</v>
      </c>
      <c r="E1284" s="24" t="s">
        <v>84</v>
      </c>
      <c r="F1284" s="24" t="s">
        <v>42</v>
      </c>
      <c r="G1284" s="31" t="n">
        <v>46241</v>
      </c>
      <c r="H1284" s="31" t="n">
        <v>46247</v>
      </c>
      <c r="I1284" s="31" t="n">
        <v>46262</v>
      </c>
      <c r="J1284" s="24"/>
      <c r="K1284" s="24" t="n">
        <v>4</v>
      </c>
      <c r="L1284" s="24" t="str">
        <f aca="false">IF(J1284&lt;&gt;"","Enrolled",IF(I1284&lt;&gt;"","Admitted",IF(H1284&lt;&gt;"","Applied",IF(G1284&lt;&gt;"","Contacted","New"))))</f>
        <v>Admitted</v>
      </c>
      <c r="M1284" s="32" t="n">
        <f aca="false">IF(G1284="","",G1284-B1284)</f>
        <v>2</v>
      </c>
      <c r="N1284" s="24" t="str">
        <f aca="false">IF(COUNTIF($A$2:A1284,A1284)&gt;1,"Duplicate ID",IF(C1284="","Missing source",IF(OR(AND(G1284&lt;&gt;"",G1284&lt;B1284),AND(H1284&lt;&gt;"",H1284&lt;B1284),AND(I1284&lt;&gt;"",I1284&lt;H1284),AND(J1284&lt;&gt;"",J1284&lt;I1284)),"Date error","OK")))</f>
        <v>OK</v>
      </c>
    </row>
    <row r="1285" customFormat="false" ht="15" hidden="false" customHeight="false" outlineLevel="0" collapsed="false">
      <c r="A1285" s="24" t="s">
        <v>1363</v>
      </c>
      <c r="B1285" s="31" t="n">
        <v>46239</v>
      </c>
      <c r="C1285" s="24" t="s">
        <v>25</v>
      </c>
      <c r="D1285" s="24" t="s">
        <v>33</v>
      </c>
      <c r="E1285" s="24" t="s">
        <v>89</v>
      </c>
      <c r="F1285" s="24" t="s">
        <v>42</v>
      </c>
      <c r="G1285" s="31" t="n">
        <v>46242</v>
      </c>
      <c r="H1285" s="24"/>
      <c r="I1285" s="24"/>
      <c r="J1285" s="24"/>
      <c r="K1285" s="24" t="n">
        <v>1</v>
      </c>
      <c r="L1285" s="24" t="str">
        <f aca="false">IF(J1285&lt;&gt;"","Enrolled",IF(I1285&lt;&gt;"","Admitted",IF(H1285&lt;&gt;"","Applied",IF(G1285&lt;&gt;"","Contacted","New"))))</f>
        <v>Contacted</v>
      </c>
      <c r="M1285" s="32" t="n">
        <f aca="false">IF(G1285="","",G1285-B1285)</f>
        <v>3</v>
      </c>
      <c r="N1285" s="24" t="str">
        <f aca="false">IF(COUNTIF($A$2:A1285,A1285)&gt;1,"Duplicate ID",IF(C1285="","Missing source",IF(OR(AND(G1285&lt;&gt;"",G1285&lt;B1285),AND(H1285&lt;&gt;"",H1285&lt;B1285),AND(I1285&lt;&gt;"",I1285&lt;H1285),AND(J1285&lt;&gt;"",J1285&lt;I1285)),"Date error","OK")))</f>
        <v>OK</v>
      </c>
    </row>
    <row r="1286" customFormat="false" ht="15" hidden="false" customHeight="false" outlineLevel="0" collapsed="false">
      <c r="A1286" s="24" t="s">
        <v>1364</v>
      </c>
      <c r="B1286" s="31" t="n">
        <v>46239</v>
      </c>
      <c r="C1286" s="24" t="s">
        <v>25</v>
      </c>
      <c r="D1286" s="24" t="s">
        <v>36</v>
      </c>
      <c r="E1286" s="24" t="s">
        <v>94</v>
      </c>
      <c r="F1286" s="24" t="s">
        <v>42</v>
      </c>
      <c r="G1286" s="31" t="n">
        <v>46240</v>
      </c>
      <c r="H1286" s="24"/>
      <c r="I1286" s="24"/>
      <c r="J1286" s="24"/>
      <c r="K1286" s="24" t="n">
        <v>3</v>
      </c>
      <c r="L1286" s="24" t="str">
        <f aca="false">IF(J1286&lt;&gt;"","Enrolled",IF(I1286&lt;&gt;"","Admitted",IF(H1286&lt;&gt;"","Applied",IF(G1286&lt;&gt;"","Contacted","New"))))</f>
        <v>Contacted</v>
      </c>
      <c r="M1286" s="32" t="n">
        <f aca="false">IF(G1286="","",G1286-B1286)</f>
        <v>1</v>
      </c>
      <c r="N1286" s="24" t="str">
        <f aca="false">IF(COUNTIF($A$2:A1286,A1286)&gt;1,"Duplicate ID",IF(C1286="","Missing source",IF(OR(AND(G1286&lt;&gt;"",G1286&lt;B1286),AND(H1286&lt;&gt;"",H1286&lt;B1286),AND(I1286&lt;&gt;"",I1286&lt;H1286),AND(J1286&lt;&gt;"",J1286&lt;I1286)),"Date error","OK")))</f>
        <v>OK</v>
      </c>
    </row>
    <row r="1287" customFormat="false" ht="15" hidden="false" customHeight="false" outlineLevel="0" collapsed="false">
      <c r="A1287" s="24" t="s">
        <v>1365</v>
      </c>
      <c r="B1287" s="31" t="n">
        <v>46239</v>
      </c>
      <c r="C1287" s="24" t="s">
        <v>27</v>
      </c>
      <c r="D1287" s="24" t="s">
        <v>36</v>
      </c>
      <c r="E1287" s="24" t="s">
        <v>89</v>
      </c>
      <c r="F1287" s="24" t="s">
        <v>43</v>
      </c>
      <c r="G1287" s="31" t="n">
        <v>46241</v>
      </c>
      <c r="H1287" s="24"/>
      <c r="I1287" s="24"/>
      <c r="J1287" s="24"/>
      <c r="K1287" s="24" t="n">
        <v>0</v>
      </c>
      <c r="L1287" s="24" t="str">
        <f aca="false">IF(J1287&lt;&gt;"","Enrolled",IF(I1287&lt;&gt;"","Admitted",IF(H1287&lt;&gt;"","Applied",IF(G1287&lt;&gt;"","Contacted","New"))))</f>
        <v>Contacted</v>
      </c>
      <c r="M1287" s="32" t="n">
        <f aca="false">IF(G1287="","",G1287-B1287)</f>
        <v>2</v>
      </c>
      <c r="N1287" s="24" t="str">
        <f aca="false">IF(COUNTIF($A$2:A1287,A1287)&gt;1,"Duplicate ID",IF(C1287="","Missing source",IF(OR(AND(G1287&lt;&gt;"",G1287&lt;B1287),AND(H1287&lt;&gt;"",H1287&lt;B1287),AND(I1287&lt;&gt;"",I1287&lt;H1287),AND(J1287&lt;&gt;"",J1287&lt;I1287)),"Date error","OK")))</f>
        <v>OK</v>
      </c>
    </row>
    <row r="1288" customFormat="false" ht="15" hidden="false" customHeight="false" outlineLevel="0" collapsed="false">
      <c r="A1288" s="24" t="s">
        <v>1366</v>
      </c>
      <c r="B1288" s="31" t="n">
        <v>46239</v>
      </c>
      <c r="C1288" s="24" t="s">
        <v>21</v>
      </c>
      <c r="D1288" s="24" t="s">
        <v>32</v>
      </c>
      <c r="E1288" s="24" t="s">
        <v>79</v>
      </c>
      <c r="F1288" s="24" t="s">
        <v>43</v>
      </c>
      <c r="G1288" s="31" t="n">
        <v>46239</v>
      </c>
      <c r="H1288" s="31" t="n">
        <v>46251</v>
      </c>
      <c r="I1288" s="31" t="n">
        <v>46257</v>
      </c>
      <c r="J1288" s="24"/>
      <c r="K1288" s="24" t="n">
        <v>3</v>
      </c>
      <c r="L1288" s="24" t="str">
        <f aca="false">IF(J1288&lt;&gt;"","Enrolled",IF(I1288&lt;&gt;"","Admitted",IF(H1288&lt;&gt;"","Applied",IF(G1288&lt;&gt;"","Contacted","New"))))</f>
        <v>Admitted</v>
      </c>
      <c r="M1288" s="32" t="n">
        <f aca="false">IF(G1288="","",G1288-B1288)</f>
        <v>0</v>
      </c>
      <c r="N1288" s="24" t="str">
        <f aca="false">IF(COUNTIF($A$2:A1288,A1288)&gt;1,"Duplicate ID",IF(C1288="","Missing source",IF(OR(AND(G1288&lt;&gt;"",G1288&lt;B1288),AND(H1288&lt;&gt;"",H1288&lt;B1288),AND(I1288&lt;&gt;"",I1288&lt;H1288),AND(J1288&lt;&gt;"",J1288&lt;I1288)),"Date error","OK")))</f>
        <v>OK</v>
      </c>
    </row>
    <row r="1289" customFormat="false" ht="15" hidden="false" customHeight="false" outlineLevel="0" collapsed="false">
      <c r="A1289" s="24" t="s">
        <v>1367</v>
      </c>
      <c r="B1289" s="31" t="n">
        <v>46239</v>
      </c>
      <c r="C1289" s="24" t="s">
        <v>26</v>
      </c>
      <c r="D1289" s="24" t="s">
        <v>33</v>
      </c>
      <c r="E1289" s="24" t="s">
        <v>94</v>
      </c>
      <c r="F1289" s="24" t="s">
        <v>40</v>
      </c>
      <c r="G1289" s="31" t="n">
        <v>46240</v>
      </c>
      <c r="H1289" s="24"/>
      <c r="I1289" s="24"/>
      <c r="J1289" s="24"/>
      <c r="K1289" s="24" t="n">
        <v>1</v>
      </c>
      <c r="L1289" s="24" t="str">
        <f aca="false">IF(J1289&lt;&gt;"","Enrolled",IF(I1289&lt;&gt;"","Admitted",IF(H1289&lt;&gt;"","Applied",IF(G1289&lt;&gt;"","Contacted","New"))))</f>
        <v>Contacted</v>
      </c>
      <c r="M1289" s="32" t="n">
        <f aca="false">IF(G1289="","",G1289-B1289)</f>
        <v>1</v>
      </c>
      <c r="N1289" s="24" t="str">
        <f aca="false">IF(COUNTIF($A$2:A1289,A1289)&gt;1,"Duplicate ID",IF(C1289="","Missing source",IF(OR(AND(G1289&lt;&gt;"",G1289&lt;B1289),AND(H1289&lt;&gt;"",H1289&lt;B1289),AND(I1289&lt;&gt;"",I1289&lt;H1289),AND(J1289&lt;&gt;"",J1289&lt;I1289)),"Date error","OK")))</f>
        <v>OK</v>
      </c>
    </row>
    <row r="1290" customFormat="false" ht="15" hidden="false" customHeight="false" outlineLevel="0" collapsed="false">
      <c r="A1290" s="24" t="s">
        <v>1368</v>
      </c>
      <c r="B1290" s="31" t="n">
        <v>46239</v>
      </c>
      <c r="C1290" s="24" t="s">
        <v>22</v>
      </c>
      <c r="D1290" s="24" t="s">
        <v>32</v>
      </c>
      <c r="E1290" s="24" t="s">
        <v>89</v>
      </c>
      <c r="F1290" s="24" t="s">
        <v>42</v>
      </c>
      <c r="G1290" s="31" t="n">
        <v>46240</v>
      </c>
      <c r="H1290" s="24"/>
      <c r="I1290" s="24"/>
      <c r="J1290" s="24"/>
      <c r="K1290" s="24" t="n">
        <v>1</v>
      </c>
      <c r="L1290" s="24" t="str">
        <f aca="false">IF(J1290&lt;&gt;"","Enrolled",IF(I1290&lt;&gt;"","Admitted",IF(H1290&lt;&gt;"","Applied",IF(G1290&lt;&gt;"","Contacted","New"))))</f>
        <v>Contacted</v>
      </c>
      <c r="M1290" s="32" t="n">
        <f aca="false">IF(G1290="","",G1290-B1290)</f>
        <v>1</v>
      </c>
      <c r="N1290" s="24" t="str">
        <f aca="false">IF(COUNTIF($A$2:A1290,A1290)&gt;1,"Duplicate ID",IF(C1290="","Missing source",IF(OR(AND(G1290&lt;&gt;"",G1290&lt;B1290),AND(H1290&lt;&gt;"",H1290&lt;B1290),AND(I1290&lt;&gt;"",I1290&lt;H1290),AND(J1290&lt;&gt;"",J1290&lt;I1290)),"Date error","OK")))</f>
        <v>OK</v>
      </c>
    </row>
    <row r="1291" customFormat="false" ht="15" hidden="false" customHeight="false" outlineLevel="0" collapsed="false">
      <c r="A1291" s="24" t="s">
        <v>1369</v>
      </c>
      <c r="B1291" s="31" t="n">
        <v>46240</v>
      </c>
      <c r="C1291" s="24" t="s">
        <v>25</v>
      </c>
      <c r="D1291" s="24" t="s">
        <v>35</v>
      </c>
      <c r="E1291" s="24" t="s">
        <v>81</v>
      </c>
      <c r="F1291" s="24" t="s">
        <v>44</v>
      </c>
      <c r="G1291" s="31" t="n">
        <v>46243</v>
      </c>
      <c r="H1291" s="24"/>
      <c r="I1291" s="24"/>
      <c r="J1291" s="24"/>
      <c r="K1291" s="24" t="n">
        <v>1</v>
      </c>
      <c r="L1291" s="24" t="str">
        <f aca="false">IF(J1291&lt;&gt;"","Enrolled",IF(I1291&lt;&gt;"","Admitted",IF(H1291&lt;&gt;"","Applied",IF(G1291&lt;&gt;"","Contacted","New"))))</f>
        <v>Contacted</v>
      </c>
      <c r="M1291" s="32" t="n">
        <f aca="false">IF(G1291="","",G1291-B1291)</f>
        <v>3</v>
      </c>
      <c r="N1291" s="24" t="str">
        <f aca="false">IF(COUNTIF($A$2:A1291,A1291)&gt;1,"Duplicate ID",IF(C1291="","Missing source",IF(OR(AND(G1291&lt;&gt;"",G1291&lt;B1291),AND(H1291&lt;&gt;"",H1291&lt;B1291),AND(I1291&lt;&gt;"",I1291&lt;H1291),AND(J1291&lt;&gt;"",J1291&lt;I1291)),"Date error","OK")))</f>
        <v>OK</v>
      </c>
    </row>
    <row r="1292" customFormat="false" ht="15" hidden="false" customHeight="false" outlineLevel="0" collapsed="false">
      <c r="A1292" s="24" t="s">
        <v>1370</v>
      </c>
      <c r="B1292" s="31" t="n">
        <v>46240</v>
      </c>
      <c r="C1292" s="24" t="s">
        <v>23</v>
      </c>
      <c r="D1292" s="24" t="s">
        <v>33</v>
      </c>
      <c r="E1292" s="24" t="s">
        <v>89</v>
      </c>
      <c r="F1292" s="24" t="s">
        <v>42</v>
      </c>
      <c r="G1292" s="24"/>
      <c r="H1292" s="24"/>
      <c r="I1292" s="24"/>
      <c r="J1292" s="24"/>
      <c r="K1292" s="24" t="n">
        <v>0</v>
      </c>
      <c r="L1292" s="24" t="str">
        <f aca="false">IF(J1292&lt;&gt;"","Enrolled",IF(I1292&lt;&gt;"","Admitted",IF(H1292&lt;&gt;"","Applied",IF(G1292&lt;&gt;"","Contacted","New"))))</f>
        <v>New</v>
      </c>
      <c r="M1292" s="32" t="str">
        <f aca="false">IF(G1292="","",G1292-B1292)</f>
        <v/>
      </c>
      <c r="N1292" s="24" t="str">
        <f aca="false">IF(COUNTIF($A$2:A1292,A1292)&gt;1,"Duplicate ID",IF(C1292="","Missing source",IF(OR(AND(G1292&lt;&gt;"",G1292&lt;B1292),AND(H1292&lt;&gt;"",H1292&lt;B1292),AND(I1292&lt;&gt;"",I1292&lt;H1292),AND(J1292&lt;&gt;"",J1292&lt;I1292)),"Date error","OK")))</f>
        <v>OK</v>
      </c>
    </row>
    <row r="1293" customFormat="false" ht="15" hidden="false" customHeight="false" outlineLevel="0" collapsed="false">
      <c r="A1293" s="24" t="s">
        <v>1371</v>
      </c>
      <c r="B1293" s="31" t="n">
        <v>46240</v>
      </c>
      <c r="C1293" s="24" t="s">
        <v>25</v>
      </c>
      <c r="D1293" s="24" t="s">
        <v>32</v>
      </c>
      <c r="E1293" s="24" t="s">
        <v>89</v>
      </c>
      <c r="F1293" s="24" t="s">
        <v>40</v>
      </c>
      <c r="G1293" s="31" t="n">
        <v>46240</v>
      </c>
      <c r="H1293" s="24"/>
      <c r="I1293" s="24"/>
      <c r="J1293" s="24"/>
      <c r="K1293" s="24" t="n">
        <v>4</v>
      </c>
      <c r="L1293" s="24" t="str">
        <f aca="false">IF(J1293&lt;&gt;"","Enrolled",IF(I1293&lt;&gt;"","Admitted",IF(H1293&lt;&gt;"","Applied",IF(G1293&lt;&gt;"","Contacted","New"))))</f>
        <v>Contacted</v>
      </c>
      <c r="M1293" s="32" t="n">
        <f aca="false">IF(G1293="","",G1293-B1293)</f>
        <v>0</v>
      </c>
      <c r="N1293" s="24" t="str">
        <f aca="false">IF(COUNTIF($A$2:A1293,A1293)&gt;1,"Duplicate ID",IF(C1293="","Missing source",IF(OR(AND(G1293&lt;&gt;"",G1293&lt;B1293),AND(H1293&lt;&gt;"",H1293&lt;B1293),AND(I1293&lt;&gt;"",I1293&lt;H1293),AND(J1293&lt;&gt;"",J1293&lt;I1293)),"Date error","OK")))</f>
        <v>OK</v>
      </c>
    </row>
    <row r="1294" customFormat="false" ht="15" hidden="false" customHeight="false" outlineLevel="0" collapsed="false">
      <c r="A1294" s="24" t="s">
        <v>1372</v>
      </c>
      <c r="B1294" s="31" t="n">
        <v>46240</v>
      </c>
      <c r="C1294" s="24" t="s">
        <v>22</v>
      </c>
      <c r="D1294" s="24" t="s">
        <v>33</v>
      </c>
      <c r="E1294" s="24" t="s">
        <v>89</v>
      </c>
      <c r="F1294" s="24" t="s">
        <v>41</v>
      </c>
      <c r="G1294" s="31" t="n">
        <v>46240</v>
      </c>
      <c r="H1294" s="31" t="n">
        <v>46262</v>
      </c>
      <c r="I1294" s="24"/>
      <c r="J1294" s="24"/>
      <c r="K1294" s="24" t="n">
        <v>5</v>
      </c>
      <c r="L1294" s="24" t="str">
        <f aca="false">IF(J1294&lt;&gt;"","Enrolled",IF(I1294&lt;&gt;"","Admitted",IF(H1294&lt;&gt;"","Applied",IF(G1294&lt;&gt;"","Contacted","New"))))</f>
        <v>Applied</v>
      </c>
      <c r="M1294" s="32" t="n">
        <f aca="false">IF(G1294="","",G1294-B1294)</f>
        <v>0</v>
      </c>
      <c r="N1294" s="24" t="str">
        <f aca="false">IF(COUNTIF($A$2:A1294,A1294)&gt;1,"Duplicate ID",IF(C1294="","Missing source",IF(OR(AND(G1294&lt;&gt;"",G1294&lt;B1294),AND(H1294&lt;&gt;"",H1294&lt;B1294),AND(I1294&lt;&gt;"",I1294&lt;H1294),AND(J1294&lt;&gt;"",J1294&lt;I1294)),"Date error","OK")))</f>
        <v>OK</v>
      </c>
    </row>
    <row r="1295" customFormat="false" ht="15" hidden="false" customHeight="false" outlineLevel="0" collapsed="false">
      <c r="A1295" s="24" t="s">
        <v>1373</v>
      </c>
      <c r="B1295" s="31" t="n">
        <v>46240</v>
      </c>
      <c r="C1295" s="24" t="s">
        <v>24</v>
      </c>
      <c r="D1295" s="24" t="s">
        <v>36</v>
      </c>
      <c r="E1295" s="24" t="s">
        <v>89</v>
      </c>
      <c r="F1295" s="24" t="s">
        <v>40</v>
      </c>
      <c r="G1295" s="31" t="n">
        <v>46240</v>
      </c>
      <c r="H1295" s="24"/>
      <c r="I1295" s="24"/>
      <c r="J1295" s="24"/>
      <c r="K1295" s="24" t="n">
        <v>0</v>
      </c>
      <c r="L1295" s="24" t="str">
        <f aca="false">IF(J1295&lt;&gt;"","Enrolled",IF(I1295&lt;&gt;"","Admitted",IF(H1295&lt;&gt;"","Applied",IF(G1295&lt;&gt;"","Contacted","New"))))</f>
        <v>Contacted</v>
      </c>
      <c r="M1295" s="32" t="n">
        <f aca="false">IF(G1295="","",G1295-B1295)</f>
        <v>0</v>
      </c>
      <c r="N1295" s="24" t="str">
        <f aca="false">IF(COUNTIF($A$2:A1295,A1295)&gt;1,"Duplicate ID",IF(C1295="","Missing source",IF(OR(AND(G1295&lt;&gt;"",G1295&lt;B1295),AND(H1295&lt;&gt;"",H1295&lt;B1295),AND(I1295&lt;&gt;"",I1295&lt;H1295),AND(J1295&lt;&gt;"",J1295&lt;I1295)),"Date error","OK")))</f>
        <v>OK</v>
      </c>
    </row>
    <row r="1296" customFormat="false" ht="15" hidden="false" customHeight="false" outlineLevel="0" collapsed="false">
      <c r="A1296" s="24" t="s">
        <v>1374</v>
      </c>
      <c r="B1296" s="31" t="n">
        <v>46240</v>
      </c>
      <c r="C1296" s="24" t="s">
        <v>23</v>
      </c>
      <c r="D1296" s="24" t="s">
        <v>33</v>
      </c>
      <c r="E1296" s="24" t="s">
        <v>81</v>
      </c>
      <c r="F1296" s="24" t="s">
        <v>42</v>
      </c>
      <c r="G1296" s="31" t="n">
        <v>46244</v>
      </c>
      <c r="H1296" s="24"/>
      <c r="I1296" s="24"/>
      <c r="J1296" s="24"/>
      <c r="K1296" s="24" t="n">
        <v>7</v>
      </c>
      <c r="L1296" s="24" t="str">
        <f aca="false">IF(J1296&lt;&gt;"","Enrolled",IF(I1296&lt;&gt;"","Admitted",IF(H1296&lt;&gt;"","Applied",IF(G1296&lt;&gt;"","Contacted","New"))))</f>
        <v>Contacted</v>
      </c>
      <c r="M1296" s="32" t="n">
        <f aca="false">IF(G1296="","",G1296-B1296)</f>
        <v>4</v>
      </c>
      <c r="N1296" s="24" t="str">
        <f aca="false">IF(COUNTIF($A$2:A1296,A1296)&gt;1,"Duplicate ID",IF(C1296="","Missing source",IF(OR(AND(G1296&lt;&gt;"",G1296&lt;B1296),AND(H1296&lt;&gt;"",H1296&lt;B1296),AND(I1296&lt;&gt;"",I1296&lt;H1296),AND(J1296&lt;&gt;"",J1296&lt;I1296)),"Date error","OK")))</f>
        <v>OK</v>
      </c>
    </row>
    <row r="1297" customFormat="false" ht="15" hidden="false" customHeight="false" outlineLevel="0" collapsed="false">
      <c r="A1297" s="24" t="s">
        <v>1375</v>
      </c>
      <c r="B1297" s="31" t="n">
        <v>46240</v>
      </c>
      <c r="C1297" s="24" t="s">
        <v>26</v>
      </c>
      <c r="D1297" s="24" t="s">
        <v>33</v>
      </c>
      <c r="E1297" s="24" t="s">
        <v>94</v>
      </c>
      <c r="F1297" s="24" t="s">
        <v>44</v>
      </c>
      <c r="G1297" s="31" t="n">
        <v>46243</v>
      </c>
      <c r="H1297" s="24"/>
      <c r="I1297" s="24"/>
      <c r="J1297" s="24"/>
      <c r="K1297" s="24" t="n">
        <v>1</v>
      </c>
      <c r="L1297" s="24" t="str">
        <f aca="false">IF(J1297&lt;&gt;"","Enrolled",IF(I1297&lt;&gt;"","Admitted",IF(H1297&lt;&gt;"","Applied",IF(G1297&lt;&gt;"","Contacted","New"))))</f>
        <v>Contacted</v>
      </c>
      <c r="M1297" s="32" t="n">
        <f aca="false">IF(G1297="","",G1297-B1297)</f>
        <v>3</v>
      </c>
      <c r="N1297" s="24" t="str">
        <f aca="false">IF(COUNTIF($A$2:A1297,A1297)&gt;1,"Duplicate ID",IF(C1297="","Missing source",IF(OR(AND(G1297&lt;&gt;"",G1297&lt;B1297),AND(H1297&lt;&gt;"",H1297&lt;B1297),AND(I1297&lt;&gt;"",I1297&lt;H1297),AND(J1297&lt;&gt;"",J1297&lt;I1297)),"Date error","OK")))</f>
        <v>OK</v>
      </c>
    </row>
    <row r="1298" customFormat="false" ht="15" hidden="false" customHeight="false" outlineLevel="0" collapsed="false">
      <c r="A1298" s="24" t="s">
        <v>1376</v>
      </c>
      <c r="B1298" s="31" t="n">
        <v>46240</v>
      </c>
      <c r="C1298" s="24" t="s">
        <v>25</v>
      </c>
      <c r="D1298" s="24" t="s">
        <v>33</v>
      </c>
      <c r="E1298" s="24" t="s">
        <v>89</v>
      </c>
      <c r="F1298" s="24" t="s">
        <v>43</v>
      </c>
      <c r="G1298" s="31" t="n">
        <v>46243</v>
      </c>
      <c r="H1298" s="24"/>
      <c r="I1298" s="24"/>
      <c r="J1298" s="24"/>
      <c r="K1298" s="24" t="n">
        <v>1</v>
      </c>
      <c r="L1298" s="24" t="str">
        <f aca="false">IF(J1298&lt;&gt;"","Enrolled",IF(I1298&lt;&gt;"","Admitted",IF(H1298&lt;&gt;"","Applied",IF(G1298&lt;&gt;"","Contacted","New"))))</f>
        <v>Contacted</v>
      </c>
      <c r="M1298" s="32" t="n">
        <f aca="false">IF(G1298="","",G1298-B1298)</f>
        <v>3</v>
      </c>
      <c r="N1298" s="24" t="str">
        <f aca="false">IF(COUNTIF($A$2:A1298,A1298)&gt;1,"Duplicate ID",IF(C1298="","Missing source",IF(OR(AND(G1298&lt;&gt;"",G1298&lt;B1298),AND(H1298&lt;&gt;"",H1298&lt;B1298),AND(I1298&lt;&gt;"",I1298&lt;H1298),AND(J1298&lt;&gt;"",J1298&lt;I1298)),"Date error","OK")))</f>
        <v>OK</v>
      </c>
    </row>
    <row r="1299" customFormat="false" ht="15" hidden="false" customHeight="false" outlineLevel="0" collapsed="false">
      <c r="A1299" s="24" t="s">
        <v>1377</v>
      </c>
      <c r="B1299" s="31" t="n">
        <v>46240</v>
      </c>
      <c r="C1299" s="24" t="s">
        <v>24</v>
      </c>
      <c r="D1299" s="24" t="s">
        <v>32</v>
      </c>
      <c r="E1299" s="24" t="s">
        <v>79</v>
      </c>
      <c r="F1299" s="24" t="s">
        <v>42</v>
      </c>
      <c r="G1299" s="31" t="n">
        <v>46240</v>
      </c>
      <c r="H1299" s="24"/>
      <c r="I1299" s="24"/>
      <c r="J1299" s="24"/>
      <c r="K1299" s="24" t="n">
        <v>2</v>
      </c>
      <c r="L1299" s="24" t="str">
        <f aca="false">IF(J1299&lt;&gt;"","Enrolled",IF(I1299&lt;&gt;"","Admitted",IF(H1299&lt;&gt;"","Applied",IF(G1299&lt;&gt;"","Contacted","New"))))</f>
        <v>Contacted</v>
      </c>
      <c r="M1299" s="32" t="n">
        <f aca="false">IF(G1299="","",G1299-B1299)</f>
        <v>0</v>
      </c>
      <c r="N1299" s="24" t="str">
        <f aca="false">IF(COUNTIF($A$2:A1299,A1299)&gt;1,"Duplicate ID",IF(C1299="","Missing source",IF(OR(AND(G1299&lt;&gt;"",G1299&lt;B1299),AND(H1299&lt;&gt;"",H1299&lt;B1299),AND(I1299&lt;&gt;"",I1299&lt;H1299),AND(J1299&lt;&gt;"",J1299&lt;I1299)),"Date error","OK")))</f>
        <v>OK</v>
      </c>
    </row>
    <row r="1300" customFormat="false" ht="15" hidden="false" customHeight="false" outlineLevel="0" collapsed="false">
      <c r="A1300" s="24" t="s">
        <v>1378</v>
      </c>
      <c r="B1300" s="31" t="n">
        <v>46240</v>
      </c>
      <c r="C1300" s="24" t="s">
        <v>25</v>
      </c>
      <c r="D1300" s="24" t="s">
        <v>32</v>
      </c>
      <c r="E1300" s="24" t="s">
        <v>89</v>
      </c>
      <c r="F1300" s="24" t="s">
        <v>43</v>
      </c>
      <c r="G1300" s="31" t="n">
        <v>46242</v>
      </c>
      <c r="H1300" s="31" t="n">
        <v>46251</v>
      </c>
      <c r="I1300" s="31" t="n">
        <v>46258</v>
      </c>
      <c r="J1300" s="24"/>
      <c r="K1300" s="24" t="n">
        <v>2</v>
      </c>
      <c r="L1300" s="24" t="str">
        <f aca="false">IF(J1300&lt;&gt;"","Enrolled",IF(I1300&lt;&gt;"","Admitted",IF(H1300&lt;&gt;"","Applied",IF(G1300&lt;&gt;"","Contacted","New"))))</f>
        <v>Admitted</v>
      </c>
      <c r="M1300" s="32" t="n">
        <f aca="false">IF(G1300="","",G1300-B1300)</f>
        <v>2</v>
      </c>
      <c r="N1300" s="24" t="str">
        <f aca="false">IF(COUNTIF($A$2:A1300,A1300)&gt;1,"Duplicate ID",IF(C1300="","Missing source",IF(OR(AND(G1300&lt;&gt;"",G1300&lt;B1300),AND(H1300&lt;&gt;"",H1300&lt;B1300),AND(I1300&lt;&gt;"",I1300&lt;H1300),AND(J1300&lt;&gt;"",J1300&lt;I1300)),"Date error","OK")))</f>
        <v>OK</v>
      </c>
    </row>
    <row r="1301" customFormat="false" ht="15" hidden="false" customHeight="false" outlineLevel="0" collapsed="false">
      <c r="A1301" s="24" t="s">
        <v>1379</v>
      </c>
      <c r="B1301" s="31" t="n">
        <v>46240</v>
      </c>
      <c r="C1301" s="24" t="s">
        <v>26</v>
      </c>
      <c r="D1301" s="24" t="s">
        <v>33</v>
      </c>
      <c r="E1301" s="24" t="s">
        <v>89</v>
      </c>
      <c r="F1301" s="24" t="s">
        <v>43</v>
      </c>
      <c r="G1301" s="31" t="n">
        <v>46240</v>
      </c>
      <c r="H1301" s="24"/>
      <c r="I1301" s="24"/>
      <c r="J1301" s="24"/>
      <c r="K1301" s="24" t="n">
        <v>3</v>
      </c>
      <c r="L1301" s="24" t="str">
        <f aca="false">IF(J1301&lt;&gt;"","Enrolled",IF(I1301&lt;&gt;"","Admitted",IF(H1301&lt;&gt;"","Applied",IF(G1301&lt;&gt;"","Contacted","New"))))</f>
        <v>Contacted</v>
      </c>
      <c r="M1301" s="32" t="n">
        <f aca="false">IF(G1301="","",G1301-B1301)</f>
        <v>0</v>
      </c>
      <c r="N1301" s="24" t="str">
        <f aca="false">IF(COUNTIF($A$2:A1301,A1301)&gt;1,"Duplicate ID",IF(C1301="","Missing source",IF(OR(AND(G1301&lt;&gt;"",G1301&lt;B1301),AND(H1301&lt;&gt;"",H1301&lt;B1301),AND(I1301&lt;&gt;"",I1301&lt;H1301),AND(J1301&lt;&gt;"",J1301&lt;I1301)),"Date error","OK")))</f>
        <v>OK</v>
      </c>
    </row>
    <row r="1302" customFormat="false" ht="15" hidden="false" customHeight="false" outlineLevel="0" collapsed="false">
      <c r="A1302" s="24" t="s">
        <v>1380</v>
      </c>
      <c r="B1302" s="31" t="n">
        <v>46241</v>
      </c>
      <c r="C1302" s="24" t="s">
        <v>26</v>
      </c>
      <c r="D1302" s="24" t="s">
        <v>36</v>
      </c>
      <c r="E1302" s="24" t="s">
        <v>81</v>
      </c>
      <c r="F1302" s="24" t="s">
        <v>40</v>
      </c>
      <c r="G1302" s="24"/>
      <c r="H1302" s="24"/>
      <c r="I1302" s="24"/>
      <c r="J1302" s="24"/>
      <c r="K1302" s="24" t="n">
        <v>0</v>
      </c>
      <c r="L1302" s="24" t="str">
        <f aca="false">IF(J1302&lt;&gt;"","Enrolled",IF(I1302&lt;&gt;"","Admitted",IF(H1302&lt;&gt;"","Applied",IF(G1302&lt;&gt;"","Contacted","New"))))</f>
        <v>New</v>
      </c>
      <c r="M1302" s="32" t="str">
        <f aca="false">IF(G1302="","",G1302-B1302)</f>
        <v/>
      </c>
      <c r="N1302" s="24" t="str">
        <f aca="false">IF(COUNTIF($A$2:A1302,A1302)&gt;1,"Duplicate ID",IF(C1302="","Missing source",IF(OR(AND(G1302&lt;&gt;"",G1302&lt;B1302),AND(H1302&lt;&gt;"",H1302&lt;B1302),AND(I1302&lt;&gt;"",I1302&lt;H1302),AND(J1302&lt;&gt;"",J1302&lt;I1302)),"Date error","OK")))</f>
        <v>OK</v>
      </c>
    </row>
    <row r="1303" customFormat="false" ht="15" hidden="false" customHeight="false" outlineLevel="0" collapsed="false">
      <c r="A1303" s="24" t="s">
        <v>1381</v>
      </c>
      <c r="B1303" s="31" t="n">
        <v>46241</v>
      </c>
      <c r="C1303" s="24" t="s">
        <v>26</v>
      </c>
      <c r="D1303" s="24" t="s">
        <v>32</v>
      </c>
      <c r="E1303" s="24" t="s">
        <v>94</v>
      </c>
      <c r="F1303" s="24" t="s">
        <v>44</v>
      </c>
      <c r="G1303" s="31" t="n">
        <v>46248</v>
      </c>
      <c r="H1303" s="24"/>
      <c r="I1303" s="24"/>
      <c r="J1303" s="24"/>
      <c r="K1303" s="24" t="n">
        <v>1</v>
      </c>
      <c r="L1303" s="24" t="str">
        <f aca="false">IF(J1303&lt;&gt;"","Enrolled",IF(I1303&lt;&gt;"","Admitted",IF(H1303&lt;&gt;"","Applied",IF(G1303&lt;&gt;"","Contacted","New"))))</f>
        <v>Contacted</v>
      </c>
      <c r="M1303" s="32" t="n">
        <f aca="false">IF(G1303="","",G1303-B1303)</f>
        <v>7</v>
      </c>
      <c r="N1303" s="24" t="str">
        <f aca="false">IF(COUNTIF($A$2:A1303,A1303)&gt;1,"Duplicate ID",IF(C1303="","Missing source",IF(OR(AND(G1303&lt;&gt;"",G1303&lt;B1303),AND(H1303&lt;&gt;"",H1303&lt;B1303),AND(I1303&lt;&gt;"",I1303&lt;H1303),AND(J1303&lt;&gt;"",J1303&lt;I1303)),"Date error","OK")))</f>
        <v>OK</v>
      </c>
    </row>
    <row r="1304" customFormat="false" ht="15" hidden="false" customHeight="false" outlineLevel="0" collapsed="false">
      <c r="A1304" s="24" t="s">
        <v>1382</v>
      </c>
      <c r="B1304" s="31" t="n">
        <v>46241</v>
      </c>
      <c r="C1304" s="24" t="s">
        <v>26</v>
      </c>
      <c r="D1304" s="24" t="s">
        <v>33</v>
      </c>
      <c r="E1304" s="24" t="s">
        <v>94</v>
      </c>
      <c r="F1304" s="24" t="s">
        <v>43</v>
      </c>
      <c r="G1304" s="31" t="n">
        <v>46243</v>
      </c>
      <c r="H1304" s="24"/>
      <c r="I1304" s="24"/>
      <c r="J1304" s="24"/>
      <c r="K1304" s="24" t="n">
        <v>4</v>
      </c>
      <c r="L1304" s="24" t="str">
        <f aca="false">IF(J1304&lt;&gt;"","Enrolled",IF(I1304&lt;&gt;"","Admitted",IF(H1304&lt;&gt;"","Applied",IF(G1304&lt;&gt;"","Contacted","New"))))</f>
        <v>Contacted</v>
      </c>
      <c r="M1304" s="32" t="n">
        <f aca="false">IF(G1304="","",G1304-B1304)</f>
        <v>2</v>
      </c>
      <c r="N1304" s="24" t="str">
        <f aca="false">IF(COUNTIF($A$2:A1304,A1304)&gt;1,"Duplicate ID",IF(C1304="","Missing source",IF(OR(AND(G1304&lt;&gt;"",G1304&lt;B1304),AND(H1304&lt;&gt;"",H1304&lt;B1304),AND(I1304&lt;&gt;"",I1304&lt;H1304),AND(J1304&lt;&gt;"",J1304&lt;I1304)),"Date error","OK")))</f>
        <v>OK</v>
      </c>
    </row>
    <row r="1305" customFormat="false" ht="15" hidden="false" customHeight="false" outlineLevel="0" collapsed="false">
      <c r="A1305" s="24" t="s">
        <v>1383</v>
      </c>
      <c r="B1305" s="31" t="n">
        <v>46241</v>
      </c>
      <c r="C1305" s="24" t="s">
        <v>26</v>
      </c>
      <c r="D1305" s="24" t="s">
        <v>33</v>
      </c>
      <c r="E1305" s="24" t="s">
        <v>84</v>
      </c>
      <c r="F1305" s="24" t="s">
        <v>40</v>
      </c>
      <c r="G1305" s="31" t="n">
        <v>46242</v>
      </c>
      <c r="H1305" s="24"/>
      <c r="I1305" s="24"/>
      <c r="J1305" s="24"/>
      <c r="K1305" s="24" t="n">
        <v>2</v>
      </c>
      <c r="L1305" s="24" t="str">
        <f aca="false">IF(J1305&lt;&gt;"","Enrolled",IF(I1305&lt;&gt;"","Admitted",IF(H1305&lt;&gt;"","Applied",IF(G1305&lt;&gt;"","Contacted","New"))))</f>
        <v>Contacted</v>
      </c>
      <c r="M1305" s="32" t="n">
        <f aca="false">IF(G1305="","",G1305-B1305)</f>
        <v>1</v>
      </c>
      <c r="N1305" s="24" t="str">
        <f aca="false">IF(COUNTIF($A$2:A1305,A1305)&gt;1,"Duplicate ID",IF(C1305="","Missing source",IF(OR(AND(G1305&lt;&gt;"",G1305&lt;B1305),AND(H1305&lt;&gt;"",H1305&lt;B1305),AND(I1305&lt;&gt;"",I1305&lt;H1305),AND(J1305&lt;&gt;"",J1305&lt;I1305)),"Date error","OK")))</f>
        <v>OK</v>
      </c>
    </row>
    <row r="1306" customFormat="false" ht="15" hidden="false" customHeight="false" outlineLevel="0" collapsed="false">
      <c r="A1306" s="24" t="s">
        <v>1384</v>
      </c>
      <c r="B1306" s="31" t="n">
        <v>46241</v>
      </c>
      <c r="C1306" s="24" t="s">
        <v>24</v>
      </c>
      <c r="D1306" s="24" t="s">
        <v>36</v>
      </c>
      <c r="E1306" s="24" t="s">
        <v>89</v>
      </c>
      <c r="F1306" s="24" t="s">
        <v>45</v>
      </c>
      <c r="G1306" s="31" t="n">
        <v>46245</v>
      </c>
      <c r="H1306" s="24"/>
      <c r="I1306" s="24"/>
      <c r="J1306" s="24"/>
      <c r="K1306" s="24" t="n">
        <v>3</v>
      </c>
      <c r="L1306" s="24" t="str">
        <f aca="false">IF(J1306&lt;&gt;"","Enrolled",IF(I1306&lt;&gt;"","Admitted",IF(H1306&lt;&gt;"","Applied",IF(G1306&lt;&gt;"","Contacted","New"))))</f>
        <v>Contacted</v>
      </c>
      <c r="M1306" s="32" t="n">
        <f aca="false">IF(G1306="","",G1306-B1306)</f>
        <v>4</v>
      </c>
      <c r="N1306" s="24" t="str">
        <f aca="false">IF(COUNTIF($A$2:A1306,A1306)&gt;1,"Duplicate ID",IF(C1306="","Missing source",IF(OR(AND(G1306&lt;&gt;"",G1306&lt;B1306),AND(H1306&lt;&gt;"",H1306&lt;B1306),AND(I1306&lt;&gt;"",I1306&lt;H1306),AND(J1306&lt;&gt;"",J1306&lt;I1306)),"Date error","OK")))</f>
        <v>OK</v>
      </c>
    </row>
    <row r="1307" customFormat="false" ht="15" hidden="false" customHeight="false" outlineLevel="0" collapsed="false">
      <c r="A1307" s="24" t="s">
        <v>1385</v>
      </c>
      <c r="B1307" s="31" t="n">
        <v>46241</v>
      </c>
      <c r="C1307" s="24"/>
      <c r="D1307" s="24" t="s">
        <v>36</v>
      </c>
      <c r="E1307" s="24" t="s">
        <v>94</v>
      </c>
      <c r="F1307" s="24" t="s">
        <v>43</v>
      </c>
      <c r="G1307" s="31" t="n">
        <v>46241</v>
      </c>
      <c r="H1307" s="24"/>
      <c r="I1307" s="24"/>
      <c r="J1307" s="24"/>
      <c r="K1307" s="24" t="n">
        <v>2</v>
      </c>
      <c r="L1307" s="24" t="str">
        <f aca="false">IF(J1307&lt;&gt;"","Enrolled",IF(I1307&lt;&gt;"","Admitted",IF(H1307&lt;&gt;"","Applied",IF(G1307&lt;&gt;"","Contacted","New"))))</f>
        <v>Contacted</v>
      </c>
      <c r="M1307" s="32" t="n">
        <f aca="false">IF(G1307="","",G1307-B1307)</f>
        <v>0</v>
      </c>
      <c r="N1307" s="24" t="str">
        <f aca="false">IF(COUNTIF($A$2:A1307,A1307)&gt;1,"Duplicate ID",IF(C1307="","Missing source",IF(OR(AND(G1307&lt;&gt;"",G1307&lt;B1307),AND(H1307&lt;&gt;"",H1307&lt;B1307),AND(I1307&lt;&gt;"",I1307&lt;H1307),AND(J1307&lt;&gt;"",J1307&lt;I1307)),"Date error","OK")))</f>
        <v>Missing source</v>
      </c>
    </row>
    <row r="1308" customFormat="false" ht="15" hidden="false" customHeight="false" outlineLevel="0" collapsed="false">
      <c r="A1308" s="24" t="s">
        <v>1386</v>
      </c>
      <c r="B1308" s="31" t="n">
        <v>46241</v>
      </c>
      <c r="C1308" s="24" t="s">
        <v>26</v>
      </c>
      <c r="D1308" s="24" t="s">
        <v>34</v>
      </c>
      <c r="E1308" s="24" t="s">
        <v>89</v>
      </c>
      <c r="F1308" s="24" t="s">
        <v>41</v>
      </c>
      <c r="G1308" s="31" t="n">
        <v>46242</v>
      </c>
      <c r="H1308" s="24"/>
      <c r="I1308" s="24"/>
      <c r="J1308" s="24"/>
      <c r="K1308" s="24" t="n">
        <v>3</v>
      </c>
      <c r="L1308" s="24" t="str">
        <f aca="false">IF(J1308&lt;&gt;"","Enrolled",IF(I1308&lt;&gt;"","Admitted",IF(H1308&lt;&gt;"","Applied",IF(G1308&lt;&gt;"","Contacted","New"))))</f>
        <v>Contacted</v>
      </c>
      <c r="M1308" s="32" t="n">
        <f aca="false">IF(G1308="","",G1308-B1308)</f>
        <v>1</v>
      </c>
      <c r="N1308" s="24" t="str">
        <f aca="false">IF(COUNTIF($A$2:A1308,A1308)&gt;1,"Duplicate ID",IF(C1308="","Missing source",IF(OR(AND(G1308&lt;&gt;"",G1308&lt;B1308),AND(H1308&lt;&gt;"",H1308&lt;B1308),AND(I1308&lt;&gt;"",I1308&lt;H1308),AND(J1308&lt;&gt;"",J1308&lt;I1308)),"Date error","OK")))</f>
        <v>OK</v>
      </c>
    </row>
    <row r="1309" customFormat="false" ht="15" hidden="false" customHeight="false" outlineLevel="0" collapsed="false">
      <c r="A1309" s="24" t="s">
        <v>1387</v>
      </c>
      <c r="B1309" s="31" t="n">
        <v>46241</v>
      </c>
      <c r="C1309" s="24" t="s">
        <v>22</v>
      </c>
      <c r="D1309" s="24" t="s">
        <v>32</v>
      </c>
      <c r="E1309" s="24" t="s">
        <v>79</v>
      </c>
      <c r="F1309" s="24" t="s">
        <v>40</v>
      </c>
      <c r="G1309" s="24"/>
      <c r="H1309" s="24"/>
      <c r="I1309" s="24"/>
      <c r="J1309" s="24"/>
      <c r="K1309" s="24" t="n">
        <v>0</v>
      </c>
      <c r="L1309" s="24" t="str">
        <f aca="false">IF(J1309&lt;&gt;"","Enrolled",IF(I1309&lt;&gt;"","Admitted",IF(H1309&lt;&gt;"","Applied",IF(G1309&lt;&gt;"","Contacted","New"))))</f>
        <v>New</v>
      </c>
      <c r="M1309" s="32" t="str">
        <f aca="false">IF(G1309="","",G1309-B1309)</f>
        <v/>
      </c>
      <c r="N1309" s="24" t="str">
        <f aca="false">IF(COUNTIF($A$2:A1309,A1309)&gt;1,"Duplicate ID",IF(C1309="","Missing source",IF(OR(AND(G1309&lt;&gt;"",G1309&lt;B1309),AND(H1309&lt;&gt;"",H1309&lt;B1309),AND(I1309&lt;&gt;"",I1309&lt;H1309),AND(J1309&lt;&gt;"",J1309&lt;I1309)),"Date error","OK")))</f>
        <v>OK</v>
      </c>
    </row>
    <row r="1310" customFormat="false" ht="15" hidden="false" customHeight="false" outlineLevel="0" collapsed="false">
      <c r="A1310" s="24" t="s">
        <v>1388</v>
      </c>
      <c r="B1310" s="31" t="n">
        <v>46241</v>
      </c>
      <c r="C1310" s="24" t="s">
        <v>26</v>
      </c>
      <c r="D1310" s="24" t="s">
        <v>34</v>
      </c>
      <c r="E1310" s="24" t="s">
        <v>89</v>
      </c>
      <c r="F1310" s="24" t="s">
        <v>45</v>
      </c>
      <c r="G1310" s="24"/>
      <c r="H1310" s="24"/>
      <c r="I1310" s="24"/>
      <c r="J1310" s="24"/>
      <c r="K1310" s="24" t="n">
        <v>0</v>
      </c>
      <c r="L1310" s="24" t="str">
        <f aca="false">IF(J1310&lt;&gt;"","Enrolled",IF(I1310&lt;&gt;"","Admitted",IF(H1310&lt;&gt;"","Applied",IF(G1310&lt;&gt;"","Contacted","New"))))</f>
        <v>New</v>
      </c>
      <c r="M1310" s="32" t="str">
        <f aca="false">IF(G1310="","",G1310-B1310)</f>
        <v/>
      </c>
      <c r="N1310" s="24" t="str">
        <f aca="false">IF(COUNTIF($A$2:A1310,A1310)&gt;1,"Duplicate ID",IF(C1310="","Missing source",IF(OR(AND(G1310&lt;&gt;"",G1310&lt;B1310),AND(H1310&lt;&gt;"",H1310&lt;B1310),AND(I1310&lt;&gt;"",I1310&lt;H1310),AND(J1310&lt;&gt;"",J1310&lt;I1310)),"Date error","OK")))</f>
        <v>OK</v>
      </c>
    </row>
    <row r="1311" customFormat="false" ht="15" hidden="false" customHeight="false" outlineLevel="0" collapsed="false">
      <c r="A1311" s="24" t="s">
        <v>1389</v>
      </c>
      <c r="B1311" s="31" t="n">
        <v>46241</v>
      </c>
      <c r="C1311" s="24" t="s">
        <v>26</v>
      </c>
      <c r="D1311" s="24" t="s">
        <v>32</v>
      </c>
      <c r="E1311" s="24" t="s">
        <v>94</v>
      </c>
      <c r="F1311" s="24" t="s">
        <v>40</v>
      </c>
      <c r="G1311" s="31" t="n">
        <v>46242</v>
      </c>
      <c r="H1311" s="24"/>
      <c r="I1311" s="24"/>
      <c r="J1311" s="24"/>
      <c r="K1311" s="24" t="n">
        <v>3</v>
      </c>
      <c r="L1311" s="24" t="str">
        <f aca="false">IF(J1311&lt;&gt;"","Enrolled",IF(I1311&lt;&gt;"","Admitted",IF(H1311&lt;&gt;"","Applied",IF(G1311&lt;&gt;"","Contacted","New"))))</f>
        <v>Contacted</v>
      </c>
      <c r="M1311" s="32" t="n">
        <f aca="false">IF(G1311="","",G1311-B1311)</f>
        <v>1</v>
      </c>
      <c r="N1311" s="24" t="str">
        <f aca="false">IF(COUNTIF($A$2:A1311,A1311)&gt;1,"Duplicate ID",IF(C1311="","Missing source",IF(OR(AND(G1311&lt;&gt;"",G1311&lt;B1311),AND(H1311&lt;&gt;"",H1311&lt;B1311),AND(I1311&lt;&gt;"",I1311&lt;H1311),AND(J1311&lt;&gt;"",J1311&lt;I1311)),"Date error","OK")))</f>
        <v>OK</v>
      </c>
    </row>
    <row r="1312" customFormat="false" ht="15" hidden="false" customHeight="false" outlineLevel="0" collapsed="false">
      <c r="A1312" s="24" t="s">
        <v>1390</v>
      </c>
      <c r="B1312" s="31" t="n">
        <v>46241</v>
      </c>
      <c r="C1312" s="24" t="s">
        <v>27</v>
      </c>
      <c r="D1312" s="24" t="s">
        <v>36</v>
      </c>
      <c r="E1312" s="24" t="s">
        <v>94</v>
      </c>
      <c r="F1312" s="24" t="s">
        <v>41</v>
      </c>
      <c r="G1312" s="31" t="n">
        <v>46242</v>
      </c>
      <c r="H1312" s="24"/>
      <c r="I1312" s="24"/>
      <c r="J1312" s="24"/>
      <c r="K1312" s="24" t="n">
        <v>2</v>
      </c>
      <c r="L1312" s="24" t="str">
        <f aca="false">IF(J1312&lt;&gt;"","Enrolled",IF(I1312&lt;&gt;"","Admitted",IF(H1312&lt;&gt;"","Applied",IF(G1312&lt;&gt;"","Contacted","New"))))</f>
        <v>Contacted</v>
      </c>
      <c r="M1312" s="32" t="n">
        <f aca="false">IF(G1312="","",G1312-B1312)</f>
        <v>1</v>
      </c>
      <c r="N1312" s="24" t="str">
        <f aca="false">IF(COUNTIF($A$2:A1312,A1312)&gt;1,"Duplicate ID",IF(C1312="","Missing source",IF(OR(AND(G1312&lt;&gt;"",G1312&lt;B1312),AND(H1312&lt;&gt;"",H1312&lt;B1312),AND(I1312&lt;&gt;"",I1312&lt;H1312),AND(J1312&lt;&gt;"",J1312&lt;I1312)),"Date error","OK")))</f>
        <v>OK</v>
      </c>
    </row>
    <row r="1313" customFormat="false" ht="15" hidden="false" customHeight="false" outlineLevel="0" collapsed="false">
      <c r="A1313" s="24" t="s">
        <v>1391</v>
      </c>
      <c r="B1313" s="31" t="n">
        <v>46241</v>
      </c>
      <c r="C1313" s="24" t="s">
        <v>23</v>
      </c>
      <c r="D1313" s="24" t="s">
        <v>32</v>
      </c>
      <c r="E1313" s="24" t="s">
        <v>84</v>
      </c>
      <c r="F1313" s="24" t="s">
        <v>43</v>
      </c>
      <c r="G1313" s="31" t="n">
        <v>46243</v>
      </c>
      <c r="H1313" s="31" t="n">
        <v>46253</v>
      </c>
      <c r="I1313" s="24"/>
      <c r="J1313" s="24"/>
      <c r="K1313" s="24" t="n">
        <v>3</v>
      </c>
      <c r="L1313" s="24" t="str">
        <f aca="false">IF(J1313&lt;&gt;"","Enrolled",IF(I1313&lt;&gt;"","Admitted",IF(H1313&lt;&gt;"","Applied",IF(G1313&lt;&gt;"","Contacted","New"))))</f>
        <v>Applied</v>
      </c>
      <c r="M1313" s="32" t="n">
        <f aca="false">IF(G1313="","",G1313-B1313)</f>
        <v>2</v>
      </c>
      <c r="N1313" s="24" t="str">
        <f aca="false">IF(COUNTIF($A$2:A1313,A1313)&gt;1,"Duplicate ID",IF(C1313="","Missing source",IF(OR(AND(G1313&lt;&gt;"",G1313&lt;B1313),AND(H1313&lt;&gt;"",H1313&lt;B1313),AND(I1313&lt;&gt;"",I1313&lt;H1313),AND(J1313&lt;&gt;"",J1313&lt;I1313)),"Date error","OK")))</f>
        <v>OK</v>
      </c>
    </row>
    <row r="1314" customFormat="false" ht="15" hidden="false" customHeight="false" outlineLevel="0" collapsed="false">
      <c r="A1314" s="24" t="s">
        <v>1392</v>
      </c>
      <c r="B1314" s="31" t="n">
        <v>46241</v>
      </c>
      <c r="C1314" s="24" t="s">
        <v>22</v>
      </c>
      <c r="D1314" s="24" t="s">
        <v>36</v>
      </c>
      <c r="E1314" s="24" t="s">
        <v>84</v>
      </c>
      <c r="F1314" s="24" t="s">
        <v>41</v>
      </c>
      <c r="G1314" s="31" t="n">
        <v>46242</v>
      </c>
      <c r="H1314" s="24"/>
      <c r="I1314" s="24"/>
      <c r="J1314" s="24"/>
      <c r="K1314" s="24" t="n">
        <v>2</v>
      </c>
      <c r="L1314" s="24" t="str">
        <f aca="false">IF(J1314&lt;&gt;"","Enrolled",IF(I1314&lt;&gt;"","Admitted",IF(H1314&lt;&gt;"","Applied",IF(G1314&lt;&gt;"","Contacted","New"))))</f>
        <v>Contacted</v>
      </c>
      <c r="M1314" s="32" t="n">
        <f aca="false">IF(G1314="","",G1314-B1314)</f>
        <v>1</v>
      </c>
      <c r="N1314" s="24" t="str">
        <f aca="false">IF(COUNTIF($A$2:A1314,A1314)&gt;1,"Duplicate ID",IF(C1314="","Missing source",IF(OR(AND(G1314&lt;&gt;"",G1314&lt;B1314),AND(H1314&lt;&gt;"",H1314&lt;B1314),AND(I1314&lt;&gt;"",I1314&lt;H1314),AND(J1314&lt;&gt;"",J1314&lt;I1314)),"Date error","OK")))</f>
        <v>OK</v>
      </c>
    </row>
    <row r="1315" customFormat="false" ht="15" hidden="false" customHeight="false" outlineLevel="0" collapsed="false">
      <c r="A1315" s="24" t="s">
        <v>1393</v>
      </c>
      <c r="B1315" s="31" t="n">
        <v>46241</v>
      </c>
      <c r="C1315" s="24" t="s">
        <v>24</v>
      </c>
      <c r="D1315" s="24" t="s">
        <v>34</v>
      </c>
      <c r="E1315" s="24" t="s">
        <v>89</v>
      </c>
      <c r="F1315" s="24" t="s">
        <v>40</v>
      </c>
      <c r="G1315" s="31" t="n">
        <v>46241</v>
      </c>
      <c r="H1315" s="31" t="n">
        <v>46254</v>
      </c>
      <c r="I1315" s="24"/>
      <c r="J1315" s="24"/>
      <c r="K1315" s="24" t="n">
        <v>2</v>
      </c>
      <c r="L1315" s="24" t="str">
        <f aca="false">IF(J1315&lt;&gt;"","Enrolled",IF(I1315&lt;&gt;"","Admitted",IF(H1315&lt;&gt;"","Applied",IF(G1315&lt;&gt;"","Contacted","New"))))</f>
        <v>Applied</v>
      </c>
      <c r="M1315" s="32" t="n">
        <f aca="false">IF(G1315="","",G1315-B1315)</f>
        <v>0</v>
      </c>
      <c r="N1315" s="24" t="str">
        <f aca="false">IF(COUNTIF($A$2:A1315,A1315)&gt;1,"Duplicate ID",IF(C1315="","Missing source",IF(OR(AND(G1315&lt;&gt;"",G1315&lt;B1315),AND(H1315&lt;&gt;"",H1315&lt;B1315),AND(I1315&lt;&gt;"",I1315&lt;H1315),AND(J1315&lt;&gt;"",J1315&lt;I1315)),"Date error","OK")))</f>
        <v>OK</v>
      </c>
    </row>
    <row r="1316" customFormat="false" ht="15" hidden="false" customHeight="false" outlineLevel="0" collapsed="false">
      <c r="A1316" s="24" t="s">
        <v>1394</v>
      </c>
      <c r="B1316" s="31" t="n">
        <v>46241</v>
      </c>
      <c r="C1316" s="24" t="s">
        <v>25</v>
      </c>
      <c r="D1316" s="24" t="s">
        <v>33</v>
      </c>
      <c r="E1316" s="24" t="s">
        <v>81</v>
      </c>
      <c r="F1316" s="24" t="s">
        <v>41</v>
      </c>
      <c r="G1316" s="31" t="n">
        <v>46242</v>
      </c>
      <c r="H1316" s="24"/>
      <c r="I1316" s="24"/>
      <c r="J1316" s="24"/>
      <c r="K1316" s="24" t="n">
        <v>2</v>
      </c>
      <c r="L1316" s="24" t="str">
        <f aca="false">IF(J1316&lt;&gt;"","Enrolled",IF(I1316&lt;&gt;"","Admitted",IF(H1316&lt;&gt;"","Applied",IF(G1316&lt;&gt;"","Contacted","New"))))</f>
        <v>Contacted</v>
      </c>
      <c r="M1316" s="32" t="n">
        <f aca="false">IF(G1316="","",G1316-B1316)</f>
        <v>1</v>
      </c>
      <c r="N1316" s="24" t="str">
        <f aca="false">IF(COUNTIF($A$2:A1316,A1316)&gt;1,"Duplicate ID",IF(C1316="","Missing source",IF(OR(AND(G1316&lt;&gt;"",G1316&lt;B1316),AND(H1316&lt;&gt;"",H1316&lt;B1316),AND(I1316&lt;&gt;"",I1316&lt;H1316),AND(J1316&lt;&gt;"",J1316&lt;I1316)),"Date error","OK")))</f>
        <v>OK</v>
      </c>
    </row>
    <row r="1317" customFormat="false" ht="15" hidden="false" customHeight="false" outlineLevel="0" collapsed="false">
      <c r="A1317" s="24" t="s">
        <v>1395</v>
      </c>
      <c r="B1317" s="31" t="n">
        <v>46242</v>
      </c>
      <c r="C1317" s="24" t="s">
        <v>26</v>
      </c>
      <c r="D1317" s="24" t="s">
        <v>33</v>
      </c>
      <c r="E1317" s="24" t="s">
        <v>79</v>
      </c>
      <c r="F1317" s="24" t="s">
        <v>41</v>
      </c>
      <c r="G1317" s="31" t="n">
        <v>46245</v>
      </c>
      <c r="H1317" s="24"/>
      <c r="I1317" s="24"/>
      <c r="J1317" s="24"/>
      <c r="K1317" s="24" t="n">
        <v>1</v>
      </c>
      <c r="L1317" s="24" t="str">
        <f aca="false">IF(J1317&lt;&gt;"","Enrolled",IF(I1317&lt;&gt;"","Admitted",IF(H1317&lt;&gt;"","Applied",IF(G1317&lt;&gt;"","Contacted","New"))))</f>
        <v>Contacted</v>
      </c>
      <c r="M1317" s="32" t="n">
        <f aca="false">IF(G1317="","",G1317-B1317)</f>
        <v>3</v>
      </c>
      <c r="N1317" s="24" t="str">
        <f aca="false">IF(COUNTIF($A$2:A1317,A1317)&gt;1,"Duplicate ID",IF(C1317="","Missing source",IF(OR(AND(G1317&lt;&gt;"",G1317&lt;B1317),AND(H1317&lt;&gt;"",H1317&lt;B1317),AND(I1317&lt;&gt;"",I1317&lt;H1317),AND(J1317&lt;&gt;"",J1317&lt;I1317)),"Date error","OK")))</f>
        <v>OK</v>
      </c>
    </row>
    <row r="1318" customFormat="false" ht="15" hidden="false" customHeight="false" outlineLevel="0" collapsed="false">
      <c r="A1318" s="24" t="s">
        <v>1396</v>
      </c>
      <c r="B1318" s="31" t="n">
        <v>46242</v>
      </c>
      <c r="C1318" s="24" t="s">
        <v>27</v>
      </c>
      <c r="D1318" s="24" t="s">
        <v>32</v>
      </c>
      <c r="E1318" s="24" t="s">
        <v>94</v>
      </c>
      <c r="F1318" s="24" t="s">
        <v>45</v>
      </c>
      <c r="G1318" s="31" t="n">
        <v>46245</v>
      </c>
      <c r="H1318" s="24"/>
      <c r="I1318" s="24"/>
      <c r="J1318" s="24"/>
      <c r="K1318" s="24" t="n">
        <v>1</v>
      </c>
      <c r="L1318" s="24" t="str">
        <f aca="false">IF(J1318&lt;&gt;"","Enrolled",IF(I1318&lt;&gt;"","Admitted",IF(H1318&lt;&gt;"","Applied",IF(G1318&lt;&gt;"","Contacted","New"))))</f>
        <v>Contacted</v>
      </c>
      <c r="M1318" s="32" t="n">
        <f aca="false">IF(G1318="","",G1318-B1318)</f>
        <v>3</v>
      </c>
      <c r="N1318" s="24" t="str">
        <f aca="false">IF(COUNTIF($A$2:A1318,A1318)&gt;1,"Duplicate ID",IF(C1318="","Missing source",IF(OR(AND(G1318&lt;&gt;"",G1318&lt;B1318),AND(H1318&lt;&gt;"",H1318&lt;B1318),AND(I1318&lt;&gt;"",I1318&lt;H1318),AND(J1318&lt;&gt;"",J1318&lt;I1318)),"Date error","OK")))</f>
        <v>OK</v>
      </c>
    </row>
    <row r="1319" customFormat="false" ht="15" hidden="false" customHeight="false" outlineLevel="0" collapsed="false">
      <c r="A1319" s="24" t="s">
        <v>1397</v>
      </c>
      <c r="B1319" s="31" t="n">
        <v>46242</v>
      </c>
      <c r="C1319" s="24" t="s">
        <v>22</v>
      </c>
      <c r="D1319" s="24" t="s">
        <v>33</v>
      </c>
      <c r="E1319" s="24" t="s">
        <v>94</v>
      </c>
      <c r="F1319" s="24" t="s">
        <v>40</v>
      </c>
      <c r="G1319" s="31" t="n">
        <v>46243</v>
      </c>
      <c r="H1319" s="24"/>
      <c r="I1319" s="24"/>
      <c r="J1319" s="24"/>
      <c r="K1319" s="24" t="n">
        <v>4</v>
      </c>
      <c r="L1319" s="24" t="str">
        <f aca="false">IF(J1319&lt;&gt;"","Enrolled",IF(I1319&lt;&gt;"","Admitted",IF(H1319&lt;&gt;"","Applied",IF(G1319&lt;&gt;"","Contacted","New"))))</f>
        <v>Contacted</v>
      </c>
      <c r="M1319" s="32" t="n">
        <f aca="false">IF(G1319="","",G1319-B1319)</f>
        <v>1</v>
      </c>
      <c r="N1319" s="24" t="str">
        <f aca="false">IF(COUNTIF($A$2:A1319,A1319)&gt;1,"Duplicate ID",IF(C1319="","Missing source",IF(OR(AND(G1319&lt;&gt;"",G1319&lt;B1319),AND(H1319&lt;&gt;"",H1319&lt;B1319),AND(I1319&lt;&gt;"",I1319&lt;H1319),AND(J1319&lt;&gt;"",J1319&lt;I1319)),"Date error","OK")))</f>
        <v>OK</v>
      </c>
    </row>
    <row r="1320" customFormat="false" ht="15" hidden="false" customHeight="false" outlineLevel="0" collapsed="false">
      <c r="A1320" s="24" t="s">
        <v>1398</v>
      </c>
      <c r="B1320" s="31" t="n">
        <v>46242</v>
      </c>
      <c r="C1320" s="24" t="s">
        <v>22</v>
      </c>
      <c r="D1320" s="24" t="s">
        <v>36</v>
      </c>
      <c r="E1320" s="24" t="s">
        <v>94</v>
      </c>
      <c r="F1320" s="24" t="s">
        <v>40</v>
      </c>
      <c r="G1320" s="31" t="n">
        <v>46243</v>
      </c>
      <c r="H1320" s="31" t="n">
        <v>46256</v>
      </c>
      <c r="I1320" s="24"/>
      <c r="J1320" s="24"/>
      <c r="K1320" s="24" t="n">
        <v>2</v>
      </c>
      <c r="L1320" s="24" t="str">
        <f aca="false">IF(J1320&lt;&gt;"","Enrolled",IF(I1320&lt;&gt;"","Admitted",IF(H1320&lt;&gt;"","Applied",IF(G1320&lt;&gt;"","Contacted","New"))))</f>
        <v>Applied</v>
      </c>
      <c r="M1320" s="32" t="n">
        <f aca="false">IF(G1320="","",G1320-B1320)</f>
        <v>1</v>
      </c>
      <c r="N1320" s="24" t="str">
        <f aca="false">IF(COUNTIF($A$2:A1320,A1320)&gt;1,"Duplicate ID",IF(C1320="","Missing source",IF(OR(AND(G1320&lt;&gt;"",G1320&lt;B1320),AND(H1320&lt;&gt;"",H1320&lt;B1320),AND(I1320&lt;&gt;"",I1320&lt;H1320),AND(J1320&lt;&gt;"",J1320&lt;I1320)),"Date error","OK")))</f>
        <v>OK</v>
      </c>
    </row>
    <row r="1321" customFormat="false" ht="15" hidden="false" customHeight="false" outlineLevel="0" collapsed="false">
      <c r="A1321" s="24" t="s">
        <v>1399</v>
      </c>
      <c r="B1321" s="31" t="n">
        <v>46242</v>
      </c>
      <c r="C1321" s="24" t="s">
        <v>27</v>
      </c>
      <c r="D1321" s="24" t="s">
        <v>36</v>
      </c>
      <c r="E1321" s="24" t="s">
        <v>79</v>
      </c>
      <c r="F1321" s="24" t="s">
        <v>42</v>
      </c>
      <c r="G1321" s="31" t="n">
        <v>46243</v>
      </c>
      <c r="H1321" s="24"/>
      <c r="I1321" s="24"/>
      <c r="J1321" s="24"/>
      <c r="K1321" s="24" t="n">
        <v>3</v>
      </c>
      <c r="L1321" s="24" t="str">
        <f aca="false">IF(J1321&lt;&gt;"","Enrolled",IF(I1321&lt;&gt;"","Admitted",IF(H1321&lt;&gt;"","Applied",IF(G1321&lt;&gt;"","Contacted","New"))))</f>
        <v>Contacted</v>
      </c>
      <c r="M1321" s="32" t="n">
        <f aca="false">IF(G1321="","",G1321-B1321)</f>
        <v>1</v>
      </c>
      <c r="N1321" s="24" t="str">
        <f aca="false">IF(COUNTIF($A$2:A1321,A1321)&gt;1,"Duplicate ID",IF(C1321="","Missing source",IF(OR(AND(G1321&lt;&gt;"",G1321&lt;B1321),AND(H1321&lt;&gt;"",H1321&lt;B1321),AND(I1321&lt;&gt;"",I1321&lt;H1321),AND(J1321&lt;&gt;"",J1321&lt;I1321)),"Date error","OK")))</f>
        <v>OK</v>
      </c>
    </row>
    <row r="1322" customFormat="false" ht="15" hidden="false" customHeight="false" outlineLevel="0" collapsed="false">
      <c r="A1322" s="24" t="s">
        <v>1400</v>
      </c>
      <c r="B1322" s="31" t="n">
        <v>46242</v>
      </c>
      <c r="C1322" s="24" t="s">
        <v>23</v>
      </c>
      <c r="D1322" s="24" t="s">
        <v>32</v>
      </c>
      <c r="E1322" s="24" t="s">
        <v>89</v>
      </c>
      <c r="F1322" s="24" t="s">
        <v>42</v>
      </c>
      <c r="G1322" s="31" t="n">
        <v>46242</v>
      </c>
      <c r="H1322" s="24"/>
      <c r="I1322" s="24"/>
      <c r="J1322" s="24"/>
      <c r="K1322" s="24" t="n">
        <v>1</v>
      </c>
      <c r="L1322" s="24" t="str">
        <f aca="false">IF(J1322&lt;&gt;"","Enrolled",IF(I1322&lt;&gt;"","Admitted",IF(H1322&lt;&gt;"","Applied",IF(G1322&lt;&gt;"","Contacted","New"))))</f>
        <v>Contacted</v>
      </c>
      <c r="M1322" s="32" t="n">
        <f aca="false">IF(G1322="","",G1322-B1322)</f>
        <v>0</v>
      </c>
      <c r="N1322" s="24" t="str">
        <f aca="false">IF(COUNTIF($A$2:A1322,A1322)&gt;1,"Duplicate ID",IF(C1322="","Missing source",IF(OR(AND(G1322&lt;&gt;"",G1322&lt;B1322),AND(H1322&lt;&gt;"",H1322&lt;B1322),AND(I1322&lt;&gt;"",I1322&lt;H1322),AND(J1322&lt;&gt;"",J1322&lt;I1322)),"Date error","OK")))</f>
        <v>OK</v>
      </c>
    </row>
    <row r="1323" customFormat="false" ht="15" hidden="false" customHeight="false" outlineLevel="0" collapsed="false">
      <c r="A1323" s="24" t="s">
        <v>1401</v>
      </c>
      <c r="B1323" s="31" t="n">
        <v>46242</v>
      </c>
      <c r="C1323" s="24" t="s">
        <v>25</v>
      </c>
      <c r="D1323" s="24" t="s">
        <v>34</v>
      </c>
      <c r="E1323" s="24" t="s">
        <v>89</v>
      </c>
      <c r="F1323" s="24" t="s">
        <v>41</v>
      </c>
      <c r="G1323" s="31" t="n">
        <v>46242</v>
      </c>
      <c r="H1323" s="24"/>
      <c r="I1323" s="24"/>
      <c r="J1323" s="24"/>
      <c r="K1323" s="24" t="n">
        <v>3</v>
      </c>
      <c r="L1323" s="24" t="str">
        <f aca="false">IF(J1323&lt;&gt;"","Enrolled",IF(I1323&lt;&gt;"","Admitted",IF(H1323&lt;&gt;"","Applied",IF(G1323&lt;&gt;"","Contacted","New"))))</f>
        <v>Contacted</v>
      </c>
      <c r="M1323" s="32" t="n">
        <f aca="false">IF(G1323="","",G1323-B1323)</f>
        <v>0</v>
      </c>
      <c r="N1323" s="24" t="str">
        <f aca="false">IF(COUNTIF($A$2:A1323,A1323)&gt;1,"Duplicate ID",IF(C1323="","Missing source",IF(OR(AND(G1323&lt;&gt;"",G1323&lt;B1323),AND(H1323&lt;&gt;"",H1323&lt;B1323),AND(I1323&lt;&gt;"",I1323&lt;H1323),AND(J1323&lt;&gt;"",J1323&lt;I1323)),"Date error","OK")))</f>
        <v>OK</v>
      </c>
    </row>
    <row r="1324" customFormat="false" ht="15" hidden="false" customHeight="false" outlineLevel="0" collapsed="false">
      <c r="A1324" s="24" t="s">
        <v>1402</v>
      </c>
      <c r="B1324" s="31" t="n">
        <v>46242</v>
      </c>
      <c r="C1324" s="24" t="s">
        <v>24</v>
      </c>
      <c r="D1324" s="24" t="s">
        <v>36</v>
      </c>
      <c r="E1324" s="24" t="s">
        <v>89</v>
      </c>
      <c r="F1324" s="24" t="s">
        <v>45</v>
      </c>
      <c r="G1324" s="31" t="n">
        <v>46242</v>
      </c>
      <c r="H1324" s="24"/>
      <c r="I1324" s="24"/>
      <c r="J1324" s="24"/>
      <c r="K1324" s="24" t="n">
        <v>2</v>
      </c>
      <c r="L1324" s="24" t="str">
        <f aca="false">IF(J1324&lt;&gt;"","Enrolled",IF(I1324&lt;&gt;"","Admitted",IF(H1324&lt;&gt;"","Applied",IF(G1324&lt;&gt;"","Contacted","New"))))</f>
        <v>Contacted</v>
      </c>
      <c r="M1324" s="32" t="n">
        <f aca="false">IF(G1324="","",G1324-B1324)</f>
        <v>0</v>
      </c>
      <c r="N1324" s="24" t="str">
        <f aca="false">IF(COUNTIF($A$2:A1324,A1324)&gt;1,"Duplicate ID",IF(C1324="","Missing source",IF(OR(AND(G1324&lt;&gt;"",G1324&lt;B1324),AND(H1324&lt;&gt;"",H1324&lt;B1324),AND(I1324&lt;&gt;"",I1324&lt;H1324),AND(J1324&lt;&gt;"",J1324&lt;I1324)),"Date error","OK")))</f>
        <v>OK</v>
      </c>
    </row>
    <row r="1325" customFormat="false" ht="15" hidden="false" customHeight="false" outlineLevel="0" collapsed="false">
      <c r="A1325" s="24" t="s">
        <v>1403</v>
      </c>
      <c r="B1325" s="31" t="n">
        <v>46243</v>
      </c>
      <c r="C1325" s="24" t="s">
        <v>23</v>
      </c>
      <c r="D1325" s="24" t="s">
        <v>33</v>
      </c>
      <c r="E1325" s="24" t="s">
        <v>79</v>
      </c>
      <c r="F1325" s="24" t="s">
        <v>44</v>
      </c>
      <c r="G1325" s="31" t="n">
        <v>46248</v>
      </c>
      <c r="H1325" s="31" t="n">
        <v>46255</v>
      </c>
      <c r="I1325" s="31" t="n">
        <v>46262</v>
      </c>
      <c r="J1325" s="24"/>
      <c r="K1325" s="24" t="n">
        <v>1</v>
      </c>
      <c r="L1325" s="24" t="str">
        <f aca="false">IF(J1325&lt;&gt;"","Enrolled",IF(I1325&lt;&gt;"","Admitted",IF(H1325&lt;&gt;"","Applied",IF(G1325&lt;&gt;"","Contacted","New"))))</f>
        <v>Admitted</v>
      </c>
      <c r="M1325" s="32" t="n">
        <f aca="false">IF(G1325="","",G1325-B1325)</f>
        <v>5</v>
      </c>
      <c r="N1325" s="24" t="str">
        <f aca="false">IF(COUNTIF($A$2:A1325,A1325)&gt;1,"Duplicate ID",IF(C1325="","Missing source",IF(OR(AND(G1325&lt;&gt;"",G1325&lt;B1325),AND(H1325&lt;&gt;"",H1325&lt;B1325),AND(I1325&lt;&gt;"",I1325&lt;H1325),AND(J1325&lt;&gt;"",J1325&lt;I1325)),"Date error","OK")))</f>
        <v>OK</v>
      </c>
    </row>
    <row r="1326" customFormat="false" ht="15" hidden="false" customHeight="false" outlineLevel="0" collapsed="false">
      <c r="A1326" s="24" t="s">
        <v>1404</v>
      </c>
      <c r="B1326" s="31" t="n">
        <v>46243</v>
      </c>
      <c r="C1326" s="24" t="s">
        <v>26</v>
      </c>
      <c r="D1326" s="24" t="s">
        <v>35</v>
      </c>
      <c r="E1326" s="24" t="s">
        <v>84</v>
      </c>
      <c r="F1326" s="24" t="s">
        <v>41</v>
      </c>
      <c r="G1326" s="31" t="n">
        <v>46243</v>
      </c>
      <c r="H1326" s="24"/>
      <c r="I1326" s="24"/>
      <c r="J1326" s="24"/>
      <c r="K1326" s="24" t="n">
        <v>4</v>
      </c>
      <c r="L1326" s="24" t="str">
        <f aca="false">IF(J1326&lt;&gt;"","Enrolled",IF(I1326&lt;&gt;"","Admitted",IF(H1326&lt;&gt;"","Applied",IF(G1326&lt;&gt;"","Contacted","New"))))</f>
        <v>Contacted</v>
      </c>
      <c r="M1326" s="32" t="n">
        <f aca="false">IF(G1326="","",G1326-B1326)</f>
        <v>0</v>
      </c>
      <c r="N1326" s="24" t="str">
        <f aca="false">IF(COUNTIF($A$2:A1326,A1326)&gt;1,"Duplicate ID",IF(C1326="","Missing source",IF(OR(AND(G1326&lt;&gt;"",G1326&lt;B1326),AND(H1326&lt;&gt;"",H1326&lt;B1326),AND(I1326&lt;&gt;"",I1326&lt;H1326),AND(J1326&lt;&gt;"",J1326&lt;I1326)),"Date error","OK")))</f>
        <v>OK</v>
      </c>
    </row>
    <row r="1327" customFormat="false" ht="15" hidden="false" customHeight="false" outlineLevel="0" collapsed="false">
      <c r="A1327" s="24" t="s">
        <v>1405</v>
      </c>
      <c r="B1327" s="31" t="n">
        <v>46243</v>
      </c>
      <c r="C1327" s="24" t="s">
        <v>25</v>
      </c>
      <c r="D1327" s="24" t="s">
        <v>32</v>
      </c>
      <c r="E1327" s="24" t="s">
        <v>89</v>
      </c>
      <c r="F1327" s="24" t="s">
        <v>42</v>
      </c>
      <c r="G1327" s="31" t="n">
        <v>46245</v>
      </c>
      <c r="H1327" s="24"/>
      <c r="I1327" s="24"/>
      <c r="J1327" s="24"/>
      <c r="K1327" s="24" t="n">
        <v>5</v>
      </c>
      <c r="L1327" s="24" t="str">
        <f aca="false">IF(J1327&lt;&gt;"","Enrolled",IF(I1327&lt;&gt;"","Admitted",IF(H1327&lt;&gt;"","Applied",IF(G1327&lt;&gt;"","Contacted","New"))))</f>
        <v>Contacted</v>
      </c>
      <c r="M1327" s="32" t="n">
        <f aca="false">IF(G1327="","",G1327-B1327)</f>
        <v>2</v>
      </c>
      <c r="N1327" s="24" t="str">
        <f aca="false">IF(COUNTIF($A$2:A1327,A1327)&gt;1,"Duplicate ID",IF(C1327="","Missing source",IF(OR(AND(G1327&lt;&gt;"",G1327&lt;B1327),AND(H1327&lt;&gt;"",H1327&lt;B1327),AND(I1327&lt;&gt;"",I1327&lt;H1327),AND(J1327&lt;&gt;"",J1327&lt;I1327)),"Date error","OK")))</f>
        <v>OK</v>
      </c>
    </row>
    <row r="1328" customFormat="false" ht="15" hidden="false" customHeight="false" outlineLevel="0" collapsed="false">
      <c r="A1328" s="24" t="s">
        <v>1406</v>
      </c>
      <c r="B1328" s="31" t="n">
        <v>46243</v>
      </c>
      <c r="C1328" s="24" t="s">
        <v>23</v>
      </c>
      <c r="D1328" s="24" t="s">
        <v>34</v>
      </c>
      <c r="E1328" s="24" t="s">
        <v>79</v>
      </c>
      <c r="F1328" s="24" t="s">
        <v>45</v>
      </c>
      <c r="G1328" s="31" t="n">
        <v>46244</v>
      </c>
      <c r="H1328" s="24"/>
      <c r="I1328" s="24"/>
      <c r="J1328" s="24"/>
      <c r="K1328" s="24" t="n">
        <v>4</v>
      </c>
      <c r="L1328" s="24" t="str">
        <f aca="false">IF(J1328&lt;&gt;"","Enrolled",IF(I1328&lt;&gt;"","Admitted",IF(H1328&lt;&gt;"","Applied",IF(G1328&lt;&gt;"","Contacted","New"))))</f>
        <v>Contacted</v>
      </c>
      <c r="M1328" s="32" t="n">
        <f aca="false">IF(G1328="","",G1328-B1328)</f>
        <v>1</v>
      </c>
      <c r="N1328" s="24" t="str">
        <f aca="false">IF(COUNTIF($A$2:A1328,A1328)&gt;1,"Duplicate ID",IF(C1328="","Missing source",IF(OR(AND(G1328&lt;&gt;"",G1328&lt;B1328),AND(H1328&lt;&gt;"",H1328&lt;B1328),AND(I1328&lt;&gt;"",I1328&lt;H1328),AND(J1328&lt;&gt;"",J1328&lt;I1328)),"Date error","OK")))</f>
        <v>OK</v>
      </c>
    </row>
    <row r="1329" customFormat="false" ht="15" hidden="false" customHeight="false" outlineLevel="0" collapsed="false">
      <c r="A1329" s="24" t="s">
        <v>1407</v>
      </c>
      <c r="B1329" s="31" t="n">
        <v>46243</v>
      </c>
      <c r="C1329" s="24" t="s">
        <v>26</v>
      </c>
      <c r="D1329" s="24" t="s">
        <v>36</v>
      </c>
      <c r="E1329" s="24" t="s">
        <v>81</v>
      </c>
      <c r="F1329" s="24" t="s">
        <v>44</v>
      </c>
      <c r="G1329" s="31" t="n">
        <v>46245</v>
      </c>
      <c r="H1329" s="24"/>
      <c r="I1329" s="24"/>
      <c r="J1329" s="24"/>
      <c r="K1329" s="24" t="n">
        <v>2</v>
      </c>
      <c r="L1329" s="24" t="str">
        <f aca="false">IF(J1329&lt;&gt;"","Enrolled",IF(I1329&lt;&gt;"","Admitted",IF(H1329&lt;&gt;"","Applied",IF(G1329&lt;&gt;"","Contacted","New"))))</f>
        <v>Contacted</v>
      </c>
      <c r="M1329" s="32" t="n">
        <f aca="false">IF(G1329="","",G1329-B1329)</f>
        <v>2</v>
      </c>
      <c r="N1329" s="24" t="str">
        <f aca="false">IF(COUNTIF($A$2:A1329,A1329)&gt;1,"Duplicate ID",IF(C1329="","Missing source",IF(OR(AND(G1329&lt;&gt;"",G1329&lt;B1329),AND(H1329&lt;&gt;"",H1329&lt;B1329),AND(I1329&lt;&gt;"",I1329&lt;H1329),AND(J1329&lt;&gt;"",J1329&lt;I1329)),"Date error","OK")))</f>
        <v>OK</v>
      </c>
    </row>
    <row r="1330" customFormat="false" ht="15" hidden="false" customHeight="false" outlineLevel="0" collapsed="false">
      <c r="A1330" s="24" t="s">
        <v>1408</v>
      </c>
      <c r="B1330" s="31" t="n">
        <v>46243</v>
      </c>
      <c r="C1330" s="24" t="s">
        <v>23</v>
      </c>
      <c r="D1330" s="24" t="s">
        <v>33</v>
      </c>
      <c r="E1330" s="24" t="s">
        <v>89</v>
      </c>
      <c r="F1330" s="24" t="s">
        <v>40</v>
      </c>
      <c r="G1330" s="31" t="n">
        <v>46243</v>
      </c>
      <c r="H1330" s="24"/>
      <c r="I1330" s="24"/>
      <c r="J1330" s="24"/>
      <c r="K1330" s="24" t="n">
        <v>3</v>
      </c>
      <c r="L1330" s="24" t="str">
        <f aca="false">IF(J1330&lt;&gt;"","Enrolled",IF(I1330&lt;&gt;"","Admitted",IF(H1330&lt;&gt;"","Applied",IF(G1330&lt;&gt;"","Contacted","New"))))</f>
        <v>Contacted</v>
      </c>
      <c r="M1330" s="32" t="n">
        <f aca="false">IF(G1330="","",G1330-B1330)</f>
        <v>0</v>
      </c>
      <c r="N1330" s="24" t="str">
        <f aca="false">IF(COUNTIF($A$2:A1330,A1330)&gt;1,"Duplicate ID",IF(C1330="","Missing source",IF(OR(AND(G1330&lt;&gt;"",G1330&lt;B1330),AND(H1330&lt;&gt;"",H1330&lt;B1330),AND(I1330&lt;&gt;"",I1330&lt;H1330),AND(J1330&lt;&gt;"",J1330&lt;I1330)),"Date error","OK")))</f>
        <v>OK</v>
      </c>
    </row>
    <row r="1331" customFormat="false" ht="15" hidden="false" customHeight="false" outlineLevel="0" collapsed="false">
      <c r="A1331" s="24" t="s">
        <v>1409</v>
      </c>
      <c r="B1331" s="31" t="n">
        <v>46243</v>
      </c>
      <c r="C1331" s="24" t="s">
        <v>26</v>
      </c>
      <c r="D1331" s="24" t="s">
        <v>33</v>
      </c>
      <c r="E1331" s="24" t="s">
        <v>89</v>
      </c>
      <c r="F1331" s="24" t="s">
        <v>44</v>
      </c>
      <c r="G1331" s="31" t="n">
        <v>46244</v>
      </c>
      <c r="H1331" s="24"/>
      <c r="I1331" s="24"/>
      <c r="J1331" s="24"/>
      <c r="K1331" s="24" t="n">
        <v>3</v>
      </c>
      <c r="L1331" s="24" t="str">
        <f aca="false">IF(J1331&lt;&gt;"","Enrolled",IF(I1331&lt;&gt;"","Admitted",IF(H1331&lt;&gt;"","Applied",IF(G1331&lt;&gt;"","Contacted","New"))))</f>
        <v>Contacted</v>
      </c>
      <c r="M1331" s="32" t="n">
        <f aca="false">IF(G1331="","",G1331-B1331)</f>
        <v>1</v>
      </c>
      <c r="N1331" s="24" t="str">
        <f aca="false">IF(COUNTIF($A$2:A1331,A1331)&gt;1,"Duplicate ID",IF(C1331="","Missing source",IF(OR(AND(G1331&lt;&gt;"",G1331&lt;B1331),AND(H1331&lt;&gt;"",H1331&lt;B1331),AND(I1331&lt;&gt;"",I1331&lt;H1331),AND(J1331&lt;&gt;"",J1331&lt;I1331)),"Date error","OK")))</f>
        <v>OK</v>
      </c>
    </row>
    <row r="1332" customFormat="false" ht="15" hidden="false" customHeight="false" outlineLevel="0" collapsed="false">
      <c r="A1332" s="24" t="s">
        <v>1410</v>
      </c>
      <c r="B1332" s="31" t="n">
        <v>46243</v>
      </c>
      <c r="C1332" s="24" t="s">
        <v>26</v>
      </c>
      <c r="D1332" s="24" t="s">
        <v>33</v>
      </c>
      <c r="E1332" s="24" t="s">
        <v>94</v>
      </c>
      <c r="F1332" s="24" t="s">
        <v>42</v>
      </c>
      <c r="G1332" s="31" t="n">
        <v>46244</v>
      </c>
      <c r="H1332" s="24"/>
      <c r="I1332" s="24"/>
      <c r="J1332" s="24"/>
      <c r="K1332" s="24" t="n">
        <v>2</v>
      </c>
      <c r="L1332" s="24" t="str">
        <f aca="false">IF(J1332&lt;&gt;"","Enrolled",IF(I1332&lt;&gt;"","Admitted",IF(H1332&lt;&gt;"","Applied",IF(G1332&lt;&gt;"","Contacted","New"))))</f>
        <v>Contacted</v>
      </c>
      <c r="M1332" s="32" t="n">
        <f aca="false">IF(G1332="","",G1332-B1332)</f>
        <v>1</v>
      </c>
      <c r="N1332" s="24" t="str">
        <f aca="false">IF(COUNTIF($A$2:A1332,A1332)&gt;1,"Duplicate ID",IF(C1332="","Missing source",IF(OR(AND(G1332&lt;&gt;"",G1332&lt;B1332),AND(H1332&lt;&gt;"",H1332&lt;B1332),AND(I1332&lt;&gt;"",I1332&lt;H1332),AND(J1332&lt;&gt;"",J1332&lt;I1332)),"Date error","OK")))</f>
        <v>OK</v>
      </c>
    </row>
    <row r="1333" customFormat="false" ht="15" hidden="false" customHeight="false" outlineLevel="0" collapsed="false">
      <c r="A1333" s="24" t="s">
        <v>1411</v>
      </c>
      <c r="B1333" s="31" t="n">
        <v>46244</v>
      </c>
      <c r="C1333" s="24" t="s">
        <v>26</v>
      </c>
      <c r="D1333" s="24" t="s">
        <v>35</v>
      </c>
      <c r="E1333" s="24" t="s">
        <v>89</v>
      </c>
      <c r="F1333" s="24" t="s">
        <v>45</v>
      </c>
      <c r="G1333" s="31" t="n">
        <v>46245</v>
      </c>
      <c r="H1333" s="24"/>
      <c r="I1333" s="24"/>
      <c r="J1333" s="24"/>
      <c r="K1333" s="24" t="n">
        <v>0</v>
      </c>
      <c r="L1333" s="24" t="str">
        <f aca="false">IF(J1333&lt;&gt;"","Enrolled",IF(I1333&lt;&gt;"","Admitted",IF(H1333&lt;&gt;"","Applied",IF(G1333&lt;&gt;"","Contacted","New"))))</f>
        <v>Contacted</v>
      </c>
      <c r="M1333" s="32" t="n">
        <f aca="false">IF(G1333="","",G1333-B1333)</f>
        <v>1</v>
      </c>
      <c r="N1333" s="24" t="str">
        <f aca="false">IF(COUNTIF($A$2:A1333,A1333)&gt;1,"Duplicate ID",IF(C1333="","Missing source",IF(OR(AND(G1333&lt;&gt;"",G1333&lt;B1333),AND(H1333&lt;&gt;"",H1333&lt;B1333),AND(I1333&lt;&gt;"",I1333&lt;H1333),AND(J1333&lt;&gt;"",J1333&lt;I1333)),"Date error","OK")))</f>
        <v>OK</v>
      </c>
    </row>
    <row r="1334" customFormat="false" ht="15" hidden="false" customHeight="false" outlineLevel="0" collapsed="false">
      <c r="A1334" s="24" t="s">
        <v>1412</v>
      </c>
      <c r="B1334" s="31" t="n">
        <v>46244</v>
      </c>
      <c r="C1334" s="24" t="s">
        <v>27</v>
      </c>
      <c r="D1334" s="24" t="s">
        <v>36</v>
      </c>
      <c r="E1334" s="24" t="s">
        <v>89</v>
      </c>
      <c r="F1334" s="24" t="s">
        <v>43</v>
      </c>
      <c r="G1334" s="24"/>
      <c r="H1334" s="24"/>
      <c r="I1334" s="24"/>
      <c r="J1334" s="24"/>
      <c r="K1334" s="24" t="n">
        <v>0</v>
      </c>
      <c r="L1334" s="24" t="str">
        <f aca="false">IF(J1334&lt;&gt;"","Enrolled",IF(I1334&lt;&gt;"","Admitted",IF(H1334&lt;&gt;"","Applied",IF(G1334&lt;&gt;"","Contacted","New"))))</f>
        <v>New</v>
      </c>
      <c r="M1334" s="32" t="str">
        <f aca="false">IF(G1334="","",G1334-B1334)</f>
        <v/>
      </c>
      <c r="N1334" s="24" t="str">
        <f aca="false">IF(COUNTIF($A$2:A1334,A1334)&gt;1,"Duplicate ID",IF(C1334="","Missing source",IF(OR(AND(G1334&lt;&gt;"",G1334&lt;B1334),AND(H1334&lt;&gt;"",H1334&lt;B1334),AND(I1334&lt;&gt;"",I1334&lt;H1334),AND(J1334&lt;&gt;"",J1334&lt;I1334)),"Date error","OK")))</f>
        <v>OK</v>
      </c>
    </row>
    <row r="1335" customFormat="false" ht="15" hidden="false" customHeight="false" outlineLevel="0" collapsed="false">
      <c r="A1335" s="24" t="s">
        <v>1413</v>
      </c>
      <c r="B1335" s="31" t="n">
        <v>46244</v>
      </c>
      <c r="C1335" s="24" t="s">
        <v>25</v>
      </c>
      <c r="D1335" s="24" t="s">
        <v>33</v>
      </c>
      <c r="E1335" s="24" t="s">
        <v>89</v>
      </c>
      <c r="F1335" s="24" t="s">
        <v>41</v>
      </c>
      <c r="G1335" s="31" t="n">
        <v>46249</v>
      </c>
      <c r="H1335" s="24"/>
      <c r="I1335" s="24"/>
      <c r="J1335" s="24"/>
      <c r="K1335" s="24" t="n">
        <v>3</v>
      </c>
      <c r="L1335" s="24" t="str">
        <f aca="false">IF(J1335&lt;&gt;"","Enrolled",IF(I1335&lt;&gt;"","Admitted",IF(H1335&lt;&gt;"","Applied",IF(G1335&lt;&gt;"","Contacted","New"))))</f>
        <v>Contacted</v>
      </c>
      <c r="M1335" s="32" t="n">
        <f aca="false">IF(G1335="","",G1335-B1335)</f>
        <v>5</v>
      </c>
      <c r="N1335" s="24" t="str">
        <f aca="false">IF(COUNTIF($A$2:A1335,A1335)&gt;1,"Duplicate ID",IF(C1335="","Missing source",IF(OR(AND(G1335&lt;&gt;"",G1335&lt;B1335),AND(H1335&lt;&gt;"",H1335&lt;B1335),AND(I1335&lt;&gt;"",I1335&lt;H1335),AND(J1335&lt;&gt;"",J1335&lt;I1335)),"Date error","OK")))</f>
        <v>OK</v>
      </c>
    </row>
    <row r="1336" customFormat="false" ht="15" hidden="false" customHeight="false" outlineLevel="0" collapsed="false">
      <c r="A1336" s="24" t="s">
        <v>1414</v>
      </c>
      <c r="B1336" s="31" t="n">
        <v>46244</v>
      </c>
      <c r="C1336" s="24" t="s">
        <v>27</v>
      </c>
      <c r="D1336" s="24" t="s">
        <v>36</v>
      </c>
      <c r="E1336" s="24" t="s">
        <v>79</v>
      </c>
      <c r="F1336" s="24" t="s">
        <v>41</v>
      </c>
      <c r="G1336" s="24"/>
      <c r="H1336" s="24"/>
      <c r="I1336" s="24"/>
      <c r="J1336" s="24"/>
      <c r="K1336" s="24" t="n">
        <v>0</v>
      </c>
      <c r="L1336" s="24" t="str">
        <f aca="false">IF(J1336&lt;&gt;"","Enrolled",IF(I1336&lt;&gt;"","Admitted",IF(H1336&lt;&gt;"","Applied",IF(G1336&lt;&gt;"","Contacted","New"))))</f>
        <v>New</v>
      </c>
      <c r="M1336" s="32" t="str">
        <f aca="false">IF(G1336="","",G1336-B1336)</f>
        <v/>
      </c>
      <c r="N1336" s="24" t="str">
        <f aca="false">IF(COUNTIF($A$2:A1336,A1336)&gt;1,"Duplicate ID",IF(C1336="","Missing source",IF(OR(AND(G1336&lt;&gt;"",G1336&lt;B1336),AND(H1336&lt;&gt;"",H1336&lt;B1336),AND(I1336&lt;&gt;"",I1336&lt;H1336),AND(J1336&lt;&gt;"",J1336&lt;I1336)),"Date error","OK")))</f>
        <v>OK</v>
      </c>
    </row>
    <row r="1337" customFormat="false" ht="15" hidden="false" customHeight="false" outlineLevel="0" collapsed="false">
      <c r="A1337" s="24" t="s">
        <v>1415</v>
      </c>
      <c r="B1337" s="31" t="n">
        <v>46244</v>
      </c>
      <c r="C1337" s="24" t="s">
        <v>24</v>
      </c>
      <c r="D1337" s="24" t="s">
        <v>33</v>
      </c>
      <c r="E1337" s="24" t="s">
        <v>79</v>
      </c>
      <c r="F1337" s="24" t="s">
        <v>44</v>
      </c>
      <c r="G1337" s="24"/>
      <c r="H1337" s="24"/>
      <c r="I1337" s="24"/>
      <c r="J1337" s="24"/>
      <c r="K1337" s="24" t="n">
        <v>0</v>
      </c>
      <c r="L1337" s="24" t="str">
        <f aca="false">IF(J1337&lt;&gt;"","Enrolled",IF(I1337&lt;&gt;"","Admitted",IF(H1337&lt;&gt;"","Applied",IF(G1337&lt;&gt;"","Contacted","New"))))</f>
        <v>New</v>
      </c>
      <c r="M1337" s="32" t="str">
        <f aca="false">IF(G1337="","",G1337-B1337)</f>
        <v/>
      </c>
      <c r="N1337" s="24" t="str">
        <f aca="false">IF(COUNTIF($A$2:A1337,A1337)&gt;1,"Duplicate ID",IF(C1337="","Missing source",IF(OR(AND(G1337&lt;&gt;"",G1337&lt;B1337),AND(H1337&lt;&gt;"",H1337&lt;B1337),AND(I1337&lt;&gt;"",I1337&lt;H1337),AND(J1337&lt;&gt;"",J1337&lt;I1337)),"Date error","OK")))</f>
        <v>OK</v>
      </c>
    </row>
    <row r="1338" customFormat="false" ht="15" hidden="false" customHeight="false" outlineLevel="0" collapsed="false">
      <c r="A1338" s="24" t="s">
        <v>1416</v>
      </c>
      <c r="B1338" s="31" t="n">
        <v>46244</v>
      </c>
      <c r="C1338" s="24" t="s">
        <v>23</v>
      </c>
      <c r="D1338" s="24" t="s">
        <v>33</v>
      </c>
      <c r="E1338" s="24" t="s">
        <v>81</v>
      </c>
      <c r="F1338" s="24" t="s">
        <v>42</v>
      </c>
      <c r="G1338" s="31" t="n">
        <v>46245</v>
      </c>
      <c r="H1338" s="31" t="n">
        <v>46259</v>
      </c>
      <c r="I1338" s="24"/>
      <c r="J1338" s="24"/>
      <c r="K1338" s="24" t="n">
        <v>2</v>
      </c>
      <c r="L1338" s="24" t="str">
        <f aca="false">IF(J1338&lt;&gt;"","Enrolled",IF(I1338&lt;&gt;"","Admitted",IF(H1338&lt;&gt;"","Applied",IF(G1338&lt;&gt;"","Contacted","New"))))</f>
        <v>Applied</v>
      </c>
      <c r="M1338" s="32" t="n">
        <f aca="false">IF(G1338="","",G1338-B1338)</f>
        <v>1</v>
      </c>
      <c r="N1338" s="24" t="str">
        <f aca="false">IF(COUNTIF($A$2:A1338,A1338)&gt;1,"Duplicate ID",IF(C1338="","Missing source",IF(OR(AND(G1338&lt;&gt;"",G1338&lt;B1338),AND(H1338&lt;&gt;"",H1338&lt;B1338),AND(I1338&lt;&gt;"",I1338&lt;H1338),AND(J1338&lt;&gt;"",J1338&lt;I1338)),"Date error","OK")))</f>
        <v>OK</v>
      </c>
    </row>
    <row r="1339" customFormat="false" ht="15" hidden="false" customHeight="false" outlineLevel="0" collapsed="false">
      <c r="A1339" s="24" t="s">
        <v>1417</v>
      </c>
      <c r="B1339" s="31" t="n">
        <v>46244</v>
      </c>
      <c r="C1339" s="24" t="s">
        <v>21</v>
      </c>
      <c r="D1339" s="24" t="s">
        <v>32</v>
      </c>
      <c r="E1339" s="24" t="s">
        <v>89</v>
      </c>
      <c r="F1339" s="24" t="s">
        <v>42</v>
      </c>
      <c r="G1339" s="31" t="n">
        <v>46245</v>
      </c>
      <c r="H1339" s="31" t="n">
        <v>46263</v>
      </c>
      <c r="I1339" s="24"/>
      <c r="J1339" s="24"/>
      <c r="K1339" s="24" t="n">
        <v>3</v>
      </c>
      <c r="L1339" s="24" t="str">
        <f aca="false">IF(J1339&lt;&gt;"","Enrolled",IF(I1339&lt;&gt;"","Admitted",IF(H1339&lt;&gt;"","Applied",IF(G1339&lt;&gt;"","Contacted","New"))))</f>
        <v>Applied</v>
      </c>
      <c r="M1339" s="32" t="n">
        <f aca="false">IF(G1339="","",G1339-B1339)</f>
        <v>1</v>
      </c>
      <c r="N1339" s="24" t="str">
        <f aca="false">IF(COUNTIF($A$2:A1339,A1339)&gt;1,"Duplicate ID",IF(C1339="","Missing source",IF(OR(AND(G1339&lt;&gt;"",G1339&lt;B1339),AND(H1339&lt;&gt;"",H1339&lt;B1339),AND(I1339&lt;&gt;"",I1339&lt;H1339),AND(J1339&lt;&gt;"",J1339&lt;I1339)),"Date error","OK")))</f>
        <v>OK</v>
      </c>
    </row>
    <row r="1340" customFormat="false" ht="15" hidden="false" customHeight="false" outlineLevel="0" collapsed="false">
      <c r="A1340" s="24" t="s">
        <v>1418</v>
      </c>
      <c r="B1340" s="31" t="n">
        <v>46244</v>
      </c>
      <c r="C1340" s="24" t="s">
        <v>26</v>
      </c>
      <c r="D1340" s="24" t="s">
        <v>32</v>
      </c>
      <c r="E1340" s="24" t="s">
        <v>94</v>
      </c>
      <c r="F1340" s="24" t="s">
        <v>44</v>
      </c>
      <c r="G1340" s="24"/>
      <c r="H1340" s="24"/>
      <c r="I1340" s="24"/>
      <c r="J1340" s="24"/>
      <c r="K1340" s="24" t="n">
        <v>0</v>
      </c>
      <c r="L1340" s="24" t="str">
        <f aca="false">IF(J1340&lt;&gt;"","Enrolled",IF(I1340&lt;&gt;"","Admitted",IF(H1340&lt;&gt;"","Applied",IF(G1340&lt;&gt;"","Contacted","New"))))</f>
        <v>New</v>
      </c>
      <c r="M1340" s="32" t="str">
        <f aca="false">IF(G1340="","",G1340-B1340)</f>
        <v/>
      </c>
      <c r="N1340" s="24" t="str">
        <f aca="false">IF(COUNTIF($A$2:A1340,A1340)&gt;1,"Duplicate ID",IF(C1340="","Missing source",IF(OR(AND(G1340&lt;&gt;"",G1340&lt;B1340),AND(H1340&lt;&gt;"",H1340&lt;B1340),AND(I1340&lt;&gt;"",I1340&lt;H1340),AND(J1340&lt;&gt;"",J1340&lt;I1340)),"Date error","OK")))</f>
        <v>OK</v>
      </c>
    </row>
    <row r="1341" customFormat="false" ht="15" hidden="false" customHeight="false" outlineLevel="0" collapsed="false">
      <c r="A1341" s="24" t="s">
        <v>1419</v>
      </c>
      <c r="B1341" s="31" t="n">
        <v>46244</v>
      </c>
      <c r="C1341" s="24" t="s">
        <v>27</v>
      </c>
      <c r="D1341" s="24" t="s">
        <v>34</v>
      </c>
      <c r="E1341" s="24" t="s">
        <v>84</v>
      </c>
      <c r="F1341" s="24" t="s">
        <v>45</v>
      </c>
      <c r="G1341" s="31" t="n">
        <v>46244</v>
      </c>
      <c r="H1341" s="24"/>
      <c r="I1341" s="24"/>
      <c r="J1341" s="24"/>
      <c r="K1341" s="24" t="n">
        <v>1</v>
      </c>
      <c r="L1341" s="24" t="str">
        <f aca="false">IF(J1341&lt;&gt;"","Enrolled",IF(I1341&lt;&gt;"","Admitted",IF(H1341&lt;&gt;"","Applied",IF(G1341&lt;&gt;"","Contacted","New"))))</f>
        <v>Contacted</v>
      </c>
      <c r="M1341" s="32" t="n">
        <f aca="false">IF(G1341="","",G1341-B1341)</f>
        <v>0</v>
      </c>
      <c r="N1341" s="24" t="str">
        <f aca="false">IF(COUNTIF($A$2:A1341,A1341)&gt;1,"Duplicate ID",IF(C1341="","Missing source",IF(OR(AND(G1341&lt;&gt;"",G1341&lt;B1341),AND(H1341&lt;&gt;"",H1341&lt;B1341),AND(I1341&lt;&gt;"",I1341&lt;H1341),AND(J1341&lt;&gt;"",J1341&lt;I1341)),"Date error","OK")))</f>
        <v>OK</v>
      </c>
    </row>
    <row r="1342" customFormat="false" ht="15" hidden="false" customHeight="false" outlineLevel="0" collapsed="false">
      <c r="A1342" s="24" t="s">
        <v>1420</v>
      </c>
      <c r="B1342" s="31" t="n">
        <v>46244</v>
      </c>
      <c r="C1342" s="24" t="s">
        <v>26</v>
      </c>
      <c r="D1342" s="24" t="s">
        <v>33</v>
      </c>
      <c r="E1342" s="24" t="s">
        <v>89</v>
      </c>
      <c r="F1342" s="24" t="s">
        <v>45</v>
      </c>
      <c r="G1342" s="31" t="n">
        <v>46247</v>
      </c>
      <c r="H1342" s="24"/>
      <c r="I1342" s="24"/>
      <c r="J1342" s="24"/>
      <c r="K1342" s="24" t="n">
        <v>2</v>
      </c>
      <c r="L1342" s="24" t="str">
        <f aca="false">IF(J1342&lt;&gt;"","Enrolled",IF(I1342&lt;&gt;"","Admitted",IF(H1342&lt;&gt;"","Applied",IF(G1342&lt;&gt;"","Contacted","New"))))</f>
        <v>Contacted</v>
      </c>
      <c r="M1342" s="32" t="n">
        <f aca="false">IF(G1342="","",G1342-B1342)</f>
        <v>3</v>
      </c>
      <c r="N1342" s="24" t="str">
        <f aca="false">IF(COUNTIF($A$2:A1342,A1342)&gt;1,"Duplicate ID",IF(C1342="","Missing source",IF(OR(AND(G1342&lt;&gt;"",G1342&lt;B1342),AND(H1342&lt;&gt;"",H1342&lt;B1342),AND(I1342&lt;&gt;"",I1342&lt;H1342),AND(J1342&lt;&gt;"",J1342&lt;I1342)),"Date error","OK")))</f>
        <v>OK</v>
      </c>
    </row>
    <row r="1343" customFormat="false" ht="15" hidden="false" customHeight="false" outlineLevel="0" collapsed="false">
      <c r="A1343" s="24" t="s">
        <v>1421</v>
      </c>
      <c r="B1343" s="31" t="n">
        <v>46245</v>
      </c>
      <c r="C1343" s="24" t="s">
        <v>26</v>
      </c>
      <c r="D1343" s="24" t="s">
        <v>34</v>
      </c>
      <c r="E1343" s="24" t="s">
        <v>81</v>
      </c>
      <c r="F1343" s="24" t="s">
        <v>41</v>
      </c>
      <c r="G1343" s="24"/>
      <c r="H1343" s="24"/>
      <c r="I1343" s="24"/>
      <c r="J1343" s="24"/>
      <c r="K1343" s="24" t="n">
        <v>0</v>
      </c>
      <c r="L1343" s="24" t="str">
        <f aca="false">IF(J1343&lt;&gt;"","Enrolled",IF(I1343&lt;&gt;"","Admitted",IF(H1343&lt;&gt;"","Applied",IF(G1343&lt;&gt;"","Contacted","New"))))</f>
        <v>New</v>
      </c>
      <c r="M1343" s="32" t="str">
        <f aca="false">IF(G1343="","",G1343-B1343)</f>
        <v/>
      </c>
      <c r="N1343" s="24" t="str">
        <f aca="false">IF(COUNTIF($A$2:A1343,A1343)&gt;1,"Duplicate ID",IF(C1343="","Missing source",IF(OR(AND(G1343&lt;&gt;"",G1343&lt;B1343),AND(H1343&lt;&gt;"",H1343&lt;B1343),AND(I1343&lt;&gt;"",I1343&lt;H1343),AND(J1343&lt;&gt;"",J1343&lt;I1343)),"Date error","OK")))</f>
        <v>OK</v>
      </c>
    </row>
    <row r="1344" customFormat="false" ht="15" hidden="false" customHeight="false" outlineLevel="0" collapsed="false">
      <c r="A1344" s="24" t="s">
        <v>1422</v>
      </c>
      <c r="B1344" s="31" t="n">
        <v>46245</v>
      </c>
      <c r="C1344" s="24" t="s">
        <v>25</v>
      </c>
      <c r="D1344" s="24" t="s">
        <v>36</v>
      </c>
      <c r="E1344" s="24" t="s">
        <v>89</v>
      </c>
      <c r="F1344" s="24" t="s">
        <v>43</v>
      </c>
      <c r="G1344" s="24"/>
      <c r="H1344" s="24"/>
      <c r="I1344" s="24"/>
      <c r="J1344" s="24"/>
      <c r="K1344" s="24" t="n">
        <v>0</v>
      </c>
      <c r="L1344" s="24" t="str">
        <f aca="false">IF(J1344&lt;&gt;"","Enrolled",IF(I1344&lt;&gt;"","Admitted",IF(H1344&lt;&gt;"","Applied",IF(G1344&lt;&gt;"","Contacted","New"))))</f>
        <v>New</v>
      </c>
      <c r="M1344" s="32" t="str">
        <f aca="false">IF(G1344="","",G1344-B1344)</f>
        <v/>
      </c>
      <c r="N1344" s="24" t="str">
        <f aca="false">IF(COUNTIF($A$2:A1344,A1344)&gt;1,"Duplicate ID",IF(C1344="","Missing source",IF(OR(AND(G1344&lt;&gt;"",G1344&lt;B1344),AND(H1344&lt;&gt;"",H1344&lt;B1344),AND(I1344&lt;&gt;"",I1344&lt;H1344),AND(J1344&lt;&gt;"",J1344&lt;I1344)),"Date error","OK")))</f>
        <v>OK</v>
      </c>
    </row>
    <row r="1345" customFormat="false" ht="15" hidden="false" customHeight="false" outlineLevel="0" collapsed="false">
      <c r="A1345" s="24" t="s">
        <v>1423</v>
      </c>
      <c r="B1345" s="31" t="n">
        <v>46245</v>
      </c>
      <c r="C1345" s="24" t="s">
        <v>26</v>
      </c>
      <c r="D1345" s="24" t="s">
        <v>36</v>
      </c>
      <c r="E1345" s="24" t="s">
        <v>89</v>
      </c>
      <c r="F1345" s="24" t="s">
        <v>42</v>
      </c>
      <c r="G1345" s="31" t="n">
        <v>46246</v>
      </c>
      <c r="H1345" s="24"/>
      <c r="I1345" s="24"/>
      <c r="J1345" s="24"/>
      <c r="K1345" s="24" t="n">
        <v>3</v>
      </c>
      <c r="L1345" s="24" t="str">
        <f aca="false">IF(J1345&lt;&gt;"","Enrolled",IF(I1345&lt;&gt;"","Admitted",IF(H1345&lt;&gt;"","Applied",IF(G1345&lt;&gt;"","Contacted","New"))))</f>
        <v>Contacted</v>
      </c>
      <c r="M1345" s="32" t="n">
        <f aca="false">IF(G1345="","",G1345-B1345)</f>
        <v>1</v>
      </c>
      <c r="N1345" s="24" t="str">
        <f aca="false">IF(COUNTIF($A$2:A1345,A1345)&gt;1,"Duplicate ID",IF(C1345="","Missing source",IF(OR(AND(G1345&lt;&gt;"",G1345&lt;B1345),AND(H1345&lt;&gt;"",H1345&lt;B1345),AND(I1345&lt;&gt;"",I1345&lt;H1345),AND(J1345&lt;&gt;"",J1345&lt;I1345)),"Date error","OK")))</f>
        <v>OK</v>
      </c>
    </row>
    <row r="1346" customFormat="false" ht="15" hidden="false" customHeight="false" outlineLevel="0" collapsed="false">
      <c r="A1346" s="24" t="s">
        <v>1424</v>
      </c>
      <c r="B1346" s="31" t="n">
        <v>46245</v>
      </c>
      <c r="C1346" s="24" t="s">
        <v>21</v>
      </c>
      <c r="D1346" s="24" t="s">
        <v>35</v>
      </c>
      <c r="E1346" s="24" t="s">
        <v>84</v>
      </c>
      <c r="F1346" s="24" t="s">
        <v>41</v>
      </c>
      <c r="G1346" s="31" t="n">
        <v>46247</v>
      </c>
      <c r="H1346" s="24"/>
      <c r="I1346" s="24"/>
      <c r="J1346" s="24"/>
      <c r="K1346" s="24" t="n">
        <v>3</v>
      </c>
      <c r="L1346" s="24" t="str">
        <f aca="false">IF(J1346&lt;&gt;"","Enrolled",IF(I1346&lt;&gt;"","Admitted",IF(H1346&lt;&gt;"","Applied",IF(G1346&lt;&gt;"","Contacted","New"))))</f>
        <v>Contacted</v>
      </c>
      <c r="M1346" s="32" t="n">
        <f aca="false">IF(G1346="","",G1346-B1346)</f>
        <v>2</v>
      </c>
      <c r="N1346" s="24" t="str">
        <f aca="false">IF(COUNTIF($A$2:A1346,A1346)&gt;1,"Duplicate ID",IF(C1346="","Missing source",IF(OR(AND(G1346&lt;&gt;"",G1346&lt;B1346),AND(H1346&lt;&gt;"",H1346&lt;B1346),AND(I1346&lt;&gt;"",I1346&lt;H1346),AND(J1346&lt;&gt;"",J1346&lt;I1346)),"Date error","OK")))</f>
        <v>OK</v>
      </c>
    </row>
    <row r="1347" customFormat="false" ht="15" hidden="false" customHeight="false" outlineLevel="0" collapsed="false">
      <c r="A1347" s="24" t="s">
        <v>1425</v>
      </c>
      <c r="B1347" s="31" t="n">
        <v>46245</v>
      </c>
      <c r="C1347" s="24" t="s">
        <v>27</v>
      </c>
      <c r="D1347" s="24" t="s">
        <v>35</v>
      </c>
      <c r="E1347" s="24" t="s">
        <v>89</v>
      </c>
      <c r="F1347" s="24" t="s">
        <v>40</v>
      </c>
      <c r="G1347" s="31" t="n">
        <v>46245</v>
      </c>
      <c r="H1347" s="24"/>
      <c r="I1347" s="24"/>
      <c r="J1347" s="24"/>
      <c r="K1347" s="24" t="n">
        <v>2</v>
      </c>
      <c r="L1347" s="24" t="str">
        <f aca="false">IF(J1347&lt;&gt;"","Enrolled",IF(I1347&lt;&gt;"","Admitted",IF(H1347&lt;&gt;"","Applied",IF(G1347&lt;&gt;"","Contacted","New"))))</f>
        <v>Contacted</v>
      </c>
      <c r="M1347" s="32" t="n">
        <f aca="false">IF(G1347="","",G1347-B1347)</f>
        <v>0</v>
      </c>
      <c r="N1347" s="24" t="str">
        <f aca="false">IF(COUNTIF($A$2:A1347,A1347)&gt;1,"Duplicate ID",IF(C1347="","Missing source",IF(OR(AND(G1347&lt;&gt;"",G1347&lt;B1347),AND(H1347&lt;&gt;"",H1347&lt;B1347),AND(I1347&lt;&gt;"",I1347&lt;H1347),AND(J1347&lt;&gt;"",J1347&lt;I1347)),"Date error","OK")))</f>
        <v>OK</v>
      </c>
    </row>
    <row r="1348" customFormat="false" ht="15" hidden="false" customHeight="false" outlineLevel="0" collapsed="false">
      <c r="A1348" s="24" t="s">
        <v>1426</v>
      </c>
      <c r="B1348" s="31" t="n">
        <v>46245</v>
      </c>
      <c r="C1348" s="24" t="s">
        <v>23</v>
      </c>
      <c r="D1348" s="24" t="s">
        <v>33</v>
      </c>
      <c r="E1348" s="24" t="s">
        <v>81</v>
      </c>
      <c r="F1348" s="24" t="s">
        <v>43</v>
      </c>
      <c r="G1348" s="31" t="n">
        <v>46247</v>
      </c>
      <c r="H1348" s="24"/>
      <c r="I1348" s="24"/>
      <c r="J1348" s="24"/>
      <c r="K1348" s="24" t="n">
        <v>4</v>
      </c>
      <c r="L1348" s="24" t="str">
        <f aca="false">IF(J1348&lt;&gt;"","Enrolled",IF(I1348&lt;&gt;"","Admitted",IF(H1348&lt;&gt;"","Applied",IF(G1348&lt;&gt;"","Contacted","New"))))</f>
        <v>Contacted</v>
      </c>
      <c r="M1348" s="32" t="n">
        <f aca="false">IF(G1348="","",G1348-B1348)</f>
        <v>2</v>
      </c>
      <c r="N1348" s="24" t="str">
        <f aca="false">IF(COUNTIF($A$2:A1348,A1348)&gt;1,"Duplicate ID",IF(C1348="","Missing source",IF(OR(AND(G1348&lt;&gt;"",G1348&lt;B1348),AND(H1348&lt;&gt;"",H1348&lt;B1348),AND(I1348&lt;&gt;"",I1348&lt;H1348),AND(J1348&lt;&gt;"",J1348&lt;I1348)),"Date error","OK")))</f>
        <v>OK</v>
      </c>
    </row>
    <row r="1349" customFormat="false" ht="15" hidden="false" customHeight="false" outlineLevel="0" collapsed="false">
      <c r="A1349" s="24" t="s">
        <v>1427</v>
      </c>
      <c r="B1349" s="31" t="n">
        <v>46245</v>
      </c>
      <c r="C1349" s="24" t="s">
        <v>22</v>
      </c>
      <c r="D1349" s="24" t="s">
        <v>34</v>
      </c>
      <c r="E1349" s="24" t="s">
        <v>89</v>
      </c>
      <c r="F1349" s="24" t="s">
        <v>42</v>
      </c>
      <c r="G1349" s="31" t="n">
        <v>46248</v>
      </c>
      <c r="H1349" s="31" t="n">
        <v>46262</v>
      </c>
      <c r="I1349" s="24"/>
      <c r="J1349" s="24"/>
      <c r="K1349" s="24" t="n">
        <v>5</v>
      </c>
      <c r="L1349" s="24" t="str">
        <f aca="false">IF(J1349&lt;&gt;"","Enrolled",IF(I1349&lt;&gt;"","Admitted",IF(H1349&lt;&gt;"","Applied",IF(G1349&lt;&gt;"","Contacted","New"))))</f>
        <v>Applied</v>
      </c>
      <c r="M1349" s="32" t="n">
        <f aca="false">IF(G1349="","",G1349-B1349)</f>
        <v>3</v>
      </c>
      <c r="N1349" s="24" t="str">
        <f aca="false">IF(COUNTIF($A$2:A1349,A1349)&gt;1,"Duplicate ID",IF(C1349="","Missing source",IF(OR(AND(G1349&lt;&gt;"",G1349&lt;B1349),AND(H1349&lt;&gt;"",H1349&lt;B1349),AND(I1349&lt;&gt;"",I1349&lt;H1349),AND(J1349&lt;&gt;"",J1349&lt;I1349)),"Date error","OK")))</f>
        <v>OK</v>
      </c>
    </row>
    <row r="1350" customFormat="false" ht="15" hidden="false" customHeight="false" outlineLevel="0" collapsed="false">
      <c r="A1350" s="24" t="s">
        <v>1428</v>
      </c>
      <c r="B1350" s="31" t="n">
        <v>46245</v>
      </c>
      <c r="C1350" s="24" t="s">
        <v>25</v>
      </c>
      <c r="D1350" s="24" t="s">
        <v>34</v>
      </c>
      <c r="E1350" s="24" t="s">
        <v>81</v>
      </c>
      <c r="F1350" s="24" t="s">
        <v>40</v>
      </c>
      <c r="G1350" s="31" t="n">
        <v>46245</v>
      </c>
      <c r="H1350" s="24"/>
      <c r="I1350" s="24"/>
      <c r="J1350" s="24"/>
      <c r="K1350" s="24" t="n">
        <v>4</v>
      </c>
      <c r="L1350" s="24" t="str">
        <f aca="false">IF(J1350&lt;&gt;"","Enrolled",IF(I1350&lt;&gt;"","Admitted",IF(H1350&lt;&gt;"","Applied",IF(G1350&lt;&gt;"","Contacted","New"))))</f>
        <v>Contacted</v>
      </c>
      <c r="M1350" s="32" t="n">
        <f aca="false">IF(G1350="","",G1350-B1350)</f>
        <v>0</v>
      </c>
      <c r="N1350" s="24" t="str">
        <f aca="false">IF(COUNTIF($A$2:A1350,A1350)&gt;1,"Duplicate ID",IF(C1350="","Missing source",IF(OR(AND(G1350&lt;&gt;"",G1350&lt;B1350),AND(H1350&lt;&gt;"",H1350&lt;B1350),AND(I1350&lt;&gt;"",I1350&lt;H1350),AND(J1350&lt;&gt;"",J1350&lt;I1350)),"Date error","OK")))</f>
        <v>OK</v>
      </c>
    </row>
    <row r="1351" customFormat="false" ht="15" hidden="false" customHeight="false" outlineLevel="0" collapsed="false">
      <c r="A1351" s="24" t="s">
        <v>1429</v>
      </c>
      <c r="B1351" s="31" t="n">
        <v>46246</v>
      </c>
      <c r="C1351" s="24" t="s">
        <v>22</v>
      </c>
      <c r="D1351" s="24" t="s">
        <v>34</v>
      </c>
      <c r="E1351" s="24" t="s">
        <v>84</v>
      </c>
      <c r="F1351" s="24" t="s">
        <v>44</v>
      </c>
      <c r="G1351" s="31" t="n">
        <v>46247</v>
      </c>
      <c r="H1351" s="31" t="n">
        <v>46252</v>
      </c>
      <c r="I1351" s="31" t="n">
        <v>46257</v>
      </c>
      <c r="J1351" s="24"/>
      <c r="K1351" s="24" t="n">
        <v>3</v>
      </c>
      <c r="L1351" s="24" t="str">
        <f aca="false">IF(J1351&lt;&gt;"","Enrolled",IF(I1351&lt;&gt;"","Admitted",IF(H1351&lt;&gt;"","Applied",IF(G1351&lt;&gt;"","Contacted","New"))))</f>
        <v>Admitted</v>
      </c>
      <c r="M1351" s="32" t="n">
        <f aca="false">IF(G1351="","",G1351-B1351)</f>
        <v>1</v>
      </c>
      <c r="N1351" s="24" t="str">
        <f aca="false">IF(COUNTIF($A$2:A1351,A1351)&gt;1,"Duplicate ID",IF(C1351="","Missing source",IF(OR(AND(G1351&lt;&gt;"",G1351&lt;B1351),AND(H1351&lt;&gt;"",H1351&lt;B1351),AND(I1351&lt;&gt;"",I1351&lt;H1351),AND(J1351&lt;&gt;"",J1351&lt;I1351)),"Date error","OK")))</f>
        <v>OK</v>
      </c>
    </row>
    <row r="1352" customFormat="false" ht="15" hidden="false" customHeight="false" outlineLevel="0" collapsed="false">
      <c r="A1352" s="24" t="s">
        <v>1430</v>
      </c>
      <c r="B1352" s="31" t="n">
        <v>46246</v>
      </c>
      <c r="C1352" s="24" t="s">
        <v>25</v>
      </c>
      <c r="D1352" s="24" t="s">
        <v>33</v>
      </c>
      <c r="E1352" s="24" t="s">
        <v>81</v>
      </c>
      <c r="F1352" s="24" t="s">
        <v>40</v>
      </c>
      <c r="G1352" s="31" t="n">
        <v>46247</v>
      </c>
      <c r="H1352" s="24"/>
      <c r="I1352" s="24"/>
      <c r="J1352" s="24"/>
      <c r="K1352" s="24" t="n">
        <v>4</v>
      </c>
      <c r="L1352" s="24" t="str">
        <f aca="false">IF(J1352&lt;&gt;"","Enrolled",IF(I1352&lt;&gt;"","Admitted",IF(H1352&lt;&gt;"","Applied",IF(G1352&lt;&gt;"","Contacted","New"))))</f>
        <v>Contacted</v>
      </c>
      <c r="M1352" s="32" t="n">
        <f aca="false">IF(G1352="","",G1352-B1352)</f>
        <v>1</v>
      </c>
      <c r="N1352" s="24" t="str">
        <f aca="false">IF(COUNTIF($A$2:A1352,A1352)&gt;1,"Duplicate ID",IF(C1352="","Missing source",IF(OR(AND(G1352&lt;&gt;"",G1352&lt;B1352),AND(H1352&lt;&gt;"",H1352&lt;B1352),AND(I1352&lt;&gt;"",I1352&lt;H1352),AND(J1352&lt;&gt;"",J1352&lt;I1352)),"Date error","OK")))</f>
        <v>OK</v>
      </c>
    </row>
    <row r="1353" customFormat="false" ht="15" hidden="false" customHeight="false" outlineLevel="0" collapsed="false">
      <c r="A1353" s="24" t="s">
        <v>1431</v>
      </c>
      <c r="B1353" s="31" t="n">
        <v>46246</v>
      </c>
      <c r="C1353" s="24" t="s">
        <v>23</v>
      </c>
      <c r="D1353" s="24" t="s">
        <v>33</v>
      </c>
      <c r="E1353" s="24" t="s">
        <v>79</v>
      </c>
      <c r="F1353" s="24" t="s">
        <v>40</v>
      </c>
      <c r="G1353" s="31" t="n">
        <v>46246</v>
      </c>
      <c r="H1353" s="24"/>
      <c r="I1353" s="24"/>
      <c r="J1353" s="24"/>
      <c r="K1353" s="24" t="n">
        <v>1</v>
      </c>
      <c r="L1353" s="24" t="str">
        <f aca="false">IF(J1353&lt;&gt;"","Enrolled",IF(I1353&lt;&gt;"","Admitted",IF(H1353&lt;&gt;"","Applied",IF(G1353&lt;&gt;"","Contacted","New"))))</f>
        <v>Contacted</v>
      </c>
      <c r="M1353" s="32" t="n">
        <f aca="false">IF(G1353="","",G1353-B1353)</f>
        <v>0</v>
      </c>
      <c r="N1353" s="24" t="str">
        <f aca="false">IF(COUNTIF($A$2:A1353,A1353)&gt;1,"Duplicate ID",IF(C1353="","Missing source",IF(OR(AND(G1353&lt;&gt;"",G1353&lt;B1353),AND(H1353&lt;&gt;"",H1353&lt;B1353),AND(I1353&lt;&gt;"",I1353&lt;H1353),AND(J1353&lt;&gt;"",J1353&lt;I1353)),"Date error","OK")))</f>
        <v>OK</v>
      </c>
    </row>
    <row r="1354" customFormat="false" ht="15" hidden="false" customHeight="false" outlineLevel="0" collapsed="false">
      <c r="A1354" s="24" t="s">
        <v>1432</v>
      </c>
      <c r="B1354" s="31" t="n">
        <v>46246</v>
      </c>
      <c r="C1354" s="24" t="s">
        <v>27</v>
      </c>
      <c r="D1354" s="24" t="s">
        <v>36</v>
      </c>
      <c r="E1354" s="24" t="s">
        <v>89</v>
      </c>
      <c r="F1354" s="24" t="s">
        <v>45</v>
      </c>
      <c r="G1354" s="31" t="n">
        <v>46247</v>
      </c>
      <c r="H1354" s="24"/>
      <c r="I1354" s="24"/>
      <c r="J1354" s="24"/>
      <c r="K1354" s="24" t="n">
        <v>2</v>
      </c>
      <c r="L1354" s="24" t="str">
        <f aca="false">IF(J1354&lt;&gt;"","Enrolled",IF(I1354&lt;&gt;"","Admitted",IF(H1354&lt;&gt;"","Applied",IF(G1354&lt;&gt;"","Contacted","New"))))</f>
        <v>Contacted</v>
      </c>
      <c r="M1354" s="32" t="n">
        <f aca="false">IF(G1354="","",G1354-B1354)</f>
        <v>1</v>
      </c>
      <c r="N1354" s="24" t="str">
        <f aca="false">IF(COUNTIF($A$2:A1354,A1354)&gt;1,"Duplicate ID",IF(C1354="","Missing source",IF(OR(AND(G1354&lt;&gt;"",G1354&lt;B1354),AND(H1354&lt;&gt;"",H1354&lt;B1354),AND(I1354&lt;&gt;"",I1354&lt;H1354),AND(J1354&lt;&gt;"",J1354&lt;I1354)),"Date error","OK")))</f>
        <v>OK</v>
      </c>
    </row>
    <row r="1355" customFormat="false" ht="15" hidden="false" customHeight="false" outlineLevel="0" collapsed="false">
      <c r="A1355" s="24" t="s">
        <v>1433</v>
      </c>
      <c r="B1355" s="31" t="n">
        <v>46246</v>
      </c>
      <c r="C1355" s="24" t="s">
        <v>25</v>
      </c>
      <c r="D1355" s="24" t="s">
        <v>33</v>
      </c>
      <c r="E1355" s="24" t="s">
        <v>81</v>
      </c>
      <c r="F1355" s="24" t="s">
        <v>40</v>
      </c>
      <c r="G1355" s="24"/>
      <c r="H1355" s="24"/>
      <c r="I1355" s="24"/>
      <c r="J1355" s="24"/>
      <c r="K1355" s="24" t="n">
        <v>0</v>
      </c>
      <c r="L1355" s="24" t="str">
        <f aca="false">IF(J1355&lt;&gt;"","Enrolled",IF(I1355&lt;&gt;"","Admitted",IF(H1355&lt;&gt;"","Applied",IF(G1355&lt;&gt;"","Contacted","New"))))</f>
        <v>New</v>
      </c>
      <c r="M1355" s="32" t="str">
        <f aca="false">IF(G1355="","",G1355-B1355)</f>
        <v/>
      </c>
      <c r="N1355" s="24" t="str">
        <f aca="false">IF(COUNTIF($A$2:A1355,A1355)&gt;1,"Duplicate ID",IF(C1355="","Missing source",IF(OR(AND(G1355&lt;&gt;"",G1355&lt;B1355),AND(H1355&lt;&gt;"",H1355&lt;B1355),AND(I1355&lt;&gt;"",I1355&lt;H1355),AND(J1355&lt;&gt;"",J1355&lt;I1355)),"Date error","OK")))</f>
        <v>OK</v>
      </c>
    </row>
    <row r="1356" customFormat="false" ht="15" hidden="false" customHeight="false" outlineLevel="0" collapsed="false">
      <c r="A1356" s="24" t="s">
        <v>1434</v>
      </c>
      <c r="B1356" s="31" t="n">
        <v>46246</v>
      </c>
      <c r="C1356" s="24" t="s">
        <v>22</v>
      </c>
      <c r="D1356" s="24" t="s">
        <v>36</v>
      </c>
      <c r="E1356" s="24" t="s">
        <v>94</v>
      </c>
      <c r="F1356" s="24" t="s">
        <v>45</v>
      </c>
      <c r="G1356" s="24"/>
      <c r="H1356" s="24"/>
      <c r="I1356" s="24"/>
      <c r="J1356" s="24"/>
      <c r="K1356" s="24" t="n">
        <v>0</v>
      </c>
      <c r="L1356" s="24" t="str">
        <f aca="false">IF(J1356&lt;&gt;"","Enrolled",IF(I1356&lt;&gt;"","Admitted",IF(H1356&lt;&gt;"","Applied",IF(G1356&lt;&gt;"","Contacted","New"))))</f>
        <v>New</v>
      </c>
      <c r="M1356" s="32" t="str">
        <f aca="false">IF(G1356="","",G1356-B1356)</f>
        <v/>
      </c>
      <c r="N1356" s="24" t="str">
        <f aca="false">IF(COUNTIF($A$2:A1356,A1356)&gt;1,"Duplicate ID",IF(C1356="","Missing source",IF(OR(AND(G1356&lt;&gt;"",G1356&lt;B1356),AND(H1356&lt;&gt;"",H1356&lt;B1356),AND(I1356&lt;&gt;"",I1356&lt;H1356),AND(J1356&lt;&gt;"",J1356&lt;I1356)),"Date error","OK")))</f>
        <v>OK</v>
      </c>
    </row>
    <row r="1357" customFormat="false" ht="15" hidden="false" customHeight="false" outlineLevel="0" collapsed="false">
      <c r="A1357" s="24" t="s">
        <v>1435</v>
      </c>
      <c r="B1357" s="31" t="n">
        <v>46246</v>
      </c>
      <c r="C1357" s="24" t="s">
        <v>27</v>
      </c>
      <c r="D1357" s="24" t="s">
        <v>35</v>
      </c>
      <c r="E1357" s="24" t="s">
        <v>89</v>
      </c>
      <c r="F1357" s="24" t="s">
        <v>41</v>
      </c>
      <c r="G1357" s="31" t="n">
        <v>46247</v>
      </c>
      <c r="H1357" s="24"/>
      <c r="I1357" s="24"/>
      <c r="J1357" s="24"/>
      <c r="K1357" s="24" t="n">
        <v>3</v>
      </c>
      <c r="L1357" s="24" t="str">
        <f aca="false">IF(J1357&lt;&gt;"","Enrolled",IF(I1357&lt;&gt;"","Admitted",IF(H1357&lt;&gt;"","Applied",IF(G1357&lt;&gt;"","Contacted","New"))))</f>
        <v>Contacted</v>
      </c>
      <c r="M1357" s="32" t="n">
        <f aca="false">IF(G1357="","",G1357-B1357)</f>
        <v>1</v>
      </c>
      <c r="N1357" s="24" t="str">
        <f aca="false">IF(COUNTIF($A$2:A1357,A1357)&gt;1,"Duplicate ID",IF(C1357="","Missing source",IF(OR(AND(G1357&lt;&gt;"",G1357&lt;B1357),AND(H1357&lt;&gt;"",H1357&lt;B1357),AND(I1357&lt;&gt;"",I1357&lt;H1357),AND(J1357&lt;&gt;"",J1357&lt;I1357)),"Date error","OK")))</f>
        <v>OK</v>
      </c>
    </row>
    <row r="1358" customFormat="false" ht="15" hidden="false" customHeight="false" outlineLevel="0" collapsed="false">
      <c r="A1358" s="24" t="s">
        <v>1436</v>
      </c>
      <c r="B1358" s="31" t="n">
        <v>46246</v>
      </c>
      <c r="C1358" s="24" t="s">
        <v>26</v>
      </c>
      <c r="D1358" s="24" t="s">
        <v>34</v>
      </c>
      <c r="E1358" s="24" t="s">
        <v>79</v>
      </c>
      <c r="F1358" s="24" t="s">
        <v>41</v>
      </c>
      <c r="G1358" s="31" t="n">
        <v>46246</v>
      </c>
      <c r="H1358" s="24"/>
      <c r="I1358" s="24"/>
      <c r="J1358" s="24"/>
      <c r="K1358" s="24" t="n">
        <v>4</v>
      </c>
      <c r="L1358" s="24" t="str">
        <f aca="false">IF(J1358&lt;&gt;"","Enrolled",IF(I1358&lt;&gt;"","Admitted",IF(H1358&lt;&gt;"","Applied",IF(G1358&lt;&gt;"","Contacted","New"))))</f>
        <v>Contacted</v>
      </c>
      <c r="M1358" s="32" t="n">
        <f aca="false">IF(G1358="","",G1358-B1358)</f>
        <v>0</v>
      </c>
      <c r="N1358" s="24" t="str">
        <f aca="false">IF(COUNTIF($A$2:A1358,A1358)&gt;1,"Duplicate ID",IF(C1358="","Missing source",IF(OR(AND(G1358&lt;&gt;"",G1358&lt;B1358),AND(H1358&lt;&gt;"",H1358&lt;B1358),AND(I1358&lt;&gt;"",I1358&lt;H1358),AND(J1358&lt;&gt;"",J1358&lt;I1358)),"Date error","OK")))</f>
        <v>OK</v>
      </c>
    </row>
    <row r="1359" customFormat="false" ht="15" hidden="false" customHeight="false" outlineLevel="0" collapsed="false">
      <c r="A1359" s="24" t="s">
        <v>1437</v>
      </c>
      <c r="B1359" s="31" t="n">
        <v>46246</v>
      </c>
      <c r="C1359" s="24" t="s">
        <v>21</v>
      </c>
      <c r="D1359" s="24" t="s">
        <v>35</v>
      </c>
      <c r="E1359" s="24" t="s">
        <v>79</v>
      </c>
      <c r="F1359" s="24" t="s">
        <v>41</v>
      </c>
      <c r="G1359" s="31" t="n">
        <v>46249</v>
      </c>
      <c r="H1359" s="24"/>
      <c r="I1359" s="24"/>
      <c r="J1359" s="24"/>
      <c r="K1359" s="24" t="n">
        <v>4</v>
      </c>
      <c r="L1359" s="24" t="str">
        <f aca="false">IF(J1359&lt;&gt;"","Enrolled",IF(I1359&lt;&gt;"","Admitted",IF(H1359&lt;&gt;"","Applied",IF(G1359&lt;&gt;"","Contacted","New"))))</f>
        <v>Contacted</v>
      </c>
      <c r="M1359" s="32" t="n">
        <f aca="false">IF(G1359="","",G1359-B1359)</f>
        <v>3</v>
      </c>
      <c r="N1359" s="24" t="str">
        <f aca="false">IF(COUNTIF($A$2:A1359,A1359)&gt;1,"Duplicate ID",IF(C1359="","Missing source",IF(OR(AND(G1359&lt;&gt;"",G1359&lt;B1359),AND(H1359&lt;&gt;"",H1359&lt;B1359),AND(I1359&lt;&gt;"",I1359&lt;H1359),AND(J1359&lt;&gt;"",J1359&lt;I1359)),"Date error","OK")))</f>
        <v>OK</v>
      </c>
    </row>
    <row r="1360" customFormat="false" ht="15" hidden="false" customHeight="false" outlineLevel="0" collapsed="false">
      <c r="A1360" s="24" t="s">
        <v>1438</v>
      </c>
      <c r="B1360" s="31" t="n">
        <v>46246</v>
      </c>
      <c r="C1360" s="24" t="s">
        <v>25</v>
      </c>
      <c r="D1360" s="24" t="s">
        <v>33</v>
      </c>
      <c r="E1360" s="24" t="s">
        <v>79</v>
      </c>
      <c r="F1360" s="24" t="s">
        <v>44</v>
      </c>
      <c r="G1360" s="31" t="n">
        <v>46247</v>
      </c>
      <c r="H1360" s="31" t="n">
        <v>46261</v>
      </c>
      <c r="I1360" s="24"/>
      <c r="J1360" s="24"/>
      <c r="K1360" s="24" t="n">
        <v>6</v>
      </c>
      <c r="L1360" s="24" t="str">
        <f aca="false">IF(J1360&lt;&gt;"","Enrolled",IF(I1360&lt;&gt;"","Admitted",IF(H1360&lt;&gt;"","Applied",IF(G1360&lt;&gt;"","Contacted","New"))))</f>
        <v>Applied</v>
      </c>
      <c r="M1360" s="32" t="n">
        <f aca="false">IF(G1360="","",G1360-B1360)</f>
        <v>1</v>
      </c>
      <c r="N1360" s="24" t="str">
        <f aca="false">IF(COUNTIF($A$2:A1360,A1360)&gt;1,"Duplicate ID",IF(C1360="","Missing source",IF(OR(AND(G1360&lt;&gt;"",G1360&lt;B1360),AND(H1360&lt;&gt;"",H1360&lt;B1360),AND(I1360&lt;&gt;"",I1360&lt;H1360),AND(J1360&lt;&gt;"",J1360&lt;I1360)),"Date error","OK")))</f>
        <v>OK</v>
      </c>
    </row>
    <row r="1361" customFormat="false" ht="15" hidden="false" customHeight="false" outlineLevel="0" collapsed="false">
      <c r="A1361" s="24" t="s">
        <v>1439</v>
      </c>
      <c r="B1361" s="31" t="n">
        <v>46246</v>
      </c>
      <c r="C1361" s="24" t="s">
        <v>23</v>
      </c>
      <c r="D1361" s="24" t="s">
        <v>33</v>
      </c>
      <c r="E1361" s="24" t="s">
        <v>79</v>
      </c>
      <c r="F1361" s="24" t="s">
        <v>45</v>
      </c>
      <c r="G1361" s="31" t="n">
        <v>46250</v>
      </c>
      <c r="H1361" s="24"/>
      <c r="I1361" s="24"/>
      <c r="J1361" s="24"/>
      <c r="K1361" s="24" t="n">
        <v>1</v>
      </c>
      <c r="L1361" s="24" t="str">
        <f aca="false">IF(J1361&lt;&gt;"","Enrolled",IF(I1361&lt;&gt;"","Admitted",IF(H1361&lt;&gt;"","Applied",IF(G1361&lt;&gt;"","Contacted","New"))))</f>
        <v>Contacted</v>
      </c>
      <c r="M1361" s="32" t="n">
        <f aca="false">IF(G1361="","",G1361-B1361)</f>
        <v>4</v>
      </c>
      <c r="N1361" s="24" t="str">
        <f aca="false">IF(COUNTIF($A$2:A1361,A1361)&gt;1,"Duplicate ID",IF(C1361="","Missing source",IF(OR(AND(G1361&lt;&gt;"",G1361&lt;B1361),AND(H1361&lt;&gt;"",H1361&lt;B1361),AND(I1361&lt;&gt;"",I1361&lt;H1361),AND(J1361&lt;&gt;"",J1361&lt;I1361)),"Date error","OK")))</f>
        <v>OK</v>
      </c>
    </row>
    <row r="1362" customFormat="false" ht="15" hidden="false" customHeight="false" outlineLevel="0" collapsed="false">
      <c r="A1362" s="24" t="s">
        <v>1440</v>
      </c>
      <c r="B1362" s="31" t="n">
        <v>46246</v>
      </c>
      <c r="C1362" s="24" t="s">
        <v>24</v>
      </c>
      <c r="D1362" s="24" t="s">
        <v>36</v>
      </c>
      <c r="E1362" s="24" t="s">
        <v>81</v>
      </c>
      <c r="F1362" s="24" t="s">
        <v>41</v>
      </c>
      <c r="G1362" s="31" t="n">
        <v>46247</v>
      </c>
      <c r="H1362" s="24"/>
      <c r="I1362" s="24"/>
      <c r="J1362" s="24"/>
      <c r="K1362" s="24" t="n">
        <v>2</v>
      </c>
      <c r="L1362" s="24" t="str">
        <f aca="false">IF(J1362&lt;&gt;"","Enrolled",IF(I1362&lt;&gt;"","Admitted",IF(H1362&lt;&gt;"","Applied",IF(G1362&lt;&gt;"","Contacted","New"))))</f>
        <v>Contacted</v>
      </c>
      <c r="M1362" s="32" t="n">
        <f aca="false">IF(G1362="","",G1362-B1362)</f>
        <v>1</v>
      </c>
      <c r="N1362" s="24" t="str">
        <f aca="false">IF(COUNTIF($A$2:A1362,A1362)&gt;1,"Duplicate ID",IF(C1362="","Missing source",IF(OR(AND(G1362&lt;&gt;"",G1362&lt;B1362),AND(H1362&lt;&gt;"",H1362&lt;B1362),AND(I1362&lt;&gt;"",I1362&lt;H1362),AND(J1362&lt;&gt;"",J1362&lt;I1362)),"Date error","OK")))</f>
        <v>OK</v>
      </c>
    </row>
    <row r="1363" customFormat="false" ht="15" hidden="false" customHeight="false" outlineLevel="0" collapsed="false">
      <c r="A1363" s="24" t="s">
        <v>1441</v>
      </c>
      <c r="B1363" s="31" t="n">
        <v>46246</v>
      </c>
      <c r="C1363" s="24" t="s">
        <v>24</v>
      </c>
      <c r="D1363" s="24" t="s">
        <v>36</v>
      </c>
      <c r="E1363" s="24" t="s">
        <v>79</v>
      </c>
      <c r="F1363" s="24" t="s">
        <v>40</v>
      </c>
      <c r="G1363" s="31" t="n">
        <v>46247</v>
      </c>
      <c r="H1363" s="24"/>
      <c r="I1363" s="24"/>
      <c r="J1363" s="24"/>
      <c r="K1363" s="24" t="n">
        <v>1</v>
      </c>
      <c r="L1363" s="24" t="str">
        <f aca="false">IF(J1363&lt;&gt;"","Enrolled",IF(I1363&lt;&gt;"","Admitted",IF(H1363&lt;&gt;"","Applied",IF(G1363&lt;&gt;"","Contacted","New"))))</f>
        <v>Contacted</v>
      </c>
      <c r="M1363" s="32" t="n">
        <f aca="false">IF(G1363="","",G1363-B1363)</f>
        <v>1</v>
      </c>
      <c r="N1363" s="24" t="str">
        <f aca="false">IF(COUNTIF($A$2:A1363,A1363)&gt;1,"Duplicate ID",IF(C1363="","Missing source",IF(OR(AND(G1363&lt;&gt;"",G1363&lt;B1363),AND(H1363&lt;&gt;"",H1363&lt;B1363),AND(I1363&lt;&gt;"",I1363&lt;H1363),AND(J1363&lt;&gt;"",J1363&lt;I1363)),"Date error","OK")))</f>
        <v>OK</v>
      </c>
    </row>
    <row r="1364" customFormat="false" ht="15" hidden="false" customHeight="false" outlineLevel="0" collapsed="false">
      <c r="A1364" s="24" t="s">
        <v>1442</v>
      </c>
      <c r="B1364" s="31" t="n">
        <v>46246</v>
      </c>
      <c r="C1364" s="24" t="s">
        <v>21</v>
      </c>
      <c r="D1364" s="24" t="s">
        <v>33</v>
      </c>
      <c r="E1364" s="24" t="s">
        <v>84</v>
      </c>
      <c r="F1364" s="24" t="s">
        <v>42</v>
      </c>
      <c r="G1364" s="31" t="n">
        <v>46247</v>
      </c>
      <c r="H1364" s="24"/>
      <c r="I1364" s="24"/>
      <c r="J1364" s="24"/>
      <c r="K1364" s="24" t="n">
        <v>3</v>
      </c>
      <c r="L1364" s="24" t="str">
        <f aca="false">IF(J1364&lt;&gt;"","Enrolled",IF(I1364&lt;&gt;"","Admitted",IF(H1364&lt;&gt;"","Applied",IF(G1364&lt;&gt;"","Contacted","New"))))</f>
        <v>Contacted</v>
      </c>
      <c r="M1364" s="32" t="n">
        <f aca="false">IF(G1364="","",G1364-B1364)</f>
        <v>1</v>
      </c>
      <c r="N1364" s="24" t="str">
        <f aca="false">IF(COUNTIF($A$2:A1364,A1364)&gt;1,"Duplicate ID",IF(C1364="","Missing source",IF(OR(AND(G1364&lt;&gt;"",G1364&lt;B1364),AND(H1364&lt;&gt;"",H1364&lt;B1364),AND(I1364&lt;&gt;"",I1364&lt;H1364),AND(J1364&lt;&gt;"",J1364&lt;I1364)),"Date error","OK")))</f>
        <v>OK</v>
      </c>
    </row>
    <row r="1365" customFormat="false" ht="15" hidden="false" customHeight="false" outlineLevel="0" collapsed="false">
      <c r="A1365" s="24" t="s">
        <v>1443</v>
      </c>
      <c r="B1365" s="31" t="n">
        <v>46246</v>
      </c>
      <c r="C1365" s="24" t="s">
        <v>27</v>
      </c>
      <c r="D1365" s="24" t="s">
        <v>34</v>
      </c>
      <c r="E1365" s="24" t="s">
        <v>79</v>
      </c>
      <c r="F1365" s="24" t="s">
        <v>43</v>
      </c>
      <c r="G1365" s="31" t="n">
        <v>46252</v>
      </c>
      <c r="H1365" s="24"/>
      <c r="I1365" s="24"/>
      <c r="J1365" s="24"/>
      <c r="K1365" s="24" t="n">
        <v>2</v>
      </c>
      <c r="L1365" s="24" t="str">
        <f aca="false">IF(J1365&lt;&gt;"","Enrolled",IF(I1365&lt;&gt;"","Admitted",IF(H1365&lt;&gt;"","Applied",IF(G1365&lt;&gt;"","Contacted","New"))))</f>
        <v>Contacted</v>
      </c>
      <c r="M1365" s="32" t="n">
        <f aca="false">IF(G1365="","",G1365-B1365)</f>
        <v>6</v>
      </c>
      <c r="N1365" s="24" t="str">
        <f aca="false">IF(COUNTIF($A$2:A1365,A1365)&gt;1,"Duplicate ID",IF(C1365="","Missing source",IF(OR(AND(G1365&lt;&gt;"",G1365&lt;B1365),AND(H1365&lt;&gt;"",H1365&lt;B1365),AND(I1365&lt;&gt;"",I1365&lt;H1365),AND(J1365&lt;&gt;"",J1365&lt;I1365)),"Date error","OK")))</f>
        <v>OK</v>
      </c>
    </row>
    <row r="1366" customFormat="false" ht="15" hidden="false" customHeight="false" outlineLevel="0" collapsed="false">
      <c r="A1366" s="24" t="s">
        <v>1444</v>
      </c>
      <c r="B1366" s="31" t="n">
        <v>46246</v>
      </c>
      <c r="C1366" s="24" t="s">
        <v>26</v>
      </c>
      <c r="D1366" s="24" t="s">
        <v>32</v>
      </c>
      <c r="E1366" s="24" t="s">
        <v>89</v>
      </c>
      <c r="F1366" s="24" t="s">
        <v>45</v>
      </c>
      <c r="G1366" s="31" t="n">
        <v>46253</v>
      </c>
      <c r="H1366" s="24"/>
      <c r="I1366" s="24"/>
      <c r="J1366" s="24"/>
      <c r="K1366" s="24" t="n">
        <v>1</v>
      </c>
      <c r="L1366" s="24" t="str">
        <f aca="false">IF(J1366&lt;&gt;"","Enrolled",IF(I1366&lt;&gt;"","Admitted",IF(H1366&lt;&gt;"","Applied",IF(G1366&lt;&gt;"","Contacted","New"))))</f>
        <v>Contacted</v>
      </c>
      <c r="M1366" s="32" t="n">
        <f aca="false">IF(G1366="","",G1366-B1366)</f>
        <v>7</v>
      </c>
      <c r="N1366" s="24" t="str">
        <f aca="false">IF(COUNTIF($A$2:A1366,A1366)&gt;1,"Duplicate ID",IF(C1366="","Missing source",IF(OR(AND(G1366&lt;&gt;"",G1366&lt;B1366),AND(H1366&lt;&gt;"",H1366&lt;B1366),AND(I1366&lt;&gt;"",I1366&lt;H1366),AND(J1366&lt;&gt;"",J1366&lt;I1366)),"Date error","OK")))</f>
        <v>OK</v>
      </c>
    </row>
    <row r="1367" customFormat="false" ht="15" hidden="false" customHeight="false" outlineLevel="0" collapsed="false">
      <c r="A1367" s="24" t="s">
        <v>1445</v>
      </c>
      <c r="B1367" s="31" t="n">
        <v>46246</v>
      </c>
      <c r="C1367" s="24" t="s">
        <v>27</v>
      </c>
      <c r="D1367" s="24" t="s">
        <v>32</v>
      </c>
      <c r="E1367" s="24" t="s">
        <v>89</v>
      </c>
      <c r="F1367" s="24" t="s">
        <v>44</v>
      </c>
      <c r="G1367" s="31" t="n">
        <v>46255</v>
      </c>
      <c r="H1367" s="24"/>
      <c r="I1367" s="24"/>
      <c r="J1367" s="24"/>
      <c r="K1367" s="24" t="n">
        <v>4</v>
      </c>
      <c r="L1367" s="24" t="str">
        <f aca="false">IF(J1367&lt;&gt;"","Enrolled",IF(I1367&lt;&gt;"","Admitted",IF(H1367&lt;&gt;"","Applied",IF(G1367&lt;&gt;"","Contacted","New"))))</f>
        <v>Contacted</v>
      </c>
      <c r="M1367" s="32" t="n">
        <f aca="false">IF(G1367="","",G1367-B1367)</f>
        <v>9</v>
      </c>
      <c r="N1367" s="24" t="str">
        <f aca="false">IF(COUNTIF($A$2:A1367,A1367)&gt;1,"Duplicate ID",IF(C1367="","Missing source",IF(OR(AND(G1367&lt;&gt;"",G1367&lt;B1367),AND(H1367&lt;&gt;"",H1367&lt;B1367),AND(I1367&lt;&gt;"",I1367&lt;H1367),AND(J1367&lt;&gt;"",J1367&lt;I1367)),"Date error","OK")))</f>
        <v>OK</v>
      </c>
    </row>
    <row r="1368" customFormat="false" ht="15" hidden="false" customHeight="false" outlineLevel="0" collapsed="false">
      <c r="A1368" s="24" t="s">
        <v>1446</v>
      </c>
      <c r="B1368" s="31" t="n">
        <v>46247</v>
      </c>
      <c r="C1368" s="24" t="s">
        <v>27</v>
      </c>
      <c r="D1368" s="24" t="s">
        <v>32</v>
      </c>
      <c r="E1368" s="24" t="s">
        <v>79</v>
      </c>
      <c r="F1368" s="24" t="s">
        <v>41</v>
      </c>
      <c r="G1368" s="31" t="n">
        <v>46249</v>
      </c>
      <c r="H1368" s="31" t="n">
        <v>46254</v>
      </c>
      <c r="I1368" s="31" t="n">
        <v>46261</v>
      </c>
      <c r="J1368" s="24"/>
      <c r="K1368" s="24" t="n">
        <v>3</v>
      </c>
      <c r="L1368" s="24" t="str">
        <f aca="false">IF(J1368&lt;&gt;"","Enrolled",IF(I1368&lt;&gt;"","Admitted",IF(H1368&lt;&gt;"","Applied",IF(G1368&lt;&gt;"","Contacted","New"))))</f>
        <v>Admitted</v>
      </c>
      <c r="M1368" s="32" t="n">
        <f aca="false">IF(G1368="","",G1368-B1368)</f>
        <v>2</v>
      </c>
      <c r="N1368" s="24" t="str">
        <f aca="false">IF(COUNTIF($A$2:A1368,A1368)&gt;1,"Duplicate ID",IF(C1368="","Missing source",IF(OR(AND(G1368&lt;&gt;"",G1368&lt;B1368),AND(H1368&lt;&gt;"",H1368&lt;B1368),AND(I1368&lt;&gt;"",I1368&lt;H1368),AND(J1368&lt;&gt;"",J1368&lt;I1368)),"Date error","OK")))</f>
        <v>OK</v>
      </c>
    </row>
    <row r="1369" customFormat="false" ht="15" hidden="false" customHeight="false" outlineLevel="0" collapsed="false">
      <c r="A1369" s="24" t="s">
        <v>1447</v>
      </c>
      <c r="B1369" s="31" t="n">
        <v>46247</v>
      </c>
      <c r="C1369" s="24" t="s">
        <v>27</v>
      </c>
      <c r="D1369" s="24" t="s">
        <v>36</v>
      </c>
      <c r="E1369" s="24" t="s">
        <v>94</v>
      </c>
      <c r="F1369" s="24" t="s">
        <v>43</v>
      </c>
      <c r="G1369" s="31" t="n">
        <v>46249</v>
      </c>
      <c r="H1369" s="24"/>
      <c r="I1369" s="24"/>
      <c r="J1369" s="24"/>
      <c r="K1369" s="24" t="n">
        <v>3</v>
      </c>
      <c r="L1369" s="24" t="str">
        <f aca="false">IF(J1369&lt;&gt;"","Enrolled",IF(I1369&lt;&gt;"","Admitted",IF(H1369&lt;&gt;"","Applied",IF(G1369&lt;&gt;"","Contacted","New"))))</f>
        <v>Contacted</v>
      </c>
      <c r="M1369" s="32" t="n">
        <f aca="false">IF(G1369="","",G1369-B1369)</f>
        <v>2</v>
      </c>
      <c r="N1369" s="24" t="str">
        <f aca="false">IF(COUNTIF($A$2:A1369,A1369)&gt;1,"Duplicate ID",IF(C1369="","Missing source",IF(OR(AND(G1369&lt;&gt;"",G1369&lt;B1369),AND(H1369&lt;&gt;"",H1369&lt;B1369),AND(I1369&lt;&gt;"",I1369&lt;H1369),AND(J1369&lt;&gt;"",J1369&lt;I1369)),"Date error","OK")))</f>
        <v>OK</v>
      </c>
    </row>
    <row r="1370" customFormat="false" ht="15" hidden="false" customHeight="false" outlineLevel="0" collapsed="false">
      <c r="A1370" s="24" t="s">
        <v>1448</v>
      </c>
      <c r="B1370" s="31" t="n">
        <v>46247</v>
      </c>
      <c r="C1370" s="24" t="s">
        <v>25</v>
      </c>
      <c r="D1370" s="24" t="s">
        <v>33</v>
      </c>
      <c r="E1370" s="24" t="s">
        <v>79</v>
      </c>
      <c r="F1370" s="24" t="s">
        <v>43</v>
      </c>
      <c r="G1370" s="31" t="n">
        <v>46249</v>
      </c>
      <c r="H1370" s="24"/>
      <c r="I1370" s="24"/>
      <c r="J1370" s="24"/>
      <c r="K1370" s="24" t="n">
        <v>4</v>
      </c>
      <c r="L1370" s="24" t="str">
        <f aca="false">IF(J1370&lt;&gt;"","Enrolled",IF(I1370&lt;&gt;"","Admitted",IF(H1370&lt;&gt;"","Applied",IF(G1370&lt;&gt;"","Contacted","New"))))</f>
        <v>Contacted</v>
      </c>
      <c r="M1370" s="32" t="n">
        <f aca="false">IF(G1370="","",G1370-B1370)</f>
        <v>2</v>
      </c>
      <c r="N1370" s="24" t="str">
        <f aca="false">IF(COUNTIF($A$2:A1370,A1370)&gt;1,"Duplicate ID",IF(C1370="","Missing source",IF(OR(AND(G1370&lt;&gt;"",G1370&lt;B1370),AND(H1370&lt;&gt;"",H1370&lt;B1370),AND(I1370&lt;&gt;"",I1370&lt;H1370),AND(J1370&lt;&gt;"",J1370&lt;I1370)),"Date error","OK")))</f>
        <v>OK</v>
      </c>
    </row>
    <row r="1371" customFormat="false" ht="15" hidden="false" customHeight="false" outlineLevel="0" collapsed="false">
      <c r="A1371" s="24" t="s">
        <v>1449</v>
      </c>
      <c r="B1371" s="31" t="n">
        <v>46247</v>
      </c>
      <c r="C1371" s="24" t="s">
        <v>22</v>
      </c>
      <c r="D1371" s="24" t="s">
        <v>34</v>
      </c>
      <c r="E1371" s="24" t="s">
        <v>94</v>
      </c>
      <c r="F1371" s="24" t="s">
        <v>42</v>
      </c>
      <c r="G1371" s="31" t="n">
        <v>46250</v>
      </c>
      <c r="H1371" s="24"/>
      <c r="I1371" s="24"/>
      <c r="J1371" s="24"/>
      <c r="K1371" s="24" t="n">
        <v>4</v>
      </c>
      <c r="L1371" s="24" t="str">
        <f aca="false">IF(J1371&lt;&gt;"","Enrolled",IF(I1371&lt;&gt;"","Admitted",IF(H1371&lt;&gt;"","Applied",IF(G1371&lt;&gt;"","Contacted","New"))))</f>
        <v>Contacted</v>
      </c>
      <c r="M1371" s="32" t="n">
        <f aca="false">IF(G1371="","",G1371-B1371)</f>
        <v>3</v>
      </c>
      <c r="N1371" s="24" t="str">
        <f aca="false">IF(COUNTIF($A$2:A1371,A1371)&gt;1,"Duplicate ID",IF(C1371="","Missing source",IF(OR(AND(G1371&lt;&gt;"",G1371&lt;B1371),AND(H1371&lt;&gt;"",H1371&lt;B1371),AND(I1371&lt;&gt;"",I1371&lt;H1371),AND(J1371&lt;&gt;"",J1371&lt;I1371)),"Date error","OK")))</f>
        <v>OK</v>
      </c>
    </row>
    <row r="1372" customFormat="false" ht="15" hidden="false" customHeight="false" outlineLevel="0" collapsed="false">
      <c r="A1372" s="24" t="s">
        <v>1450</v>
      </c>
      <c r="B1372" s="31" t="n">
        <v>46247</v>
      </c>
      <c r="C1372" s="24" t="s">
        <v>23</v>
      </c>
      <c r="D1372" s="24" t="s">
        <v>36</v>
      </c>
      <c r="E1372" s="24" t="s">
        <v>79</v>
      </c>
      <c r="F1372" s="24" t="s">
        <v>41</v>
      </c>
      <c r="G1372" s="31" t="n">
        <v>46248</v>
      </c>
      <c r="H1372" s="24"/>
      <c r="I1372" s="24"/>
      <c r="J1372" s="24"/>
      <c r="K1372" s="24" t="n">
        <v>2</v>
      </c>
      <c r="L1372" s="24" t="str">
        <f aca="false">IF(J1372&lt;&gt;"","Enrolled",IF(I1372&lt;&gt;"","Admitted",IF(H1372&lt;&gt;"","Applied",IF(G1372&lt;&gt;"","Contacted","New"))))</f>
        <v>Contacted</v>
      </c>
      <c r="M1372" s="32" t="n">
        <f aca="false">IF(G1372="","",G1372-B1372)</f>
        <v>1</v>
      </c>
      <c r="N1372" s="24" t="str">
        <f aca="false">IF(COUNTIF($A$2:A1372,A1372)&gt;1,"Duplicate ID",IF(C1372="","Missing source",IF(OR(AND(G1372&lt;&gt;"",G1372&lt;B1372),AND(H1372&lt;&gt;"",H1372&lt;B1372),AND(I1372&lt;&gt;"",I1372&lt;H1372),AND(J1372&lt;&gt;"",J1372&lt;I1372)),"Date error","OK")))</f>
        <v>OK</v>
      </c>
    </row>
    <row r="1373" customFormat="false" ht="15" hidden="false" customHeight="false" outlineLevel="0" collapsed="false">
      <c r="A1373" s="24" t="s">
        <v>1451</v>
      </c>
      <c r="B1373" s="31" t="n">
        <v>46247</v>
      </c>
      <c r="C1373" s="24" t="s">
        <v>21</v>
      </c>
      <c r="D1373" s="24" t="s">
        <v>36</v>
      </c>
      <c r="E1373" s="24" t="s">
        <v>89</v>
      </c>
      <c r="F1373" s="24" t="s">
        <v>42</v>
      </c>
      <c r="G1373" s="31" t="n">
        <v>46248</v>
      </c>
      <c r="H1373" s="31" t="n">
        <v>46261</v>
      </c>
      <c r="I1373" s="24"/>
      <c r="J1373" s="24"/>
      <c r="K1373" s="24" t="n">
        <v>3</v>
      </c>
      <c r="L1373" s="24" t="str">
        <f aca="false">IF(J1373&lt;&gt;"","Enrolled",IF(I1373&lt;&gt;"","Admitted",IF(H1373&lt;&gt;"","Applied",IF(G1373&lt;&gt;"","Contacted","New"))))</f>
        <v>Applied</v>
      </c>
      <c r="M1373" s="32" t="n">
        <f aca="false">IF(G1373="","",G1373-B1373)</f>
        <v>1</v>
      </c>
      <c r="N1373" s="24" t="str">
        <f aca="false">IF(COUNTIF($A$2:A1373,A1373)&gt;1,"Duplicate ID",IF(C1373="","Missing source",IF(OR(AND(G1373&lt;&gt;"",G1373&lt;B1373),AND(H1373&lt;&gt;"",H1373&lt;B1373),AND(I1373&lt;&gt;"",I1373&lt;H1373),AND(J1373&lt;&gt;"",J1373&lt;I1373)),"Date error","OK")))</f>
        <v>OK</v>
      </c>
    </row>
    <row r="1374" customFormat="false" ht="15" hidden="false" customHeight="false" outlineLevel="0" collapsed="false">
      <c r="A1374" s="24" t="s">
        <v>1452</v>
      </c>
      <c r="B1374" s="31" t="n">
        <v>46247</v>
      </c>
      <c r="C1374" s="24" t="s">
        <v>22</v>
      </c>
      <c r="D1374" s="24" t="s">
        <v>35</v>
      </c>
      <c r="E1374" s="24" t="s">
        <v>79</v>
      </c>
      <c r="F1374" s="24" t="s">
        <v>45</v>
      </c>
      <c r="G1374" s="31" t="n">
        <v>46252</v>
      </c>
      <c r="H1374" s="24"/>
      <c r="I1374" s="24"/>
      <c r="J1374" s="24"/>
      <c r="K1374" s="24" t="n">
        <v>3</v>
      </c>
      <c r="L1374" s="24" t="str">
        <f aca="false">IF(J1374&lt;&gt;"","Enrolled",IF(I1374&lt;&gt;"","Admitted",IF(H1374&lt;&gt;"","Applied",IF(G1374&lt;&gt;"","Contacted","New"))))</f>
        <v>Contacted</v>
      </c>
      <c r="M1374" s="32" t="n">
        <f aca="false">IF(G1374="","",G1374-B1374)</f>
        <v>5</v>
      </c>
      <c r="N1374" s="24" t="str">
        <f aca="false">IF(COUNTIF($A$2:A1374,A1374)&gt;1,"Duplicate ID",IF(C1374="","Missing source",IF(OR(AND(G1374&lt;&gt;"",G1374&lt;B1374),AND(H1374&lt;&gt;"",H1374&lt;B1374),AND(I1374&lt;&gt;"",I1374&lt;H1374),AND(J1374&lt;&gt;"",J1374&lt;I1374)),"Date error","OK")))</f>
        <v>OK</v>
      </c>
    </row>
    <row r="1375" customFormat="false" ht="15" hidden="false" customHeight="false" outlineLevel="0" collapsed="false">
      <c r="A1375" s="24" t="s">
        <v>1453</v>
      </c>
      <c r="B1375" s="31" t="n">
        <v>46247</v>
      </c>
      <c r="C1375" s="24" t="s">
        <v>27</v>
      </c>
      <c r="D1375" s="24" t="s">
        <v>33</v>
      </c>
      <c r="E1375" s="24" t="s">
        <v>81</v>
      </c>
      <c r="F1375" s="24" t="s">
        <v>41</v>
      </c>
      <c r="G1375" s="31" t="n">
        <v>46247</v>
      </c>
      <c r="H1375" s="24"/>
      <c r="I1375" s="24"/>
      <c r="J1375" s="24"/>
      <c r="K1375" s="24" t="n">
        <v>4</v>
      </c>
      <c r="L1375" s="24" t="str">
        <f aca="false">IF(J1375&lt;&gt;"","Enrolled",IF(I1375&lt;&gt;"","Admitted",IF(H1375&lt;&gt;"","Applied",IF(G1375&lt;&gt;"","Contacted","New"))))</f>
        <v>Contacted</v>
      </c>
      <c r="M1375" s="32" t="n">
        <f aca="false">IF(G1375="","",G1375-B1375)</f>
        <v>0</v>
      </c>
      <c r="N1375" s="24" t="str">
        <f aca="false">IF(COUNTIF($A$2:A1375,A1375)&gt;1,"Duplicate ID",IF(C1375="","Missing source",IF(OR(AND(G1375&lt;&gt;"",G1375&lt;B1375),AND(H1375&lt;&gt;"",H1375&lt;B1375),AND(I1375&lt;&gt;"",I1375&lt;H1375),AND(J1375&lt;&gt;"",J1375&lt;I1375)),"Date error","OK")))</f>
        <v>OK</v>
      </c>
    </row>
    <row r="1376" customFormat="false" ht="15" hidden="false" customHeight="false" outlineLevel="0" collapsed="false">
      <c r="A1376" s="24" t="s">
        <v>1454</v>
      </c>
      <c r="B1376" s="31" t="n">
        <v>46247</v>
      </c>
      <c r="C1376" s="24" t="s">
        <v>27</v>
      </c>
      <c r="D1376" s="24" t="s">
        <v>32</v>
      </c>
      <c r="E1376" s="24" t="s">
        <v>79</v>
      </c>
      <c r="F1376" s="24" t="s">
        <v>40</v>
      </c>
      <c r="G1376" s="31" t="n">
        <v>46247</v>
      </c>
      <c r="H1376" s="24"/>
      <c r="I1376" s="24"/>
      <c r="J1376" s="24"/>
      <c r="K1376" s="24" t="n">
        <v>2</v>
      </c>
      <c r="L1376" s="24" t="str">
        <f aca="false">IF(J1376&lt;&gt;"","Enrolled",IF(I1376&lt;&gt;"","Admitted",IF(H1376&lt;&gt;"","Applied",IF(G1376&lt;&gt;"","Contacted","New"))))</f>
        <v>Contacted</v>
      </c>
      <c r="M1376" s="32" t="n">
        <f aca="false">IF(G1376="","",G1376-B1376)</f>
        <v>0</v>
      </c>
      <c r="N1376" s="24" t="str">
        <f aca="false">IF(COUNTIF($A$2:A1376,A1376)&gt;1,"Duplicate ID",IF(C1376="","Missing source",IF(OR(AND(G1376&lt;&gt;"",G1376&lt;B1376),AND(H1376&lt;&gt;"",H1376&lt;B1376),AND(I1376&lt;&gt;"",I1376&lt;H1376),AND(J1376&lt;&gt;"",J1376&lt;I1376)),"Date error","OK")))</f>
        <v>OK</v>
      </c>
    </row>
    <row r="1377" customFormat="false" ht="15" hidden="false" customHeight="false" outlineLevel="0" collapsed="false">
      <c r="A1377" s="24" t="s">
        <v>1455</v>
      </c>
      <c r="B1377" s="31" t="n">
        <v>46247</v>
      </c>
      <c r="C1377" s="24" t="s">
        <v>27</v>
      </c>
      <c r="D1377" s="24" t="s">
        <v>34</v>
      </c>
      <c r="E1377" s="24" t="s">
        <v>89</v>
      </c>
      <c r="F1377" s="24" t="s">
        <v>41</v>
      </c>
      <c r="G1377" s="31" t="n">
        <v>46248</v>
      </c>
      <c r="H1377" s="24"/>
      <c r="I1377" s="24"/>
      <c r="J1377" s="24"/>
      <c r="K1377" s="24" t="n">
        <v>1</v>
      </c>
      <c r="L1377" s="24" t="str">
        <f aca="false">IF(J1377&lt;&gt;"","Enrolled",IF(I1377&lt;&gt;"","Admitted",IF(H1377&lt;&gt;"","Applied",IF(G1377&lt;&gt;"","Contacted","New"))))</f>
        <v>Contacted</v>
      </c>
      <c r="M1377" s="32" t="n">
        <f aca="false">IF(G1377="","",G1377-B1377)</f>
        <v>1</v>
      </c>
      <c r="N1377" s="24" t="str">
        <f aca="false">IF(COUNTIF($A$2:A1377,A1377)&gt;1,"Duplicate ID",IF(C1377="","Missing source",IF(OR(AND(G1377&lt;&gt;"",G1377&lt;B1377),AND(H1377&lt;&gt;"",H1377&lt;B1377),AND(I1377&lt;&gt;"",I1377&lt;H1377),AND(J1377&lt;&gt;"",J1377&lt;I1377)),"Date error","OK")))</f>
        <v>OK</v>
      </c>
    </row>
    <row r="1378" customFormat="false" ht="15" hidden="false" customHeight="false" outlineLevel="0" collapsed="false">
      <c r="A1378" s="24" t="s">
        <v>1456</v>
      </c>
      <c r="B1378" s="31" t="n">
        <v>46247</v>
      </c>
      <c r="C1378" s="24" t="s">
        <v>26</v>
      </c>
      <c r="D1378" s="24" t="s">
        <v>36</v>
      </c>
      <c r="E1378" s="24" t="s">
        <v>89</v>
      </c>
      <c r="F1378" s="24" t="s">
        <v>42</v>
      </c>
      <c r="G1378" s="31" t="n">
        <v>46250</v>
      </c>
      <c r="H1378" s="24"/>
      <c r="I1378" s="24"/>
      <c r="J1378" s="24"/>
      <c r="K1378" s="24" t="n">
        <v>4</v>
      </c>
      <c r="L1378" s="24" t="str">
        <f aca="false">IF(J1378&lt;&gt;"","Enrolled",IF(I1378&lt;&gt;"","Admitted",IF(H1378&lt;&gt;"","Applied",IF(G1378&lt;&gt;"","Contacted","New"))))</f>
        <v>Contacted</v>
      </c>
      <c r="M1378" s="32" t="n">
        <f aca="false">IF(G1378="","",G1378-B1378)</f>
        <v>3</v>
      </c>
      <c r="N1378" s="24" t="str">
        <f aca="false">IF(COUNTIF($A$2:A1378,A1378)&gt;1,"Duplicate ID",IF(C1378="","Missing source",IF(OR(AND(G1378&lt;&gt;"",G1378&lt;B1378),AND(H1378&lt;&gt;"",H1378&lt;B1378),AND(I1378&lt;&gt;"",I1378&lt;H1378),AND(J1378&lt;&gt;"",J1378&lt;I1378)),"Date error","OK")))</f>
        <v>OK</v>
      </c>
    </row>
    <row r="1379" customFormat="false" ht="15" hidden="false" customHeight="false" outlineLevel="0" collapsed="false">
      <c r="A1379" s="24" t="s">
        <v>1457</v>
      </c>
      <c r="B1379" s="31" t="n">
        <v>46247</v>
      </c>
      <c r="C1379" s="24" t="s">
        <v>24</v>
      </c>
      <c r="D1379" s="24" t="s">
        <v>36</v>
      </c>
      <c r="E1379" s="24" t="s">
        <v>81</v>
      </c>
      <c r="F1379" s="24" t="s">
        <v>45</v>
      </c>
      <c r="G1379" s="31" t="n">
        <v>46250</v>
      </c>
      <c r="H1379" s="24"/>
      <c r="I1379" s="24"/>
      <c r="J1379" s="24"/>
      <c r="K1379" s="24" t="n">
        <v>2</v>
      </c>
      <c r="L1379" s="24" t="str">
        <f aca="false">IF(J1379&lt;&gt;"","Enrolled",IF(I1379&lt;&gt;"","Admitted",IF(H1379&lt;&gt;"","Applied",IF(G1379&lt;&gt;"","Contacted","New"))))</f>
        <v>Contacted</v>
      </c>
      <c r="M1379" s="32" t="n">
        <f aca="false">IF(G1379="","",G1379-B1379)</f>
        <v>3</v>
      </c>
      <c r="N1379" s="24" t="str">
        <f aca="false">IF(COUNTIF($A$2:A1379,A1379)&gt;1,"Duplicate ID",IF(C1379="","Missing source",IF(OR(AND(G1379&lt;&gt;"",G1379&lt;B1379),AND(H1379&lt;&gt;"",H1379&lt;B1379),AND(I1379&lt;&gt;"",I1379&lt;H1379),AND(J1379&lt;&gt;"",J1379&lt;I1379)),"Date error","OK")))</f>
        <v>OK</v>
      </c>
    </row>
    <row r="1380" customFormat="false" ht="15" hidden="false" customHeight="false" outlineLevel="0" collapsed="false">
      <c r="A1380" s="24" t="s">
        <v>1458</v>
      </c>
      <c r="B1380" s="31" t="n">
        <v>46247</v>
      </c>
      <c r="C1380" s="24" t="s">
        <v>26</v>
      </c>
      <c r="D1380" s="24" t="s">
        <v>36</v>
      </c>
      <c r="E1380" s="24" t="s">
        <v>94</v>
      </c>
      <c r="F1380" s="24" t="s">
        <v>44</v>
      </c>
      <c r="G1380" s="31" t="n">
        <v>46251</v>
      </c>
      <c r="H1380" s="24"/>
      <c r="I1380" s="24"/>
      <c r="J1380" s="24"/>
      <c r="K1380" s="24" t="n">
        <v>0</v>
      </c>
      <c r="L1380" s="24" t="str">
        <f aca="false">IF(J1380&lt;&gt;"","Enrolled",IF(I1380&lt;&gt;"","Admitted",IF(H1380&lt;&gt;"","Applied",IF(G1380&lt;&gt;"","Contacted","New"))))</f>
        <v>Contacted</v>
      </c>
      <c r="M1380" s="32" t="n">
        <f aca="false">IF(G1380="","",G1380-B1380)</f>
        <v>4</v>
      </c>
      <c r="N1380" s="24" t="str">
        <f aca="false">IF(COUNTIF($A$2:A1380,A1380)&gt;1,"Duplicate ID",IF(C1380="","Missing source",IF(OR(AND(G1380&lt;&gt;"",G1380&lt;B1380),AND(H1380&lt;&gt;"",H1380&lt;B1380),AND(I1380&lt;&gt;"",I1380&lt;H1380),AND(J1380&lt;&gt;"",J1380&lt;I1380)),"Date error","OK")))</f>
        <v>OK</v>
      </c>
    </row>
    <row r="1381" customFormat="false" ht="15" hidden="false" customHeight="false" outlineLevel="0" collapsed="false">
      <c r="A1381" s="24" t="s">
        <v>1459</v>
      </c>
      <c r="B1381" s="31" t="n">
        <v>46247</v>
      </c>
      <c r="C1381" s="24" t="s">
        <v>23</v>
      </c>
      <c r="D1381" s="24" t="s">
        <v>33</v>
      </c>
      <c r="E1381" s="24" t="s">
        <v>94</v>
      </c>
      <c r="F1381" s="24" t="s">
        <v>40</v>
      </c>
      <c r="G1381" s="31" t="n">
        <v>46249</v>
      </c>
      <c r="H1381" s="24"/>
      <c r="I1381" s="24"/>
      <c r="J1381" s="24"/>
      <c r="K1381" s="24" t="n">
        <v>2</v>
      </c>
      <c r="L1381" s="24" t="str">
        <f aca="false">IF(J1381&lt;&gt;"","Enrolled",IF(I1381&lt;&gt;"","Admitted",IF(H1381&lt;&gt;"","Applied",IF(G1381&lt;&gt;"","Contacted","New"))))</f>
        <v>Contacted</v>
      </c>
      <c r="M1381" s="32" t="n">
        <f aca="false">IF(G1381="","",G1381-B1381)</f>
        <v>2</v>
      </c>
      <c r="N1381" s="24" t="str">
        <f aca="false">IF(COUNTIF($A$2:A1381,A1381)&gt;1,"Duplicate ID",IF(C1381="","Missing source",IF(OR(AND(G1381&lt;&gt;"",G1381&lt;B1381),AND(H1381&lt;&gt;"",H1381&lt;B1381),AND(I1381&lt;&gt;"",I1381&lt;H1381),AND(J1381&lt;&gt;"",J1381&lt;I1381)),"Date error","OK")))</f>
        <v>OK</v>
      </c>
    </row>
    <row r="1382" customFormat="false" ht="15" hidden="false" customHeight="false" outlineLevel="0" collapsed="false">
      <c r="A1382" s="24" t="s">
        <v>1460</v>
      </c>
      <c r="B1382" s="31" t="n">
        <v>46247</v>
      </c>
      <c r="C1382" s="24" t="s">
        <v>25</v>
      </c>
      <c r="D1382" s="24" t="s">
        <v>35</v>
      </c>
      <c r="E1382" s="24" t="s">
        <v>79</v>
      </c>
      <c r="F1382" s="24" t="s">
        <v>40</v>
      </c>
      <c r="G1382" s="31" t="n">
        <v>46247</v>
      </c>
      <c r="H1382" s="24"/>
      <c r="I1382" s="24"/>
      <c r="J1382" s="24"/>
      <c r="K1382" s="24" t="n">
        <v>2</v>
      </c>
      <c r="L1382" s="24" t="str">
        <f aca="false">IF(J1382&lt;&gt;"","Enrolled",IF(I1382&lt;&gt;"","Admitted",IF(H1382&lt;&gt;"","Applied",IF(G1382&lt;&gt;"","Contacted","New"))))</f>
        <v>Contacted</v>
      </c>
      <c r="M1382" s="32" t="n">
        <f aca="false">IF(G1382="","",G1382-B1382)</f>
        <v>0</v>
      </c>
      <c r="N1382" s="24" t="str">
        <f aca="false">IF(COUNTIF($A$2:A1382,A1382)&gt;1,"Duplicate ID",IF(C1382="","Missing source",IF(OR(AND(G1382&lt;&gt;"",G1382&lt;B1382),AND(H1382&lt;&gt;"",H1382&lt;B1382),AND(I1382&lt;&gt;"",I1382&lt;H1382),AND(J1382&lt;&gt;"",J1382&lt;I1382)),"Date error","OK")))</f>
        <v>OK</v>
      </c>
    </row>
    <row r="1383" customFormat="false" ht="15" hidden="false" customHeight="false" outlineLevel="0" collapsed="false">
      <c r="A1383" s="24" t="s">
        <v>1461</v>
      </c>
      <c r="B1383" s="31" t="n">
        <v>46248</v>
      </c>
      <c r="C1383" s="24" t="s">
        <v>26</v>
      </c>
      <c r="D1383" s="24" t="s">
        <v>32</v>
      </c>
      <c r="E1383" s="24" t="s">
        <v>94</v>
      </c>
      <c r="F1383" s="24" t="s">
        <v>43</v>
      </c>
      <c r="G1383" s="31" t="n">
        <v>46249</v>
      </c>
      <c r="H1383" s="24"/>
      <c r="I1383" s="24"/>
      <c r="J1383" s="24"/>
      <c r="K1383" s="24" t="n">
        <v>2</v>
      </c>
      <c r="L1383" s="24" t="str">
        <f aca="false">IF(J1383&lt;&gt;"","Enrolled",IF(I1383&lt;&gt;"","Admitted",IF(H1383&lt;&gt;"","Applied",IF(G1383&lt;&gt;"","Contacted","New"))))</f>
        <v>Contacted</v>
      </c>
      <c r="M1383" s="32" t="n">
        <f aca="false">IF(G1383="","",G1383-B1383)</f>
        <v>1</v>
      </c>
      <c r="N1383" s="24" t="str">
        <f aca="false">IF(COUNTIF($A$2:A1383,A1383)&gt;1,"Duplicate ID",IF(C1383="","Missing source",IF(OR(AND(G1383&lt;&gt;"",G1383&lt;B1383),AND(H1383&lt;&gt;"",H1383&lt;B1383),AND(I1383&lt;&gt;"",I1383&lt;H1383),AND(J1383&lt;&gt;"",J1383&lt;I1383)),"Date error","OK")))</f>
        <v>OK</v>
      </c>
    </row>
    <row r="1384" customFormat="false" ht="15" hidden="false" customHeight="false" outlineLevel="0" collapsed="false">
      <c r="A1384" s="24" t="s">
        <v>1462</v>
      </c>
      <c r="B1384" s="31" t="n">
        <v>46248</v>
      </c>
      <c r="C1384" s="24" t="s">
        <v>21</v>
      </c>
      <c r="D1384" s="24" t="s">
        <v>33</v>
      </c>
      <c r="E1384" s="24" t="s">
        <v>94</v>
      </c>
      <c r="F1384" s="24" t="s">
        <v>44</v>
      </c>
      <c r="G1384" s="31" t="n">
        <v>46248</v>
      </c>
      <c r="H1384" s="31" t="n">
        <v>46252</v>
      </c>
      <c r="I1384" s="31" t="n">
        <v>46257</v>
      </c>
      <c r="J1384" s="24"/>
      <c r="K1384" s="24" t="n">
        <v>2</v>
      </c>
      <c r="L1384" s="24" t="str">
        <f aca="false">IF(J1384&lt;&gt;"","Enrolled",IF(I1384&lt;&gt;"","Admitted",IF(H1384&lt;&gt;"","Applied",IF(G1384&lt;&gt;"","Contacted","New"))))</f>
        <v>Admitted</v>
      </c>
      <c r="M1384" s="32" t="n">
        <f aca="false">IF(G1384="","",G1384-B1384)</f>
        <v>0</v>
      </c>
      <c r="N1384" s="24" t="str">
        <f aca="false">IF(COUNTIF($A$2:A1384,A1384)&gt;1,"Duplicate ID",IF(C1384="","Missing source",IF(OR(AND(G1384&lt;&gt;"",G1384&lt;B1384),AND(H1384&lt;&gt;"",H1384&lt;B1384),AND(I1384&lt;&gt;"",I1384&lt;H1384),AND(J1384&lt;&gt;"",J1384&lt;I1384)),"Date error","OK")))</f>
        <v>OK</v>
      </c>
    </row>
    <row r="1385" customFormat="false" ht="15" hidden="false" customHeight="false" outlineLevel="0" collapsed="false">
      <c r="A1385" s="24" t="s">
        <v>1463</v>
      </c>
      <c r="B1385" s="31" t="n">
        <v>46248</v>
      </c>
      <c r="C1385" s="24" t="s">
        <v>25</v>
      </c>
      <c r="D1385" s="24" t="s">
        <v>32</v>
      </c>
      <c r="E1385" s="24" t="s">
        <v>79</v>
      </c>
      <c r="F1385" s="24" t="s">
        <v>42</v>
      </c>
      <c r="G1385" s="31" t="n">
        <v>46250</v>
      </c>
      <c r="H1385" s="24"/>
      <c r="I1385" s="24"/>
      <c r="J1385" s="24"/>
      <c r="K1385" s="24" t="n">
        <v>5</v>
      </c>
      <c r="L1385" s="24" t="str">
        <f aca="false">IF(J1385&lt;&gt;"","Enrolled",IF(I1385&lt;&gt;"","Admitted",IF(H1385&lt;&gt;"","Applied",IF(G1385&lt;&gt;"","Contacted","New"))))</f>
        <v>Contacted</v>
      </c>
      <c r="M1385" s="32" t="n">
        <f aca="false">IF(G1385="","",G1385-B1385)</f>
        <v>2</v>
      </c>
      <c r="N1385" s="24" t="str">
        <f aca="false">IF(COUNTIF($A$2:A1385,A1385)&gt;1,"Duplicate ID",IF(C1385="","Missing source",IF(OR(AND(G1385&lt;&gt;"",G1385&lt;B1385),AND(H1385&lt;&gt;"",H1385&lt;B1385),AND(I1385&lt;&gt;"",I1385&lt;H1385),AND(J1385&lt;&gt;"",J1385&lt;I1385)),"Date error","OK")))</f>
        <v>OK</v>
      </c>
    </row>
    <row r="1386" customFormat="false" ht="15" hidden="false" customHeight="false" outlineLevel="0" collapsed="false">
      <c r="A1386" s="24" t="s">
        <v>1464</v>
      </c>
      <c r="B1386" s="31" t="n">
        <v>46248</v>
      </c>
      <c r="C1386" s="24" t="s">
        <v>27</v>
      </c>
      <c r="D1386" s="24" t="s">
        <v>33</v>
      </c>
      <c r="E1386" s="24" t="s">
        <v>79</v>
      </c>
      <c r="F1386" s="24" t="s">
        <v>42</v>
      </c>
      <c r="G1386" s="31" t="n">
        <v>46248</v>
      </c>
      <c r="H1386" s="24"/>
      <c r="I1386" s="24"/>
      <c r="J1386" s="24"/>
      <c r="K1386" s="24" t="n">
        <v>1</v>
      </c>
      <c r="L1386" s="24" t="str">
        <f aca="false">IF(J1386&lt;&gt;"","Enrolled",IF(I1386&lt;&gt;"","Admitted",IF(H1386&lt;&gt;"","Applied",IF(G1386&lt;&gt;"","Contacted","New"))))</f>
        <v>Contacted</v>
      </c>
      <c r="M1386" s="32" t="n">
        <f aca="false">IF(G1386="","",G1386-B1386)</f>
        <v>0</v>
      </c>
      <c r="N1386" s="24" t="str">
        <f aca="false">IF(COUNTIF($A$2:A1386,A1386)&gt;1,"Duplicate ID",IF(C1386="","Missing source",IF(OR(AND(G1386&lt;&gt;"",G1386&lt;B1386),AND(H1386&lt;&gt;"",H1386&lt;B1386),AND(I1386&lt;&gt;"",I1386&lt;H1386),AND(J1386&lt;&gt;"",J1386&lt;I1386)),"Date error","OK")))</f>
        <v>OK</v>
      </c>
    </row>
    <row r="1387" customFormat="false" ht="15" hidden="false" customHeight="false" outlineLevel="0" collapsed="false">
      <c r="A1387" s="24" t="s">
        <v>1465</v>
      </c>
      <c r="B1387" s="31" t="n">
        <v>46248</v>
      </c>
      <c r="C1387" s="24" t="s">
        <v>24</v>
      </c>
      <c r="D1387" s="24" t="s">
        <v>33</v>
      </c>
      <c r="E1387" s="24" t="s">
        <v>89</v>
      </c>
      <c r="F1387" s="24" t="s">
        <v>44</v>
      </c>
      <c r="G1387" s="31" t="n">
        <v>46250</v>
      </c>
      <c r="H1387" s="24"/>
      <c r="I1387" s="24"/>
      <c r="J1387" s="24"/>
      <c r="K1387" s="24" t="n">
        <v>2</v>
      </c>
      <c r="L1387" s="24" t="str">
        <f aca="false">IF(J1387&lt;&gt;"","Enrolled",IF(I1387&lt;&gt;"","Admitted",IF(H1387&lt;&gt;"","Applied",IF(G1387&lt;&gt;"","Contacted","New"))))</f>
        <v>Contacted</v>
      </c>
      <c r="M1387" s="32" t="n">
        <f aca="false">IF(G1387="","",G1387-B1387)</f>
        <v>2</v>
      </c>
      <c r="N1387" s="24" t="str">
        <f aca="false">IF(COUNTIF($A$2:A1387,A1387)&gt;1,"Duplicate ID",IF(C1387="","Missing source",IF(OR(AND(G1387&lt;&gt;"",G1387&lt;B1387),AND(H1387&lt;&gt;"",H1387&lt;B1387),AND(I1387&lt;&gt;"",I1387&lt;H1387),AND(J1387&lt;&gt;"",J1387&lt;I1387)),"Date error","OK")))</f>
        <v>OK</v>
      </c>
    </row>
    <row r="1388" customFormat="false" ht="15" hidden="false" customHeight="false" outlineLevel="0" collapsed="false">
      <c r="A1388" s="24" t="s">
        <v>1466</v>
      </c>
      <c r="B1388" s="31" t="n">
        <v>46248</v>
      </c>
      <c r="C1388" s="24" t="s">
        <v>26</v>
      </c>
      <c r="D1388" s="24" t="s">
        <v>34</v>
      </c>
      <c r="E1388" s="24" t="s">
        <v>89</v>
      </c>
      <c r="F1388" s="24" t="s">
        <v>40</v>
      </c>
      <c r="G1388" s="31" t="n">
        <v>46248</v>
      </c>
      <c r="H1388" s="24"/>
      <c r="I1388" s="24"/>
      <c r="J1388" s="24"/>
      <c r="K1388" s="24" t="n">
        <v>2</v>
      </c>
      <c r="L1388" s="24" t="str">
        <f aca="false">IF(J1388&lt;&gt;"","Enrolled",IF(I1388&lt;&gt;"","Admitted",IF(H1388&lt;&gt;"","Applied",IF(G1388&lt;&gt;"","Contacted","New"))))</f>
        <v>Contacted</v>
      </c>
      <c r="M1388" s="32" t="n">
        <f aca="false">IF(G1388="","",G1388-B1388)</f>
        <v>0</v>
      </c>
      <c r="N1388" s="24" t="str">
        <f aca="false">IF(COUNTIF($A$2:A1388,A1388)&gt;1,"Duplicate ID",IF(C1388="","Missing source",IF(OR(AND(G1388&lt;&gt;"",G1388&lt;B1388),AND(H1388&lt;&gt;"",H1388&lt;B1388),AND(I1388&lt;&gt;"",I1388&lt;H1388),AND(J1388&lt;&gt;"",J1388&lt;I1388)),"Date error","OK")))</f>
        <v>OK</v>
      </c>
    </row>
    <row r="1389" customFormat="false" ht="15" hidden="false" customHeight="false" outlineLevel="0" collapsed="false">
      <c r="A1389" s="24" t="s">
        <v>1467</v>
      </c>
      <c r="B1389" s="31" t="n">
        <v>46248</v>
      </c>
      <c r="C1389" s="24" t="s">
        <v>21</v>
      </c>
      <c r="D1389" s="24" t="s">
        <v>34</v>
      </c>
      <c r="E1389" s="24" t="s">
        <v>94</v>
      </c>
      <c r="F1389" s="24" t="s">
        <v>40</v>
      </c>
      <c r="G1389" s="31" t="n">
        <v>46248</v>
      </c>
      <c r="H1389" s="24"/>
      <c r="I1389" s="24"/>
      <c r="J1389" s="24"/>
      <c r="K1389" s="24" t="n">
        <v>4</v>
      </c>
      <c r="L1389" s="24" t="str">
        <f aca="false">IF(J1389&lt;&gt;"","Enrolled",IF(I1389&lt;&gt;"","Admitted",IF(H1389&lt;&gt;"","Applied",IF(G1389&lt;&gt;"","Contacted","New"))))</f>
        <v>Contacted</v>
      </c>
      <c r="M1389" s="32" t="n">
        <f aca="false">IF(G1389="","",G1389-B1389)</f>
        <v>0</v>
      </c>
      <c r="N1389" s="24" t="str">
        <f aca="false">IF(COUNTIF($A$2:A1389,A1389)&gt;1,"Duplicate ID",IF(C1389="","Missing source",IF(OR(AND(G1389&lt;&gt;"",G1389&lt;B1389),AND(H1389&lt;&gt;"",H1389&lt;B1389),AND(I1389&lt;&gt;"",I1389&lt;H1389),AND(J1389&lt;&gt;"",J1389&lt;I1389)),"Date error","OK")))</f>
        <v>OK</v>
      </c>
    </row>
    <row r="1390" customFormat="false" ht="15" hidden="false" customHeight="false" outlineLevel="0" collapsed="false">
      <c r="A1390" s="24" t="s">
        <v>1468</v>
      </c>
      <c r="B1390" s="31" t="n">
        <v>46248</v>
      </c>
      <c r="C1390" s="24" t="s">
        <v>26</v>
      </c>
      <c r="D1390" s="24" t="s">
        <v>36</v>
      </c>
      <c r="E1390" s="24" t="s">
        <v>79</v>
      </c>
      <c r="F1390" s="24" t="s">
        <v>44</v>
      </c>
      <c r="G1390" s="31" t="n">
        <v>46251</v>
      </c>
      <c r="H1390" s="24"/>
      <c r="I1390" s="24"/>
      <c r="J1390" s="24"/>
      <c r="K1390" s="24" t="n">
        <v>2</v>
      </c>
      <c r="L1390" s="24" t="str">
        <f aca="false">IF(J1390&lt;&gt;"","Enrolled",IF(I1390&lt;&gt;"","Admitted",IF(H1390&lt;&gt;"","Applied",IF(G1390&lt;&gt;"","Contacted","New"))))</f>
        <v>Contacted</v>
      </c>
      <c r="M1390" s="32" t="n">
        <f aca="false">IF(G1390="","",G1390-B1390)</f>
        <v>3</v>
      </c>
      <c r="N1390" s="24" t="str">
        <f aca="false">IF(COUNTIF($A$2:A1390,A1390)&gt;1,"Duplicate ID",IF(C1390="","Missing source",IF(OR(AND(G1390&lt;&gt;"",G1390&lt;B1390),AND(H1390&lt;&gt;"",H1390&lt;B1390),AND(I1390&lt;&gt;"",I1390&lt;H1390),AND(J1390&lt;&gt;"",J1390&lt;I1390)),"Date error","OK")))</f>
        <v>OK</v>
      </c>
    </row>
    <row r="1391" customFormat="false" ht="15" hidden="false" customHeight="false" outlineLevel="0" collapsed="false">
      <c r="A1391" s="24" t="s">
        <v>1469</v>
      </c>
      <c r="B1391" s="31" t="n">
        <v>46248</v>
      </c>
      <c r="C1391" s="24" t="s">
        <v>25</v>
      </c>
      <c r="D1391" s="24" t="s">
        <v>34</v>
      </c>
      <c r="E1391" s="24" t="s">
        <v>81</v>
      </c>
      <c r="F1391" s="24" t="s">
        <v>40</v>
      </c>
      <c r="G1391" s="31" t="n">
        <v>46248</v>
      </c>
      <c r="H1391" s="24"/>
      <c r="I1391" s="24"/>
      <c r="J1391" s="24"/>
      <c r="K1391" s="24" t="n">
        <v>1</v>
      </c>
      <c r="L1391" s="24" t="str">
        <f aca="false">IF(J1391&lt;&gt;"","Enrolled",IF(I1391&lt;&gt;"","Admitted",IF(H1391&lt;&gt;"","Applied",IF(G1391&lt;&gt;"","Contacted","New"))))</f>
        <v>Contacted</v>
      </c>
      <c r="M1391" s="32" t="n">
        <f aca="false">IF(G1391="","",G1391-B1391)</f>
        <v>0</v>
      </c>
      <c r="N1391" s="24" t="str">
        <f aca="false">IF(COUNTIF($A$2:A1391,A1391)&gt;1,"Duplicate ID",IF(C1391="","Missing source",IF(OR(AND(G1391&lt;&gt;"",G1391&lt;B1391),AND(H1391&lt;&gt;"",H1391&lt;B1391),AND(I1391&lt;&gt;"",I1391&lt;H1391),AND(J1391&lt;&gt;"",J1391&lt;I1391)),"Date error","OK")))</f>
        <v>OK</v>
      </c>
    </row>
    <row r="1392" customFormat="false" ht="15" hidden="false" customHeight="false" outlineLevel="0" collapsed="false">
      <c r="A1392" s="24" t="s">
        <v>1470</v>
      </c>
      <c r="B1392" s="31" t="n">
        <v>46248</v>
      </c>
      <c r="C1392" s="24" t="s">
        <v>27</v>
      </c>
      <c r="D1392" s="24" t="s">
        <v>36</v>
      </c>
      <c r="E1392" s="24" t="s">
        <v>94</v>
      </c>
      <c r="F1392" s="24" t="s">
        <v>44</v>
      </c>
      <c r="G1392" s="31" t="n">
        <v>46249</v>
      </c>
      <c r="H1392" s="24"/>
      <c r="I1392" s="24"/>
      <c r="J1392" s="24"/>
      <c r="K1392" s="24" t="n">
        <v>3</v>
      </c>
      <c r="L1392" s="24" t="str">
        <f aca="false">IF(J1392&lt;&gt;"","Enrolled",IF(I1392&lt;&gt;"","Admitted",IF(H1392&lt;&gt;"","Applied",IF(G1392&lt;&gt;"","Contacted","New"))))</f>
        <v>Contacted</v>
      </c>
      <c r="M1392" s="32" t="n">
        <f aca="false">IF(G1392="","",G1392-B1392)</f>
        <v>1</v>
      </c>
      <c r="N1392" s="24" t="str">
        <f aca="false">IF(COUNTIF($A$2:A1392,A1392)&gt;1,"Duplicate ID",IF(C1392="","Missing source",IF(OR(AND(G1392&lt;&gt;"",G1392&lt;B1392),AND(H1392&lt;&gt;"",H1392&lt;B1392),AND(I1392&lt;&gt;"",I1392&lt;H1392),AND(J1392&lt;&gt;"",J1392&lt;I1392)),"Date error","OK")))</f>
        <v>OK</v>
      </c>
    </row>
    <row r="1393" customFormat="false" ht="15" hidden="false" customHeight="false" outlineLevel="0" collapsed="false">
      <c r="A1393" s="24" t="s">
        <v>1471</v>
      </c>
      <c r="B1393" s="31" t="n">
        <v>46248</v>
      </c>
      <c r="C1393" s="24" t="s">
        <v>26</v>
      </c>
      <c r="D1393" s="24" t="s">
        <v>34</v>
      </c>
      <c r="E1393" s="24" t="s">
        <v>89</v>
      </c>
      <c r="F1393" s="24" t="s">
        <v>41</v>
      </c>
      <c r="G1393" s="31" t="n">
        <v>46248</v>
      </c>
      <c r="H1393" s="24"/>
      <c r="I1393" s="24"/>
      <c r="J1393" s="24"/>
      <c r="K1393" s="24" t="n">
        <v>1</v>
      </c>
      <c r="L1393" s="24" t="str">
        <f aca="false">IF(J1393&lt;&gt;"","Enrolled",IF(I1393&lt;&gt;"","Admitted",IF(H1393&lt;&gt;"","Applied",IF(G1393&lt;&gt;"","Contacted","New"))))</f>
        <v>Contacted</v>
      </c>
      <c r="M1393" s="32" t="n">
        <f aca="false">IF(G1393="","",G1393-B1393)</f>
        <v>0</v>
      </c>
      <c r="N1393" s="24" t="str">
        <f aca="false">IF(COUNTIF($A$2:A1393,A1393)&gt;1,"Duplicate ID",IF(C1393="","Missing source",IF(OR(AND(G1393&lt;&gt;"",G1393&lt;B1393),AND(H1393&lt;&gt;"",H1393&lt;B1393),AND(I1393&lt;&gt;"",I1393&lt;H1393),AND(J1393&lt;&gt;"",J1393&lt;I1393)),"Date error","OK")))</f>
        <v>OK</v>
      </c>
    </row>
    <row r="1394" customFormat="false" ht="15" hidden="false" customHeight="false" outlineLevel="0" collapsed="false">
      <c r="A1394" s="24" t="s">
        <v>1472</v>
      </c>
      <c r="B1394" s="31" t="n">
        <v>46248</v>
      </c>
      <c r="C1394" s="24" t="s">
        <v>22</v>
      </c>
      <c r="D1394" s="24" t="s">
        <v>32</v>
      </c>
      <c r="E1394" s="24" t="s">
        <v>89</v>
      </c>
      <c r="F1394" s="24" t="s">
        <v>44</v>
      </c>
      <c r="G1394" s="31" t="n">
        <v>46250</v>
      </c>
      <c r="H1394" s="31" t="n">
        <v>46255</v>
      </c>
      <c r="I1394" s="31" t="n">
        <v>46260</v>
      </c>
      <c r="J1394" s="24"/>
      <c r="K1394" s="24" t="n">
        <v>3</v>
      </c>
      <c r="L1394" s="24" t="str">
        <f aca="false">IF(J1394&lt;&gt;"","Enrolled",IF(I1394&lt;&gt;"","Admitted",IF(H1394&lt;&gt;"","Applied",IF(G1394&lt;&gt;"","Contacted","New"))))</f>
        <v>Admitted</v>
      </c>
      <c r="M1394" s="32" t="n">
        <f aca="false">IF(G1394="","",G1394-B1394)</f>
        <v>2</v>
      </c>
      <c r="N1394" s="24" t="str">
        <f aca="false">IF(COUNTIF($A$2:A1394,A1394)&gt;1,"Duplicate ID",IF(C1394="","Missing source",IF(OR(AND(G1394&lt;&gt;"",G1394&lt;B1394),AND(H1394&lt;&gt;"",H1394&lt;B1394),AND(I1394&lt;&gt;"",I1394&lt;H1394),AND(J1394&lt;&gt;"",J1394&lt;I1394)),"Date error","OK")))</f>
        <v>OK</v>
      </c>
    </row>
    <row r="1395" customFormat="false" ht="15" hidden="false" customHeight="false" outlineLevel="0" collapsed="false">
      <c r="A1395" s="24" t="s">
        <v>1473</v>
      </c>
      <c r="B1395" s="31" t="n">
        <v>46248</v>
      </c>
      <c r="C1395" s="24" t="s">
        <v>22</v>
      </c>
      <c r="D1395" s="24" t="s">
        <v>33</v>
      </c>
      <c r="E1395" s="24" t="s">
        <v>81</v>
      </c>
      <c r="F1395" s="24" t="s">
        <v>43</v>
      </c>
      <c r="G1395" s="31" t="n">
        <v>46252</v>
      </c>
      <c r="H1395" s="24"/>
      <c r="I1395" s="24"/>
      <c r="J1395" s="24"/>
      <c r="K1395" s="24" t="n">
        <v>6</v>
      </c>
      <c r="L1395" s="24" t="str">
        <f aca="false">IF(J1395&lt;&gt;"","Enrolled",IF(I1395&lt;&gt;"","Admitted",IF(H1395&lt;&gt;"","Applied",IF(G1395&lt;&gt;"","Contacted","New"))))</f>
        <v>Contacted</v>
      </c>
      <c r="M1395" s="32" t="n">
        <f aca="false">IF(G1395="","",G1395-B1395)</f>
        <v>4</v>
      </c>
      <c r="N1395" s="24" t="str">
        <f aca="false">IF(COUNTIF($A$2:A1395,A1395)&gt;1,"Duplicate ID",IF(C1395="","Missing source",IF(OR(AND(G1395&lt;&gt;"",G1395&lt;B1395),AND(H1395&lt;&gt;"",H1395&lt;B1395),AND(I1395&lt;&gt;"",I1395&lt;H1395),AND(J1395&lt;&gt;"",J1395&lt;I1395)),"Date error","OK")))</f>
        <v>OK</v>
      </c>
    </row>
    <row r="1396" customFormat="false" ht="15" hidden="false" customHeight="false" outlineLevel="0" collapsed="false">
      <c r="A1396" s="24" t="s">
        <v>1474</v>
      </c>
      <c r="B1396" s="31" t="n">
        <v>46248</v>
      </c>
      <c r="C1396" s="24" t="s">
        <v>21</v>
      </c>
      <c r="D1396" s="24" t="s">
        <v>32</v>
      </c>
      <c r="E1396" s="24" t="s">
        <v>89</v>
      </c>
      <c r="F1396" s="24" t="s">
        <v>42</v>
      </c>
      <c r="G1396" s="31" t="n">
        <v>46248</v>
      </c>
      <c r="H1396" s="24"/>
      <c r="I1396" s="24"/>
      <c r="J1396" s="24"/>
      <c r="K1396" s="24" t="n">
        <v>4</v>
      </c>
      <c r="L1396" s="24" t="str">
        <f aca="false">IF(J1396&lt;&gt;"","Enrolled",IF(I1396&lt;&gt;"","Admitted",IF(H1396&lt;&gt;"","Applied",IF(G1396&lt;&gt;"","Contacted","New"))))</f>
        <v>Contacted</v>
      </c>
      <c r="M1396" s="32" t="n">
        <f aca="false">IF(G1396="","",G1396-B1396)</f>
        <v>0</v>
      </c>
      <c r="N1396" s="24" t="str">
        <f aca="false">IF(COUNTIF($A$2:A1396,A1396)&gt;1,"Duplicate ID",IF(C1396="","Missing source",IF(OR(AND(G1396&lt;&gt;"",G1396&lt;B1396),AND(H1396&lt;&gt;"",H1396&lt;B1396),AND(I1396&lt;&gt;"",I1396&lt;H1396),AND(J1396&lt;&gt;"",J1396&lt;I1396)),"Date error","OK")))</f>
        <v>OK</v>
      </c>
    </row>
    <row r="1397" customFormat="false" ht="15" hidden="false" customHeight="false" outlineLevel="0" collapsed="false">
      <c r="A1397" s="24" t="s">
        <v>1475</v>
      </c>
      <c r="B1397" s="31" t="n">
        <v>46248</v>
      </c>
      <c r="C1397" s="24" t="s">
        <v>22</v>
      </c>
      <c r="D1397" s="24" t="s">
        <v>33</v>
      </c>
      <c r="E1397" s="24" t="s">
        <v>89</v>
      </c>
      <c r="F1397" s="24" t="s">
        <v>40</v>
      </c>
      <c r="G1397" s="31" t="n">
        <v>46248</v>
      </c>
      <c r="H1397" s="24"/>
      <c r="I1397" s="24"/>
      <c r="J1397" s="24"/>
      <c r="K1397" s="24" t="n">
        <v>2</v>
      </c>
      <c r="L1397" s="24" t="str">
        <f aca="false">IF(J1397&lt;&gt;"","Enrolled",IF(I1397&lt;&gt;"","Admitted",IF(H1397&lt;&gt;"","Applied",IF(G1397&lt;&gt;"","Contacted","New"))))</f>
        <v>Contacted</v>
      </c>
      <c r="M1397" s="32" t="n">
        <f aca="false">IF(G1397="","",G1397-B1397)</f>
        <v>0</v>
      </c>
      <c r="N1397" s="24" t="str">
        <f aca="false">IF(COUNTIF($A$2:A1397,A1397)&gt;1,"Duplicate ID",IF(C1397="","Missing source",IF(OR(AND(G1397&lt;&gt;"",G1397&lt;B1397),AND(H1397&lt;&gt;"",H1397&lt;B1397),AND(I1397&lt;&gt;"",I1397&lt;H1397),AND(J1397&lt;&gt;"",J1397&lt;I1397)),"Date error","OK")))</f>
        <v>OK</v>
      </c>
    </row>
    <row r="1398" customFormat="false" ht="15" hidden="false" customHeight="false" outlineLevel="0" collapsed="false">
      <c r="A1398" s="24" t="s">
        <v>1476</v>
      </c>
      <c r="B1398" s="31" t="n">
        <v>46248</v>
      </c>
      <c r="C1398" s="24" t="s">
        <v>23</v>
      </c>
      <c r="D1398" s="24" t="s">
        <v>32</v>
      </c>
      <c r="E1398" s="24" t="s">
        <v>79</v>
      </c>
      <c r="F1398" s="24" t="s">
        <v>41</v>
      </c>
      <c r="G1398" s="31" t="n">
        <v>46249</v>
      </c>
      <c r="H1398" s="24"/>
      <c r="I1398" s="24"/>
      <c r="J1398" s="24"/>
      <c r="K1398" s="24" t="n">
        <v>2</v>
      </c>
      <c r="L1398" s="24" t="str">
        <f aca="false">IF(J1398&lt;&gt;"","Enrolled",IF(I1398&lt;&gt;"","Admitted",IF(H1398&lt;&gt;"","Applied",IF(G1398&lt;&gt;"","Contacted","New"))))</f>
        <v>Contacted</v>
      </c>
      <c r="M1398" s="32" t="n">
        <f aca="false">IF(G1398="","",G1398-B1398)</f>
        <v>1</v>
      </c>
      <c r="N1398" s="24" t="str">
        <f aca="false">IF(COUNTIF($A$2:A1398,A1398)&gt;1,"Duplicate ID",IF(C1398="","Missing source",IF(OR(AND(G1398&lt;&gt;"",G1398&lt;B1398),AND(H1398&lt;&gt;"",H1398&lt;B1398),AND(I1398&lt;&gt;"",I1398&lt;H1398),AND(J1398&lt;&gt;"",J1398&lt;I1398)),"Date error","OK")))</f>
        <v>OK</v>
      </c>
    </row>
    <row r="1399" customFormat="false" ht="15" hidden="false" customHeight="false" outlineLevel="0" collapsed="false">
      <c r="A1399" s="24" t="s">
        <v>1477</v>
      </c>
      <c r="B1399" s="31" t="n">
        <v>46248</v>
      </c>
      <c r="C1399" s="24" t="s">
        <v>25</v>
      </c>
      <c r="D1399" s="24" t="s">
        <v>36</v>
      </c>
      <c r="E1399" s="24" t="s">
        <v>94</v>
      </c>
      <c r="F1399" s="24" t="s">
        <v>42</v>
      </c>
      <c r="G1399" s="31" t="n">
        <v>46249</v>
      </c>
      <c r="H1399" s="24"/>
      <c r="I1399" s="24"/>
      <c r="J1399" s="24"/>
      <c r="K1399" s="24" t="n">
        <v>4</v>
      </c>
      <c r="L1399" s="24" t="str">
        <f aca="false">IF(J1399&lt;&gt;"","Enrolled",IF(I1399&lt;&gt;"","Admitted",IF(H1399&lt;&gt;"","Applied",IF(G1399&lt;&gt;"","Contacted","New"))))</f>
        <v>Contacted</v>
      </c>
      <c r="M1399" s="32" t="n">
        <f aca="false">IF(G1399="","",G1399-B1399)</f>
        <v>1</v>
      </c>
      <c r="N1399" s="24" t="str">
        <f aca="false">IF(COUNTIF($A$2:A1399,A1399)&gt;1,"Duplicate ID",IF(C1399="","Missing source",IF(OR(AND(G1399&lt;&gt;"",G1399&lt;B1399),AND(H1399&lt;&gt;"",H1399&lt;B1399),AND(I1399&lt;&gt;"",I1399&lt;H1399),AND(J1399&lt;&gt;"",J1399&lt;I1399)),"Date error","OK")))</f>
        <v>OK</v>
      </c>
    </row>
    <row r="1400" customFormat="false" ht="15" hidden="false" customHeight="false" outlineLevel="0" collapsed="false">
      <c r="A1400" s="24" t="s">
        <v>1478</v>
      </c>
      <c r="B1400" s="31" t="n">
        <v>46248</v>
      </c>
      <c r="C1400" s="24" t="s">
        <v>26</v>
      </c>
      <c r="D1400" s="24" t="s">
        <v>36</v>
      </c>
      <c r="E1400" s="24" t="s">
        <v>89</v>
      </c>
      <c r="F1400" s="24" t="s">
        <v>44</v>
      </c>
      <c r="G1400" s="24"/>
      <c r="H1400" s="24"/>
      <c r="I1400" s="24"/>
      <c r="J1400" s="24"/>
      <c r="K1400" s="24" t="n">
        <v>0</v>
      </c>
      <c r="L1400" s="24" t="str">
        <f aca="false">IF(J1400&lt;&gt;"","Enrolled",IF(I1400&lt;&gt;"","Admitted",IF(H1400&lt;&gt;"","Applied",IF(G1400&lt;&gt;"","Contacted","New"))))</f>
        <v>New</v>
      </c>
      <c r="M1400" s="32" t="str">
        <f aca="false">IF(G1400="","",G1400-B1400)</f>
        <v/>
      </c>
      <c r="N1400" s="24" t="str">
        <f aca="false">IF(COUNTIF($A$2:A1400,A1400)&gt;1,"Duplicate ID",IF(C1400="","Missing source",IF(OR(AND(G1400&lt;&gt;"",G1400&lt;B1400),AND(H1400&lt;&gt;"",H1400&lt;B1400),AND(I1400&lt;&gt;"",I1400&lt;H1400),AND(J1400&lt;&gt;"",J1400&lt;I1400)),"Date error","OK")))</f>
        <v>OK</v>
      </c>
    </row>
    <row r="1401" customFormat="false" ht="15" hidden="false" customHeight="false" outlineLevel="0" collapsed="false">
      <c r="A1401" s="24" t="s">
        <v>1479</v>
      </c>
      <c r="B1401" s="31" t="n">
        <v>46248</v>
      </c>
      <c r="C1401" s="24" t="s">
        <v>23</v>
      </c>
      <c r="D1401" s="24" t="s">
        <v>34</v>
      </c>
      <c r="E1401" s="24" t="s">
        <v>89</v>
      </c>
      <c r="F1401" s="24" t="s">
        <v>43</v>
      </c>
      <c r="G1401" s="31" t="n">
        <v>46248</v>
      </c>
      <c r="H1401" s="24"/>
      <c r="I1401" s="24"/>
      <c r="J1401" s="24"/>
      <c r="K1401" s="24" t="n">
        <v>1</v>
      </c>
      <c r="L1401" s="24" t="str">
        <f aca="false">IF(J1401&lt;&gt;"","Enrolled",IF(I1401&lt;&gt;"","Admitted",IF(H1401&lt;&gt;"","Applied",IF(G1401&lt;&gt;"","Contacted","New"))))</f>
        <v>Contacted</v>
      </c>
      <c r="M1401" s="32" t="n">
        <f aca="false">IF(G1401="","",G1401-B1401)</f>
        <v>0</v>
      </c>
      <c r="N1401" s="24" t="str">
        <f aca="false">IF(COUNTIF($A$2:A1401,A1401)&gt;1,"Duplicate ID",IF(C1401="","Missing source",IF(OR(AND(G1401&lt;&gt;"",G1401&lt;B1401),AND(H1401&lt;&gt;"",H1401&lt;B1401),AND(I1401&lt;&gt;"",I1401&lt;H1401),AND(J1401&lt;&gt;"",J1401&lt;I1401)),"Date error","OK")))</f>
        <v>OK</v>
      </c>
    </row>
    <row r="1402" customFormat="false" ht="15" hidden="false" customHeight="false" outlineLevel="0" collapsed="false">
      <c r="A1402" s="24" t="s">
        <v>1480</v>
      </c>
      <c r="B1402" s="31" t="n">
        <v>46249</v>
      </c>
      <c r="C1402" s="24" t="s">
        <v>26</v>
      </c>
      <c r="D1402" s="24" t="s">
        <v>36</v>
      </c>
      <c r="E1402" s="24" t="s">
        <v>89</v>
      </c>
      <c r="F1402" s="24" t="s">
        <v>42</v>
      </c>
      <c r="G1402" s="31" t="n">
        <v>46249</v>
      </c>
      <c r="H1402" s="24"/>
      <c r="I1402" s="24"/>
      <c r="J1402" s="24"/>
      <c r="K1402" s="24" t="n">
        <v>6</v>
      </c>
      <c r="L1402" s="24" t="str">
        <f aca="false">IF(J1402&lt;&gt;"","Enrolled",IF(I1402&lt;&gt;"","Admitted",IF(H1402&lt;&gt;"","Applied",IF(G1402&lt;&gt;"","Contacted","New"))))</f>
        <v>Contacted</v>
      </c>
      <c r="M1402" s="32" t="n">
        <f aca="false">IF(G1402="","",G1402-B1402)</f>
        <v>0</v>
      </c>
      <c r="N1402" s="24" t="str">
        <f aca="false">IF(COUNTIF($A$2:A1402,A1402)&gt;1,"Duplicate ID",IF(C1402="","Missing source",IF(OR(AND(G1402&lt;&gt;"",G1402&lt;B1402),AND(H1402&lt;&gt;"",H1402&lt;B1402),AND(I1402&lt;&gt;"",I1402&lt;H1402),AND(J1402&lt;&gt;"",J1402&lt;I1402)),"Date error","OK")))</f>
        <v>OK</v>
      </c>
    </row>
    <row r="1403" customFormat="false" ht="15" hidden="false" customHeight="false" outlineLevel="0" collapsed="false">
      <c r="A1403" s="24" t="s">
        <v>1481</v>
      </c>
      <c r="B1403" s="31" t="n">
        <v>46249</v>
      </c>
      <c r="C1403" s="24" t="s">
        <v>23</v>
      </c>
      <c r="D1403" s="24" t="s">
        <v>33</v>
      </c>
      <c r="E1403" s="24" t="s">
        <v>81</v>
      </c>
      <c r="F1403" s="24" t="s">
        <v>45</v>
      </c>
      <c r="G1403" s="31" t="n">
        <v>46249</v>
      </c>
      <c r="H1403" s="31" t="n">
        <v>46263</v>
      </c>
      <c r="I1403" s="24"/>
      <c r="J1403" s="24"/>
      <c r="K1403" s="24" t="n">
        <v>2</v>
      </c>
      <c r="L1403" s="24" t="str">
        <f aca="false">IF(J1403&lt;&gt;"","Enrolled",IF(I1403&lt;&gt;"","Admitted",IF(H1403&lt;&gt;"","Applied",IF(G1403&lt;&gt;"","Contacted","New"))))</f>
        <v>Applied</v>
      </c>
      <c r="M1403" s="32" t="n">
        <f aca="false">IF(G1403="","",G1403-B1403)</f>
        <v>0</v>
      </c>
      <c r="N1403" s="24" t="str">
        <f aca="false">IF(COUNTIF($A$2:A1403,A1403)&gt;1,"Duplicate ID",IF(C1403="","Missing source",IF(OR(AND(G1403&lt;&gt;"",G1403&lt;B1403),AND(H1403&lt;&gt;"",H1403&lt;B1403),AND(I1403&lt;&gt;"",I1403&lt;H1403),AND(J1403&lt;&gt;"",J1403&lt;I1403)),"Date error","OK")))</f>
        <v>OK</v>
      </c>
    </row>
    <row r="1404" customFormat="false" ht="15" hidden="false" customHeight="false" outlineLevel="0" collapsed="false">
      <c r="A1404" s="24" t="s">
        <v>1482</v>
      </c>
      <c r="B1404" s="31" t="n">
        <v>46249</v>
      </c>
      <c r="C1404" s="24" t="s">
        <v>26</v>
      </c>
      <c r="D1404" s="24" t="s">
        <v>32</v>
      </c>
      <c r="E1404" s="24" t="s">
        <v>81</v>
      </c>
      <c r="F1404" s="24" t="s">
        <v>42</v>
      </c>
      <c r="G1404" s="31" t="n">
        <v>46249</v>
      </c>
      <c r="H1404" s="24"/>
      <c r="I1404" s="24"/>
      <c r="J1404" s="24"/>
      <c r="K1404" s="24" t="n">
        <v>2</v>
      </c>
      <c r="L1404" s="24" t="str">
        <f aca="false">IF(J1404&lt;&gt;"","Enrolled",IF(I1404&lt;&gt;"","Admitted",IF(H1404&lt;&gt;"","Applied",IF(G1404&lt;&gt;"","Contacted","New"))))</f>
        <v>Contacted</v>
      </c>
      <c r="M1404" s="32" t="n">
        <f aca="false">IF(G1404="","",G1404-B1404)</f>
        <v>0</v>
      </c>
      <c r="N1404" s="24" t="str">
        <f aca="false">IF(COUNTIF($A$2:A1404,A1404)&gt;1,"Duplicate ID",IF(C1404="","Missing source",IF(OR(AND(G1404&lt;&gt;"",G1404&lt;B1404),AND(H1404&lt;&gt;"",H1404&lt;B1404),AND(I1404&lt;&gt;"",I1404&lt;H1404),AND(J1404&lt;&gt;"",J1404&lt;I1404)),"Date error","OK")))</f>
        <v>OK</v>
      </c>
    </row>
    <row r="1405" customFormat="false" ht="15" hidden="false" customHeight="false" outlineLevel="0" collapsed="false">
      <c r="A1405" s="24" t="s">
        <v>1483</v>
      </c>
      <c r="B1405" s="31" t="n">
        <v>46249</v>
      </c>
      <c r="C1405" s="24" t="s">
        <v>26</v>
      </c>
      <c r="D1405" s="24" t="s">
        <v>33</v>
      </c>
      <c r="E1405" s="24" t="s">
        <v>89</v>
      </c>
      <c r="F1405" s="24" t="s">
        <v>45</v>
      </c>
      <c r="G1405" s="31" t="n">
        <v>46249</v>
      </c>
      <c r="H1405" s="24"/>
      <c r="I1405" s="24"/>
      <c r="J1405" s="24"/>
      <c r="K1405" s="24" t="n">
        <v>0</v>
      </c>
      <c r="L1405" s="24" t="str">
        <f aca="false">IF(J1405&lt;&gt;"","Enrolled",IF(I1405&lt;&gt;"","Admitted",IF(H1405&lt;&gt;"","Applied",IF(G1405&lt;&gt;"","Contacted","New"))))</f>
        <v>Contacted</v>
      </c>
      <c r="M1405" s="32" t="n">
        <f aca="false">IF(G1405="","",G1405-B1405)</f>
        <v>0</v>
      </c>
      <c r="N1405" s="24" t="str">
        <f aca="false">IF(COUNTIF($A$2:A1405,A1405)&gt;1,"Duplicate ID",IF(C1405="","Missing source",IF(OR(AND(G1405&lt;&gt;"",G1405&lt;B1405),AND(H1405&lt;&gt;"",H1405&lt;B1405),AND(I1405&lt;&gt;"",I1405&lt;H1405),AND(J1405&lt;&gt;"",J1405&lt;I1405)),"Date error","OK")))</f>
        <v>OK</v>
      </c>
    </row>
    <row r="1406" customFormat="false" ht="15" hidden="false" customHeight="false" outlineLevel="0" collapsed="false">
      <c r="A1406" s="24" t="s">
        <v>1484</v>
      </c>
      <c r="B1406" s="31" t="n">
        <v>46249</v>
      </c>
      <c r="C1406" s="24" t="s">
        <v>26</v>
      </c>
      <c r="D1406" s="24" t="s">
        <v>33</v>
      </c>
      <c r="E1406" s="24" t="s">
        <v>79</v>
      </c>
      <c r="F1406" s="24" t="s">
        <v>42</v>
      </c>
      <c r="G1406" s="31" t="n">
        <v>46250</v>
      </c>
      <c r="H1406" s="24"/>
      <c r="I1406" s="24"/>
      <c r="J1406" s="24"/>
      <c r="K1406" s="24" t="n">
        <v>3</v>
      </c>
      <c r="L1406" s="24" t="str">
        <f aca="false">IF(J1406&lt;&gt;"","Enrolled",IF(I1406&lt;&gt;"","Admitted",IF(H1406&lt;&gt;"","Applied",IF(G1406&lt;&gt;"","Contacted","New"))))</f>
        <v>Contacted</v>
      </c>
      <c r="M1406" s="32" t="n">
        <f aca="false">IF(G1406="","",G1406-B1406)</f>
        <v>1</v>
      </c>
      <c r="N1406" s="24" t="str">
        <f aca="false">IF(COUNTIF($A$2:A1406,A1406)&gt;1,"Duplicate ID",IF(C1406="","Missing source",IF(OR(AND(G1406&lt;&gt;"",G1406&lt;B1406),AND(H1406&lt;&gt;"",H1406&lt;B1406),AND(I1406&lt;&gt;"",I1406&lt;H1406),AND(J1406&lt;&gt;"",J1406&lt;I1406)),"Date error","OK")))</f>
        <v>OK</v>
      </c>
    </row>
    <row r="1407" customFormat="false" ht="15" hidden="false" customHeight="false" outlineLevel="0" collapsed="false">
      <c r="A1407" s="24" t="s">
        <v>1485</v>
      </c>
      <c r="B1407" s="31" t="n">
        <v>46249</v>
      </c>
      <c r="C1407" s="24" t="s">
        <v>22</v>
      </c>
      <c r="D1407" s="24" t="s">
        <v>33</v>
      </c>
      <c r="E1407" s="24" t="s">
        <v>81</v>
      </c>
      <c r="F1407" s="24" t="s">
        <v>41</v>
      </c>
      <c r="G1407" s="31" t="n">
        <v>46250</v>
      </c>
      <c r="H1407" s="24"/>
      <c r="I1407" s="24"/>
      <c r="J1407" s="24"/>
      <c r="K1407" s="24" t="n">
        <v>6</v>
      </c>
      <c r="L1407" s="24" t="str">
        <f aca="false">IF(J1407&lt;&gt;"","Enrolled",IF(I1407&lt;&gt;"","Admitted",IF(H1407&lt;&gt;"","Applied",IF(G1407&lt;&gt;"","Contacted","New"))))</f>
        <v>Contacted</v>
      </c>
      <c r="M1407" s="32" t="n">
        <f aca="false">IF(G1407="","",G1407-B1407)</f>
        <v>1</v>
      </c>
      <c r="N1407" s="24" t="str">
        <f aca="false">IF(COUNTIF($A$2:A1407,A1407)&gt;1,"Duplicate ID",IF(C1407="","Missing source",IF(OR(AND(G1407&lt;&gt;"",G1407&lt;B1407),AND(H1407&lt;&gt;"",H1407&lt;B1407),AND(I1407&lt;&gt;"",I1407&lt;H1407),AND(J1407&lt;&gt;"",J1407&lt;I1407)),"Date error","OK")))</f>
        <v>OK</v>
      </c>
    </row>
    <row r="1408" customFormat="false" ht="15" hidden="false" customHeight="false" outlineLevel="0" collapsed="false">
      <c r="A1408" s="24" t="s">
        <v>1486</v>
      </c>
      <c r="B1408" s="31" t="n">
        <v>46249</v>
      </c>
      <c r="C1408" s="24" t="s">
        <v>27</v>
      </c>
      <c r="D1408" s="24" t="s">
        <v>32</v>
      </c>
      <c r="E1408" s="24" t="s">
        <v>81</v>
      </c>
      <c r="F1408" s="24" t="s">
        <v>44</v>
      </c>
      <c r="G1408" s="31" t="n">
        <v>46253</v>
      </c>
      <c r="H1408" s="24"/>
      <c r="I1408" s="24"/>
      <c r="J1408" s="24"/>
      <c r="K1408" s="24" t="n">
        <v>3</v>
      </c>
      <c r="L1408" s="24" t="str">
        <f aca="false">IF(J1408&lt;&gt;"","Enrolled",IF(I1408&lt;&gt;"","Admitted",IF(H1408&lt;&gt;"","Applied",IF(G1408&lt;&gt;"","Contacted","New"))))</f>
        <v>Contacted</v>
      </c>
      <c r="M1408" s="32" t="n">
        <f aca="false">IF(G1408="","",G1408-B1408)</f>
        <v>4</v>
      </c>
      <c r="N1408" s="24" t="str">
        <f aca="false">IF(COUNTIF($A$2:A1408,A1408)&gt;1,"Duplicate ID",IF(C1408="","Missing source",IF(OR(AND(G1408&lt;&gt;"",G1408&lt;B1408),AND(H1408&lt;&gt;"",H1408&lt;B1408),AND(I1408&lt;&gt;"",I1408&lt;H1408),AND(J1408&lt;&gt;"",J1408&lt;I1408)),"Date error","OK")))</f>
        <v>OK</v>
      </c>
    </row>
    <row r="1409" customFormat="false" ht="15" hidden="false" customHeight="false" outlineLevel="0" collapsed="false">
      <c r="A1409" s="24" t="s">
        <v>1487</v>
      </c>
      <c r="B1409" s="31" t="n">
        <v>46250</v>
      </c>
      <c r="C1409" s="24" t="s">
        <v>25</v>
      </c>
      <c r="D1409" s="24" t="s">
        <v>36</v>
      </c>
      <c r="E1409" s="24" t="s">
        <v>84</v>
      </c>
      <c r="F1409" s="24" t="s">
        <v>41</v>
      </c>
      <c r="G1409" s="31" t="n">
        <v>46251</v>
      </c>
      <c r="H1409" s="24"/>
      <c r="I1409" s="24"/>
      <c r="J1409" s="24"/>
      <c r="K1409" s="24" t="n">
        <v>4</v>
      </c>
      <c r="L1409" s="24" t="str">
        <f aca="false">IF(J1409&lt;&gt;"","Enrolled",IF(I1409&lt;&gt;"","Admitted",IF(H1409&lt;&gt;"","Applied",IF(G1409&lt;&gt;"","Contacted","New"))))</f>
        <v>Contacted</v>
      </c>
      <c r="M1409" s="32" t="n">
        <f aca="false">IF(G1409="","",G1409-B1409)</f>
        <v>1</v>
      </c>
      <c r="N1409" s="24" t="str">
        <f aca="false">IF(COUNTIF($A$2:A1409,A1409)&gt;1,"Duplicate ID",IF(C1409="","Missing source",IF(OR(AND(G1409&lt;&gt;"",G1409&lt;B1409),AND(H1409&lt;&gt;"",H1409&lt;B1409),AND(I1409&lt;&gt;"",I1409&lt;H1409),AND(J1409&lt;&gt;"",J1409&lt;I1409)),"Date error","OK")))</f>
        <v>OK</v>
      </c>
    </row>
    <row r="1410" customFormat="false" ht="15" hidden="false" customHeight="false" outlineLevel="0" collapsed="false">
      <c r="A1410" s="24" t="s">
        <v>1487</v>
      </c>
      <c r="B1410" s="31" t="n">
        <v>46250</v>
      </c>
      <c r="C1410" s="24" t="s">
        <v>25</v>
      </c>
      <c r="D1410" s="24" t="s">
        <v>36</v>
      </c>
      <c r="E1410" s="24" t="s">
        <v>84</v>
      </c>
      <c r="F1410" s="24" t="s">
        <v>41</v>
      </c>
      <c r="G1410" s="31" t="n">
        <v>46251</v>
      </c>
      <c r="H1410" s="24"/>
      <c r="I1410" s="24"/>
      <c r="J1410" s="24"/>
      <c r="K1410" s="24" t="n">
        <v>4</v>
      </c>
      <c r="L1410" s="24" t="str">
        <f aca="false">IF(J1410&lt;&gt;"","Enrolled",IF(I1410&lt;&gt;"","Admitted",IF(H1410&lt;&gt;"","Applied",IF(G1410&lt;&gt;"","Contacted","New"))))</f>
        <v>Contacted</v>
      </c>
      <c r="M1410" s="32" t="n">
        <f aca="false">IF(G1410="","",G1410-B1410)</f>
        <v>1</v>
      </c>
      <c r="N1410" s="24" t="str">
        <f aca="false">IF(COUNTIF($A$2:A1410,A1410)&gt;1,"Duplicate ID",IF(C1410="","Missing source",IF(OR(AND(G1410&lt;&gt;"",G1410&lt;B1410),AND(H1410&lt;&gt;"",H1410&lt;B1410),AND(I1410&lt;&gt;"",I1410&lt;H1410),AND(J1410&lt;&gt;"",J1410&lt;I1410)),"Date error","OK")))</f>
        <v>Duplicate ID</v>
      </c>
    </row>
    <row r="1411" customFormat="false" ht="15" hidden="false" customHeight="false" outlineLevel="0" collapsed="false">
      <c r="A1411" s="24" t="s">
        <v>1488</v>
      </c>
      <c r="B1411" s="31" t="n">
        <v>46250</v>
      </c>
      <c r="C1411" s="24" t="s">
        <v>27</v>
      </c>
      <c r="D1411" s="24" t="s">
        <v>35</v>
      </c>
      <c r="E1411" s="24" t="s">
        <v>84</v>
      </c>
      <c r="F1411" s="24" t="s">
        <v>43</v>
      </c>
      <c r="G1411" s="31" t="n">
        <v>46253</v>
      </c>
      <c r="H1411" s="24"/>
      <c r="I1411" s="24"/>
      <c r="J1411" s="24"/>
      <c r="K1411" s="24" t="n">
        <v>3</v>
      </c>
      <c r="L1411" s="24" t="str">
        <f aca="false">IF(J1411&lt;&gt;"","Enrolled",IF(I1411&lt;&gt;"","Admitted",IF(H1411&lt;&gt;"","Applied",IF(G1411&lt;&gt;"","Contacted","New"))))</f>
        <v>Contacted</v>
      </c>
      <c r="M1411" s="32" t="n">
        <f aca="false">IF(G1411="","",G1411-B1411)</f>
        <v>3</v>
      </c>
      <c r="N1411" s="24" t="str">
        <f aca="false">IF(COUNTIF($A$2:A1411,A1411)&gt;1,"Duplicate ID",IF(C1411="","Missing source",IF(OR(AND(G1411&lt;&gt;"",G1411&lt;B1411),AND(H1411&lt;&gt;"",H1411&lt;B1411),AND(I1411&lt;&gt;"",I1411&lt;H1411),AND(J1411&lt;&gt;"",J1411&lt;I1411)),"Date error","OK")))</f>
        <v>OK</v>
      </c>
    </row>
    <row r="1412" customFormat="false" ht="15" hidden="false" customHeight="false" outlineLevel="0" collapsed="false">
      <c r="A1412" s="24" t="s">
        <v>1489</v>
      </c>
      <c r="B1412" s="31" t="n">
        <v>46250</v>
      </c>
      <c r="C1412" s="24" t="s">
        <v>22</v>
      </c>
      <c r="D1412" s="24" t="s">
        <v>32</v>
      </c>
      <c r="E1412" s="24" t="s">
        <v>94</v>
      </c>
      <c r="F1412" s="24" t="s">
        <v>44</v>
      </c>
      <c r="G1412" s="31" t="n">
        <v>46257</v>
      </c>
      <c r="H1412" s="24"/>
      <c r="I1412" s="24"/>
      <c r="J1412" s="24"/>
      <c r="K1412" s="24" t="n">
        <v>4</v>
      </c>
      <c r="L1412" s="24" t="str">
        <f aca="false">IF(J1412&lt;&gt;"","Enrolled",IF(I1412&lt;&gt;"","Admitted",IF(H1412&lt;&gt;"","Applied",IF(G1412&lt;&gt;"","Contacted","New"))))</f>
        <v>Contacted</v>
      </c>
      <c r="M1412" s="32" t="n">
        <f aca="false">IF(G1412="","",G1412-B1412)</f>
        <v>7</v>
      </c>
      <c r="N1412" s="24" t="str">
        <f aca="false">IF(COUNTIF($A$2:A1412,A1412)&gt;1,"Duplicate ID",IF(C1412="","Missing source",IF(OR(AND(G1412&lt;&gt;"",G1412&lt;B1412),AND(H1412&lt;&gt;"",H1412&lt;B1412),AND(I1412&lt;&gt;"",I1412&lt;H1412),AND(J1412&lt;&gt;"",J1412&lt;I1412)),"Date error","OK")))</f>
        <v>OK</v>
      </c>
    </row>
    <row r="1413" customFormat="false" ht="15" hidden="false" customHeight="false" outlineLevel="0" collapsed="false">
      <c r="A1413" s="24" t="s">
        <v>1490</v>
      </c>
      <c r="B1413" s="31" t="n">
        <v>46250</v>
      </c>
      <c r="C1413" s="24" t="s">
        <v>26</v>
      </c>
      <c r="D1413" s="24" t="s">
        <v>33</v>
      </c>
      <c r="E1413" s="24" t="s">
        <v>94</v>
      </c>
      <c r="F1413" s="24" t="s">
        <v>40</v>
      </c>
      <c r="G1413" s="31" t="n">
        <v>46251</v>
      </c>
      <c r="H1413" s="24"/>
      <c r="I1413" s="24"/>
      <c r="J1413" s="24"/>
      <c r="K1413" s="24" t="n">
        <v>5</v>
      </c>
      <c r="L1413" s="24" t="str">
        <f aca="false">IF(J1413&lt;&gt;"","Enrolled",IF(I1413&lt;&gt;"","Admitted",IF(H1413&lt;&gt;"","Applied",IF(G1413&lt;&gt;"","Contacted","New"))))</f>
        <v>Contacted</v>
      </c>
      <c r="M1413" s="32" t="n">
        <f aca="false">IF(G1413="","",G1413-B1413)</f>
        <v>1</v>
      </c>
      <c r="N1413" s="24" t="str">
        <f aca="false">IF(COUNTIF($A$2:A1413,A1413)&gt;1,"Duplicate ID",IF(C1413="","Missing source",IF(OR(AND(G1413&lt;&gt;"",G1413&lt;B1413),AND(H1413&lt;&gt;"",H1413&lt;B1413),AND(I1413&lt;&gt;"",I1413&lt;H1413),AND(J1413&lt;&gt;"",J1413&lt;I1413)),"Date error","OK")))</f>
        <v>OK</v>
      </c>
    </row>
    <row r="1414" customFormat="false" ht="15" hidden="false" customHeight="false" outlineLevel="0" collapsed="false">
      <c r="A1414" s="24" t="s">
        <v>1491</v>
      </c>
      <c r="B1414" s="31" t="n">
        <v>46250</v>
      </c>
      <c r="C1414" s="24" t="s">
        <v>22</v>
      </c>
      <c r="D1414" s="24" t="s">
        <v>34</v>
      </c>
      <c r="E1414" s="24" t="s">
        <v>79</v>
      </c>
      <c r="F1414" s="24" t="s">
        <v>42</v>
      </c>
      <c r="G1414" s="31" t="n">
        <v>46251</v>
      </c>
      <c r="H1414" s="31" t="n">
        <v>46264</v>
      </c>
      <c r="I1414" s="24"/>
      <c r="J1414" s="24"/>
      <c r="K1414" s="24" t="n">
        <v>2</v>
      </c>
      <c r="L1414" s="24" t="str">
        <f aca="false">IF(J1414&lt;&gt;"","Enrolled",IF(I1414&lt;&gt;"","Admitted",IF(H1414&lt;&gt;"","Applied",IF(G1414&lt;&gt;"","Contacted","New"))))</f>
        <v>Applied</v>
      </c>
      <c r="M1414" s="32" t="n">
        <f aca="false">IF(G1414="","",G1414-B1414)</f>
        <v>1</v>
      </c>
      <c r="N1414" s="24" t="str">
        <f aca="false">IF(COUNTIF($A$2:A1414,A1414)&gt;1,"Duplicate ID",IF(C1414="","Missing source",IF(OR(AND(G1414&lt;&gt;"",G1414&lt;B1414),AND(H1414&lt;&gt;"",H1414&lt;B1414),AND(I1414&lt;&gt;"",I1414&lt;H1414),AND(J1414&lt;&gt;"",J1414&lt;I1414)),"Date error","OK")))</f>
        <v>OK</v>
      </c>
    </row>
    <row r="1415" customFormat="false" ht="15" hidden="false" customHeight="false" outlineLevel="0" collapsed="false">
      <c r="A1415" s="24" t="s">
        <v>1492</v>
      </c>
      <c r="B1415" s="31" t="n">
        <v>46250</v>
      </c>
      <c r="C1415" s="24" t="s">
        <v>26</v>
      </c>
      <c r="D1415" s="24" t="s">
        <v>35</v>
      </c>
      <c r="E1415" s="24" t="s">
        <v>89</v>
      </c>
      <c r="F1415" s="24" t="s">
        <v>42</v>
      </c>
      <c r="G1415" s="31" t="n">
        <v>46252</v>
      </c>
      <c r="H1415" s="24"/>
      <c r="I1415" s="24"/>
      <c r="J1415" s="24"/>
      <c r="K1415" s="24" t="n">
        <v>2</v>
      </c>
      <c r="L1415" s="24" t="str">
        <f aca="false">IF(J1415&lt;&gt;"","Enrolled",IF(I1415&lt;&gt;"","Admitted",IF(H1415&lt;&gt;"","Applied",IF(G1415&lt;&gt;"","Contacted","New"))))</f>
        <v>Contacted</v>
      </c>
      <c r="M1415" s="32" t="n">
        <f aca="false">IF(G1415="","",G1415-B1415)</f>
        <v>2</v>
      </c>
      <c r="N1415" s="24" t="str">
        <f aca="false">IF(COUNTIF($A$2:A1415,A1415)&gt;1,"Duplicate ID",IF(C1415="","Missing source",IF(OR(AND(G1415&lt;&gt;"",G1415&lt;B1415),AND(H1415&lt;&gt;"",H1415&lt;B1415),AND(I1415&lt;&gt;"",I1415&lt;H1415),AND(J1415&lt;&gt;"",J1415&lt;I1415)),"Date error","OK")))</f>
        <v>OK</v>
      </c>
    </row>
    <row r="1416" customFormat="false" ht="15" hidden="false" customHeight="false" outlineLevel="0" collapsed="false">
      <c r="A1416" s="24" t="s">
        <v>1493</v>
      </c>
      <c r="B1416" s="31" t="n">
        <v>46250</v>
      </c>
      <c r="C1416" s="24" t="s">
        <v>21</v>
      </c>
      <c r="D1416" s="24" t="s">
        <v>36</v>
      </c>
      <c r="E1416" s="24" t="s">
        <v>79</v>
      </c>
      <c r="F1416" s="24" t="s">
        <v>40</v>
      </c>
      <c r="G1416" s="31" t="n">
        <v>46250</v>
      </c>
      <c r="H1416" s="31" t="n">
        <v>46253</v>
      </c>
      <c r="I1416" s="31" t="n">
        <v>46264</v>
      </c>
      <c r="J1416" s="24"/>
      <c r="K1416" s="24" t="n">
        <v>2</v>
      </c>
      <c r="L1416" s="24" t="str">
        <f aca="false">IF(J1416&lt;&gt;"","Enrolled",IF(I1416&lt;&gt;"","Admitted",IF(H1416&lt;&gt;"","Applied",IF(G1416&lt;&gt;"","Contacted","New"))))</f>
        <v>Admitted</v>
      </c>
      <c r="M1416" s="32" t="n">
        <f aca="false">IF(G1416="","",G1416-B1416)</f>
        <v>0</v>
      </c>
      <c r="N1416" s="24" t="str">
        <f aca="false">IF(COUNTIF($A$2:A1416,A1416)&gt;1,"Duplicate ID",IF(C1416="","Missing source",IF(OR(AND(G1416&lt;&gt;"",G1416&lt;B1416),AND(H1416&lt;&gt;"",H1416&lt;B1416),AND(I1416&lt;&gt;"",I1416&lt;H1416),AND(J1416&lt;&gt;"",J1416&lt;I1416)),"Date error","OK")))</f>
        <v>OK</v>
      </c>
    </row>
    <row r="1417" customFormat="false" ht="15" hidden="false" customHeight="false" outlineLevel="0" collapsed="false">
      <c r="A1417" s="24" t="s">
        <v>1494</v>
      </c>
      <c r="B1417" s="31" t="n">
        <v>46250</v>
      </c>
      <c r="C1417" s="24" t="s">
        <v>26</v>
      </c>
      <c r="D1417" s="24" t="s">
        <v>33</v>
      </c>
      <c r="E1417" s="24" t="s">
        <v>79</v>
      </c>
      <c r="F1417" s="24" t="s">
        <v>41</v>
      </c>
      <c r="G1417" s="31" t="n">
        <v>46251</v>
      </c>
      <c r="H1417" s="24"/>
      <c r="I1417" s="24"/>
      <c r="J1417" s="24"/>
      <c r="K1417" s="24" t="n">
        <v>4</v>
      </c>
      <c r="L1417" s="24" t="str">
        <f aca="false">IF(J1417&lt;&gt;"","Enrolled",IF(I1417&lt;&gt;"","Admitted",IF(H1417&lt;&gt;"","Applied",IF(G1417&lt;&gt;"","Contacted","New"))))</f>
        <v>Contacted</v>
      </c>
      <c r="M1417" s="32" t="n">
        <f aca="false">IF(G1417="","",G1417-B1417)</f>
        <v>1</v>
      </c>
      <c r="N1417" s="24" t="str">
        <f aca="false">IF(COUNTIF($A$2:A1417,A1417)&gt;1,"Duplicate ID",IF(C1417="","Missing source",IF(OR(AND(G1417&lt;&gt;"",G1417&lt;B1417),AND(H1417&lt;&gt;"",H1417&lt;B1417),AND(I1417&lt;&gt;"",I1417&lt;H1417),AND(J1417&lt;&gt;"",J1417&lt;I1417)),"Date error","OK")))</f>
        <v>OK</v>
      </c>
    </row>
    <row r="1418" customFormat="false" ht="15" hidden="false" customHeight="false" outlineLevel="0" collapsed="false">
      <c r="A1418" s="24" t="s">
        <v>1495</v>
      </c>
      <c r="B1418" s="31" t="n">
        <v>46250</v>
      </c>
      <c r="C1418" s="24" t="s">
        <v>26</v>
      </c>
      <c r="D1418" s="24" t="s">
        <v>35</v>
      </c>
      <c r="E1418" s="24" t="s">
        <v>89</v>
      </c>
      <c r="F1418" s="24" t="s">
        <v>42</v>
      </c>
      <c r="G1418" s="31" t="n">
        <v>46250</v>
      </c>
      <c r="H1418" s="24"/>
      <c r="I1418" s="24"/>
      <c r="J1418" s="24"/>
      <c r="K1418" s="24" t="n">
        <v>1</v>
      </c>
      <c r="L1418" s="24" t="str">
        <f aca="false">IF(J1418&lt;&gt;"","Enrolled",IF(I1418&lt;&gt;"","Admitted",IF(H1418&lt;&gt;"","Applied",IF(G1418&lt;&gt;"","Contacted","New"))))</f>
        <v>Contacted</v>
      </c>
      <c r="M1418" s="32" t="n">
        <f aca="false">IF(G1418="","",G1418-B1418)</f>
        <v>0</v>
      </c>
      <c r="N1418" s="24" t="str">
        <f aca="false">IF(COUNTIF($A$2:A1418,A1418)&gt;1,"Duplicate ID",IF(C1418="","Missing source",IF(OR(AND(G1418&lt;&gt;"",G1418&lt;B1418),AND(H1418&lt;&gt;"",H1418&lt;B1418),AND(I1418&lt;&gt;"",I1418&lt;H1418),AND(J1418&lt;&gt;"",J1418&lt;I1418)),"Date error","OK")))</f>
        <v>OK</v>
      </c>
    </row>
    <row r="1419" customFormat="false" ht="15" hidden="false" customHeight="false" outlineLevel="0" collapsed="false">
      <c r="A1419" s="24" t="s">
        <v>1496</v>
      </c>
      <c r="B1419" s="31" t="n">
        <v>46250</v>
      </c>
      <c r="C1419" s="24" t="s">
        <v>23</v>
      </c>
      <c r="D1419" s="24" t="s">
        <v>33</v>
      </c>
      <c r="E1419" s="24" t="s">
        <v>79</v>
      </c>
      <c r="F1419" s="24" t="s">
        <v>41</v>
      </c>
      <c r="G1419" s="31" t="n">
        <v>46251</v>
      </c>
      <c r="H1419" s="24"/>
      <c r="I1419" s="24"/>
      <c r="J1419" s="24"/>
      <c r="K1419" s="24" t="n">
        <v>3</v>
      </c>
      <c r="L1419" s="24" t="str">
        <f aca="false">IF(J1419&lt;&gt;"","Enrolled",IF(I1419&lt;&gt;"","Admitted",IF(H1419&lt;&gt;"","Applied",IF(G1419&lt;&gt;"","Contacted","New"))))</f>
        <v>Contacted</v>
      </c>
      <c r="M1419" s="32" t="n">
        <f aca="false">IF(G1419="","",G1419-B1419)</f>
        <v>1</v>
      </c>
      <c r="N1419" s="24" t="str">
        <f aca="false">IF(COUNTIF($A$2:A1419,A1419)&gt;1,"Duplicate ID",IF(C1419="","Missing source",IF(OR(AND(G1419&lt;&gt;"",G1419&lt;B1419),AND(H1419&lt;&gt;"",H1419&lt;B1419),AND(I1419&lt;&gt;"",I1419&lt;H1419),AND(J1419&lt;&gt;"",J1419&lt;I1419)),"Date error","OK")))</f>
        <v>OK</v>
      </c>
    </row>
    <row r="1420" customFormat="false" ht="15" hidden="false" customHeight="false" outlineLevel="0" collapsed="false">
      <c r="A1420" s="24" t="s">
        <v>1497</v>
      </c>
      <c r="B1420" s="31" t="n">
        <v>46250</v>
      </c>
      <c r="C1420" s="24" t="s">
        <v>24</v>
      </c>
      <c r="D1420" s="24" t="s">
        <v>33</v>
      </c>
      <c r="E1420" s="24" t="s">
        <v>89</v>
      </c>
      <c r="F1420" s="24" t="s">
        <v>40</v>
      </c>
      <c r="G1420" s="31" t="n">
        <v>46251</v>
      </c>
      <c r="H1420" s="24"/>
      <c r="I1420" s="24"/>
      <c r="J1420" s="24"/>
      <c r="K1420" s="24" t="n">
        <v>1</v>
      </c>
      <c r="L1420" s="24" t="str">
        <f aca="false">IF(J1420&lt;&gt;"","Enrolled",IF(I1420&lt;&gt;"","Admitted",IF(H1420&lt;&gt;"","Applied",IF(G1420&lt;&gt;"","Contacted","New"))))</f>
        <v>Contacted</v>
      </c>
      <c r="M1420" s="32" t="n">
        <f aca="false">IF(G1420="","",G1420-B1420)</f>
        <v>1</v>
      </c>
      <c r="N1420" s="24" t="str">
        <f aca="false">IF(COUNTIF($A$2:A1420,A1420)&gt;1,"Duplicate ID",IF(C1420="","Missing source",IF(OR(AND(G1420&lt;&gt;"",G1420&lt;B1420),AND(H1420&lt;&gt;"",H1420&lt;B1420),AND(I1420&lt;&gt;"",I1420&lt;H1420),AND(J1420&lt;&gt;"",J1420&lt;I1420)),"Date error","OK")))</f>
        <v>OK</v>
      </c>
    </row>
    <row r="1421" customFormat="false" ht="15" hidden="false" customHeight="false" outlineLevel="0" collapsed="false">
      <c r="A1421" s="24" t="s">
        <v>1498</v>
      </c>
      <c r="B1421" s="31" t="n">
        <v>46250</v>
      </c>
      <c r="C1421" s="24" t="s">
        <v>26</v>
      </c>
      <c r="D1421" s="24" t="s">
        <v>36</v>
      </c>
      <c r="E1421" s="24" t="s">
        <v>89</v>
      </c>
      <c r="F1421" s="24" t="s">
        <v>41</v>
      </c>
      <c r="G1421" s="31" t="n">
        <v>46250</v>
      </c>
      <c r="H1421" s="24"/>
      <c r="I1421" s="24"/>
      <c r="J1421" s="24"/>
      <c r="K1421" s="24" t="n">
        <v>0</v>
      </c>
      <c r="L1421" s="24" t="str">
        <f aca="false">IF(J1421&lt;&gt;"","Enrolled",IF(I1421&lt;&gt;"","Admitted",IF(H1421&lt;&gt;"","Applied",IF(G1421&lt;&gt;"","Contacted","New"))))</f>
        <v>Contacted</v>
      </c>
      <c r="M1421" s="32" t="n">
        <f aca="false">IF(G1421="","",G1421-B1421)</f>
        <v>0</v>
      </c>
      <c r="N1421" s="24" t="str">
        <f aca="false">IF(COUNTIF($A$2:A1421,A1421)&gt;1,"Duplicate ID",IF(C1421="","Missing source",IF(OR(AND(G1421&lt;&gt;"",G1421&lt;B1421),AND(H1421&lt;&gt;"",H1421&lt;B1421),AND(I1421&lt;&gt;"",I1421&lt;H1421),AND(J1421&lt;&gt;"",J1421&lt;I1421)),"Date error","OK")))</f>
        <v>OK</v>
      </c>
    </row>
    <row r="1422" customFormat="false" ht="15" hidden="false" customHeight="false" outlineLevel="0" collapsed="false">
      <c r="A1422" s="24" t="s">
        <v>1499</v>
      </c>
      <c r="B1422" s="31" t="n">
        <v>46250</v>
      </c>
      <c r="C1422" s="24" t="s">
        <v>21</v>
      </c>
      <c r="D1422" s="24" t="s">
        <v>33</v>
      </c>
      <c r="E1422" s="24" t="s">
        <v>94</v>
      </c>
      <c r="F1422" s="24" t="s">
        <v>42</v>
      </c>
      <c r="G1422" s="31" t="n">
        <v>46251</v>
      </c>
      <c r="H1422" s="24"/>
      <c r="I1422" s="24"/>
      <c r="J1422" s="24"/>
      <c r="K1422" s="24" t="n">
        <v>6</v>
      </c>
      <c r="L1422" s="24" t="str">
        <f aca="false">IF(J1422&lt;&gt;"","Enrolled",IF(I1422&lt;&gt;"","Admitted",IF(H1422&lt;&gt;"","Applied",IF(G1422&lt;&gt;"","Contacted","New"))))</f>
        <v>Contacted</v>
      </c>
      <c r="M1422" s="32" t="n">
        <f aca="false">IF(G1422="","",G1422-B1422)</f>
        <v>1</v>
      </c>
      <c r="N1422" s="24" t="str">
        <f aca="false">IF(COUNTIF($A$2:A1422,A1422)&gt;1,"Duplicate ID",IF(C1422="","Missing source",IF(OR(AND(G1422&lt;&gt;"",G1422&lt;B1422),AND(H1422&lt;&gt;"",H1422&lt;B1422),AND(I1422&lt;&gt;"",I1422&lt;H1422),AND(J1422&lt;&gt;"",J1422&lt;I1422)),"Date error","OK")))</f>
        <v>OK</v>
      </c>
    </row>
    <row r="1423" customFormat="false" ht="15" hidden="false" customHeight="false" outlineLevel="0" collapsed="false">
      <c r="A1423" s="24" t="s">
        <v>1500</v>
      </c>
      <c r="B1423" s="31" t="n">
        <v>46251</v>
      </c>
      <c r="C1423" s="24" t="s">
        <v>26</v>
      </c>
      <c r="D1423" s="24" t="s">
        <v>33</v>
      </c>
      <c r="E1423" s="24" t="s">
        <v>81</v>
      </c>
      <c r="F1423" s="24" t="s">
        <v>45</v>
      </c>
      <c r="G1423" s="31" t="n">
        <v>46251</v>
      </c>
      <c r="H1423" s="31" t="n">
        <v>46263</v>
      </c>
      <c r="I1423" s="24"/>
      <c r="J1423" s="24"/>
      <c r="K1423" s="24" t="n">
        <v>3</v>
      </c>
      <c r="L1423" s="24" t="str">
        <f aca="false">IF(J1423&lt;&gt;"","Enrolled",IF(I1423&lt;&gt;"","Admitted",IF(H1423&lt;&gt;"","Applied",IF(G1423&lt;&gt;"","Contacted","New"))))</f>
        <v>Applied</v>
      </c>
      <c r="M1423" s="32" t="n">
        <f aca="false">IF(G1423="","",G1423-B1423)</f>
        <v>0</v>
      </c>
      <c r="N1423" s="24" t="str">
        <f aca="false">IF(COUNTIF($A$2:A1423,A1423)&gt;1,"Duplicate ID",IF(C1423="","Missing source",IF(OR(AND(G1423&lt;&gt;"",G1423&lt;B1423),AND(H1423&lt;&gt;"",H1423&lt;B1423),AND(I1423&lt;&gt;"",I1423&lt;H1423),AND(J1423&lt;&gt;"",J1423&lt;I1423)),"Date error","OK")))</f>
        <v>OK</v>
      </c>
    </row>
    <row r="1424" customFormat="false" ht="15" hidden="false" customHeight="false" outlineLevel="0" collapsed="false">
      <c r="A1424" s="24" t="s">
        <v>1501</v>
      </c>
      <c r="B1424" s="31" t="n">
        <v>46251</v>
      </c>
      <c r="C1424" s="24" t="s">
        <v>26</v>
      </c>
      <c r="D1424" s="24" t="s">
        <v>36</v>
      </c>
      <c r="E1424" s="24" t="s">
        <v>94</v>
      </c>
      <c r="F1424" s="24" t="s">
        <v>42</v>
      </c>
      <c r="G1424" s="24"/>
      <c r="H1424" s="24"/>
      <c r="I1424" s="24"/>
      <c r="J1424" s="24"/>
      <c r="K1424" s="24" t="n">
        <v>0</v>
      </c>
      <c r="L1424" s="24" t="str">
        <f aca="false">IF(J1424&lt;&gt;"","Enrolled",IF(I1424&lt;&gt;"","Admitted",IF(H1424&lt;&gt;"","Applied",IF(G1424&lt;&gt;"","Contacted","New"))))</f>
        <v>New</v>
      </c>
      <c r="M1424" s="32" t="str">
        <f aca="false">IF(G1424="","",G1424-B1424)</f>
        <v/>
      </c>
      <c r="N1424" s="24" t="str">
        <f aca="false">IF(COUNTIF($A$2:A1424,A1424)&gt;1,"Duplicate ID",IF(C1424="","Missing source",IF(OR(AND(G1424&lt;&gt;"",G1424&lt;B1424),AND(H1424&lt;&gt;"",H1424&lt;B1424),AND(I1424&lt;&gt;"",I1424&lt;H1424),AND(J1424&lt;&gt;"",J1424&lt;I1424)),"Date error","OK")))</f>
        <v>OK</v>
      </c>
    </row>
    <row r="1425" customFormat="false" ht="15" hidden="false" customHeight="false" outlineLevel="0" collapsed="false">
      <c r="A1425" s="24" t="s">
        <v>1502</v>
      </c>
      <c r="B1425" s="31" t="n">
        <v>46251</v>
      </c>
      <c r="C1425" s="24" t="s">
        <v>27</v>
      </c>
      <c r="D1425" s="24" t="s">
        <v>35</v>
      </c>
      <c r="E1425" s="24" t="s">
        <v>94</v>
      </c>
      <c r="F1425" s="24" t="s">
        <v>45</v>
      </c>
      <c r="G1425" s="31" t="n">
        <v>46254</v>
      </c>
      <c r="H1425" s="24"/>
      <c r="I1425" s="24"/>
      <c r="J1425" s="24"/>
      <c r="K1425" s="24" t="n">
        <v>2</v>
      </c>
      <c r="L1425" s="24" t="str">
        <f aca="false">IF(J1425&lt;&gt;"","Enrolled",IF(I1425&lt;&gt;"","Admitted",IF(H1425&lt;&gt;"","Applied",IF(G1425&lt;&gt;"","Contacted","New"))))</f>
        <v>Contacted</v>
      </c>
      <c r="M1425" s="32" t="n">
        <f aca="false">IF(G1425="","",G1425-B1425)</f>
        <v>3</v>
      </c>
      <c r="N1425" s="24" t="str">
        <f aca="false">IF(COUNTIF($A$2:A1425,A1425)&gt;1,"Duplicate ID",IF(C1425="","Missing source",IF(OR(AND(G1425&lt;&gt;"",G1425&lt;B1425),AND(H1425&lt;&gt;"",H1425&lt;B1425),AND(I1425&lt;&gt;"",I1425&lt;H1425),AND(J1425&lt;&gt;"",J1425&lt;I1425)),"Date error","OK")))</f>
        <v>OK</v>
      </c>
    </row>
    <row r="1426" customFormat="false" ht="15" hidden="false" customHeight="false" outlineLevel="0" collapsed="false">
      <c r="A1426" s="24" t="s">
        <v>1503</v>
      </c>
      <c r="B1426" s="31" t="n">
        <v>46251</v>
      </c>
      <c r="C1426" s="24" t="s">
        <v>26</v>
      </c>
      <c r="D1426" s="24" t="s">
        <v>36</v>
      </c>
      <c r="E1426" s="24" t="s">
        <v>84</v>
      </c>
      <c r="F1426" s="24" t="s">
        <v>41</v>
      </c>
      <c r="G1426" s="31" t="n">
        <v>46252</v>
      </c>
      <c r="H1426" s="24"/>
      <c r="I1426" s="24"/>
      <c r="J1426" s="24"/>
      <c r="K1426" s="24" t="n">
        <v>0</v>
      </c>
      <c r="L1426" s="24" t="str">
        <f aca="false">IF(J1426&lt;&gt;"","Enrolled",IF(I1426&lt;&gt;"","Admitted",IF(H1426&lt;&gt;"","Applied",IF(G1426&lt;&gt;"","Contacted","New"))))</f>
        <v>Contacted</v>
      </c>
      <c r="M1426" s="32" t="n">
        <f aca="false">IF(G1426="","",G1426-B1426)</f>
        <v>1</v>
      </c>
      <c r="N1426" s="24" t="str">
        <f aca="false">IF(COUNTIF($A$2:A1426,A1426)&gt;1,"Duplicate ID",IF(C1426="","Missing source",IF(OR(AND(G1426&lt;&gt;"",G1426&lt;B1426),AND(H1426&lt;&gt;"",H1426&lt;B1426),AND(I1426&lt;&gt;"",I1426&lt;H1426),AND(J1426&lt;&gt;"",J1426&lt;I1426)),"Date error","OK")))</f>
        <v>OK</v>
      </c>
    </row>
    <row r="1427" customFormat="false" ht="15" hidden="false" customHeight="false" outlineLevel="0" collapsed="false">
      <c r="A1427" s="24" t="s">
        <v>1504</v>
      </c>
      <c r="B1427" s="31" t="n">
        <v>46251</v>
      </c>
      <c r="C1427" s="24" t="s">
        <v>22</v>
      </c>
      <c r="D1427" s="24" t="s">
        <v>32</v>
      </c>
      <c r="E1427" s="24" t="s">
        <v>79</v>
      </c>
      <c r="F1427" s="24" t="s">
        <v>45</v>
      </c>
      <c r="G1427" s="31" t="n">
        <v>46252</v>
      </c>
      <c r="H1427" s="24"/>
      <c r="I1427" s="24"/>
      <c r="J1427" s="24"/>
      <c r="K1427" s="24" t="n">
        <v>4</v>
      </c>
      <c r="L1427" s="24" t="str">
        <f aca="false">IF(J1427&lt;&gt;"","Enrolled",IF(I1427&lt;&gt;"","Admitted",IF(H1427&lt;&gt;"","Applied",IF(G1427&lt;&gt;"","Contacted","New"))))</f>
        <v>Contacted</v>
      </c>
      <c r="M1427" s="32" t="n">
        <f aca="false">IF(G1427="","",G1427-B1427)</f>
        <v>1</v>
      </c>
      <c r="N1427" s="24" t="str">
        <f aca="false">IF(COUNTIF($A$2:A1427,A1427)&gt;1,"Duplicate ID",IF(C1427="","Missing source",IF(OR(AND(G1427&lt;&gt;"",G1427&lt;B1427),AND(H1427&lt;&gt;"",H1427&lt;B1427),AND(I1427&lt;&gt;"",I1427&lt;H1427),AND(J1427&lt;&gt;"",J1427&lt;I1427)),"Date error","OK")))</f>
        <v>OK</v>
      </c>
    </row>
    <row r="1428" customFormat="false" ht="15" hidden="false" customHeight="false" outlineLevel="0" collapsed="false">
      <c r="A1428" s="24" t="s">
        <v>1504</v>
      </c>
      <c r="B1428" s="31" t="n">
        <v>46251</v>
      </c>
      <c r="C1428" s="24" t="s">
        <v>22</v>
      </c>
      <c r="D1428" s="24" t="s">
        <v>32</v>
      </c>
      <c r="E1428" s="24" t="s">
        <v>79</v>
      </c>
      <c r="F1428" s="24" t="s">
        <v>45</v>
      </c>
      <c r="G1428" s="31" t="n">
        <v>46252</v>
      </c>
      <c r="H1428" s="24"/>
      <c r="I1428" s="24"/>
      <c r="J1428" s="24"/>
      <c r="K1428" s="24" t="n">
        <v>4</v>
      </c>
      <c r="L1428" s="24" t="str">
        <f aca="false">IF(J1428&lt;&gt;"","Enrolled",IF(I1428&lt;&gt;"","Admitted",IF(H1428&lt;&gt;"","Applied",IF(G1428&lt;&gt;"","Contacted","New"))))</f>
        <v>Contacted</v>
      </c>
      <c r="M1428" s="32" t="n">
        <f aca="false">IF(G1428="","",G1428-B1428)</f>
        <v>1</v>
      </c>
      <c r="N1428" s="24" t="str">
        <f aca="false">IF(COUNTIF($A$2:A1428,A1428)&gt;1,"Duplicate ID",IF(C1428="","Missing source",IF(OR(AND(G1428&lt;&gt;"",G1428&lt;B1428),AND(H1428&lt;&gt;"",H1428&lt;B1428),AND(I1428&lt;&gt;"",I1428&lt;H1428),AND(J1428&lt;&gt;"",J1428&lt;I1428)),"Date error","OK")))</f>
        <v>Duplicate ID</v>
      </c>
    </row>
    <row r="1429" customFormat="false" ht="15" hidden="false" customHeight="false" outlineLevel="0" collapsed="false">
      <c r="A1429" s="24" t="s">
        <v>1505</v>
      </c>
      <c r="B1429" s="31" t="n">
        <v>46251</v>
      </c>
      <c r="C1429" s="24" t="s">
        <v>25</v>
      </c>
      <c r="D1429" s="24" t="s">
        <v>33</v>
      </c>
      <c r="E1429" s="24" t="s">
        <v>89</v>
      </c>
      <c r="F1429" s="24" t="s">
        <v>42</v>
      </c>
      <c r="G1429" s="31" t="n">
        <v>46252</v>
      </c>
      <c r="H1429" s="24"/>
      <c r="I1429" s="24"/>
      <c r="J1429" s="24"/>
      <c r="K1429" s="24" t="n">
        <v>5</v>
      </c>
      <c r="L1429" s="24" t="str">
        <f aca="false">IF(J1429&lt;&gt;"","Enrolled",IF(I1429&lt;&gt;"","Admitted",IF(H1429&lt;&gt;"","Applied",IF(G1429&lt;&gt;"","Contacted","New"))))</f>
        <v>Contacted</v>
      </c>
      <c r="M1429" s="32" t="n">
        <f aca="false">IF(G1429="","",G1429-B1429)</f>
        <v>1</v>
      </c>
      <c r="N1429" s="24" t="str">
        <f aca="false">IF(COUNTIF($A$2:A1429,A1429)&gt;1,"Duplicate ID",IF(C1429="","Missing source",IF(OR(AND(G1429&lt;&gt;"",G1429&lt;B1429),AND(H1429&lt;&gt;"",H1429&lt;B1429),AND(I1429&lt;&gt;"",I1429&lt;H1429),AND(J1429&lt;&gt;"",J1429&lt;I1429)),"Date error","OK")))</f>
        <v>OK</v>
      </c>
    </row>
    <row r="1430" customFormat="false" ht="15" hidden="false" customHeight="false" outlineLevel="0" collapsed="false">
      <c r="A1430" s="24" t="s">
        <v>1506</v>
      </c>
      <c r="B1430" s="31" t="n">
        <v>46251</v>
      </c>
      <c r="C1430" s="24" t="s">
        <v>24</v>
      </c>
      <c r="D1430" s="24" t="s">
        <v>33</v>
      </c>
      <c r="E1430" s="24" t="s">
        <v>94</v>
      </c>
      <c r="F1430" s="24" t="s">
        <v>45</v>
      </c>
      <c r="G1430" s="31" t="n">
        <v>46255</v>
      </c>
      <c r="H1430" s="24"/>
      <c r="I1430" s="24"/>
      <c r="J1430" s="24"/>
      <c r="K1430" s="24" t="n">
        <v>0</v>
      </c>
      <c r="L1430" s="24" t="str">
        <f aca="false">IF(J1430&lt;&gt;"","Enrolled",IF(I1430&lt;&gt;"","Admitted",IF(H1430&lt;&gt;"","Applied",IF(G1430&lt;&gt;"","Contacted","New"))))</f>
        <v>Contacted</v>
      </c>
      <c r="M1430" s="32" t="n">
        <f aca="false">IF(G1430="","",G1430-B1430)</f>
        <v>4</v>
      </c>
      <c r="N1430" s="24" t="str">
        <f aca="false">IF(COUNTIF($A$2:A1430,A1430)&gt;1,"Duplicate ID",IF(C1430="","Missing source",IF(OR(AND(G1430&lt;&gt;"",G1430&lt;B1430),AND(H1430&lt;&gt;"",H1430&lt;B1430),AND(I1430&lt;&gt;"",I1430&lt;H1430),AND(J1430&lt;&gt;"",J1430&lt;I1430)),"Date error","OK")))</f>
        <v>OK</v>
      </c>
    </row>
    <row r="1431" customFormat="false" ht="15" hidden="false" customHeight="false" outlineLevel="0" collapsed="false">
      <c r="A1431" s="24" t="s">
        <v>1507</v>
      </c>
      <c r="B1431" s="31" t="n">
        <v>46251</v>
      </c>
      <c r="C1431" s="24" t="s">
        <v>26</v>
      </c>
      <c r="D1431" s="24" t="s">
        <v>33</v>
      </c>
      <c r="E1431" s="24" t="s">
        <v>79</v>
      </c>
      <c r="F1431" s="24" t="s">
        <v>41</v>
      </c>
      <c r="G1431" s="31" t="n">
        <v>46252</v>
      </c>
      <c r="H1431" s="24"/>
      <c r="I1431" s="24"/>
      <c r="J1431" s="24"/>
      <c r="K1431" s="24" t="n">
        <v>4</v>
      </c>
      <c r="L1431" s="24" t="str">
        <f aca="false">IF(J1431&lt;&gt;"","Enrolled",IF(I1431&lt;&gt;"","Admitted",IF(H1431&lt;&gt;"","Applied",IF(G1431&lt;&gt;"","Contacted","New"))))</f>
        <v>Contacted</v>
      </c>
      <c r="M1431" s="32" t="n">
        <f aca="false">IF(G1431="","",G1431-B1431)</f>
        <v>1</v>
      </c>
      <c r="N1431" s="24" t="str">
        <f aca="false">IF(COUNTIF($A$2:A1431,A1431)&gt;1,"Duplicate ID",IF(C1431="","Missing source",IF(OR(AND(G1431&lt;&gt;"",G1431&lt;B1431),AND(H1431&lt;&gt;"",H1431&lt;B1431),AND(I1431&lt;&gt;"",I1431&lt;H1431),AND(J1431&lt;&gt;"",J1431&lt;I1431)),"Date error","OK")))</f>
        <v>OK</v>
      </c>
    </row>
    <row r="1432" customFormat="false" ht="15" hidden="false" customHeight="false" outlineLevel="0" collapsed="false">
      <c r="A1432" s="24" t="s">
        <v>1508</v>
      </c>
      <c r="B1432" s="31" t="n">
        <v>46251</v>
      </c>
      <c r="C1432" s="24" t="s">
        <v>23</v>
      </c>
      <c r="D1432" s="24" t="s">
        <v>32</v>
      </c>
      <c r="E1432" s="24" t="s">
        <v>94</v>
      </c>
      <c r="F1432" s="24" t="s">
        <v>45</v>
      </c>
      <c r="G1432" s="31" t="n">
        <v>46253</v>
      </c>
      <c r="H1432" s="24"/>
      <c r="I1432" s="24"/>
      <c r="J1432" s="24"/>
      <c r="K1432" s="24" t="n">
        <v>2</v>
      </c>
      <c r="L1432" s="24" t="str">
        <f aca="false">IF(J1432&lt;&gt;"","Enrolled",IF(I1432&lt;&gt;"","Admitted",IF(H1432&lt;&gt;"","Applied",IF(G1432&lt;&gt;"","Contacted","New"))))</f>
        <v>Contacted</v>
      </c>
      <c r="M1432" s="32" t="n">
        <f aca="false">IF(G1432="","",G1432-B1432)</f>
        <v>2</v>
      </c>
      <c r="N1432" s="24" t="str">
        <f aca="false">IF(COUNTIF($A$2:A1432,A1432)&gt;1,"Duplicate ID",IF(C1432="","Missing source",IF(OR(AND(G1432&lt;&gt;"",G1432&lt;B1432),AND(H1432&lt;&gt;"",H1432&lt;B1432),AND(I1432&lt;&gt;"",I1432&lt;H1432),AND(J1432&lt;&gt;"",J1432&lt;I1432)),"Date error","OK")))</f>
        <v>OK</v>
      </c>
    </row>
    <row r="1433" customFormat="false" ht="15" hidden="false" customHeight="false" outlineLevel="0" collapsed="false">
      <c r="A1433" s="24" t="s">
        <v>1509</v>
      </c>
      <c r="B1433" s="31" t="n">
        <v>46251</v>
      </c>
      <c r="C1433" s="24" t="s">
        <v>23</v>
      </c>
      <c r="D1433" s="24" t="s">
        <v>33</v>
      </c>
      <c r="E1433" s="24" t="s">
        <v>94</v>
      </c>
      <c r="F1433" s="24" t="s">
        <v>43</v>
      </c>
      <c r="G1433" s="31" t="n">
        <v>46253</v>
      </c>
      <c r="H1433" s="24"/>
      <c r="I1433" s="24"/>
      <c r="J1433" s="24"/>
      <c r="K1433" s="24" t="n">
        <v>5</v>
      </c>
      <c r="L1433" s="24" t="str">
        <f aca="false">IF(J1433&lt;&gt;"","Enrolled",IF(I1433&lt;&gt;"","Admitted",IF(H1433&lt;&gt;"","Applied",IF(G1433&lt;&gt;"","Contacted","New"))))</f>
        <v>Contacted</v>
      </c>
      <c r="M1433" s="32" t="n">
        <f aca="false">IF(G1433="","",G1433-B1433)</f>
        <v>2</v>
      </c>
      <c r="N1433" s="24" t="str">
        <f aca="false">IF(COUNTIF($A$2:A1433,A1433)&gt;1,"Duplicate ID",IF(C1433="","Missing source",IF(OR(AND(G1433&lt;&gt;"",G1433&lt;B1433),AND(H1433&lt;&gt;"",H1433&lt;B1433),AND(I1433&lt;&gt;"",I1433&lt;H1433),AND(J1433&lt;&gt;"",J1433&lt;I1433)),"Date error","OK")))</f>
        <v>OK</v>
      </c>
    </row>
    <row r="1434" customFormat="false" ht="15" hidden="false" customHeight="false" outlineLevel="0" collapsed="false">
      <c r="A1434" s="24" t="s">
        <v>1510</v>
      </c>
      <c r="B1434" s="31" t="n">
        <v>46251</v>
      </c>
      <c r="C1434" s="24" t="s">
        <v>25</v>
      </c>
      <c r="D1434" s="24" t="s">
        <v>36</v>
      </c>
      <c r="E1434" s="24" t="s">
        <v>81</v>
      </c>
      <c r="F1434" s="24" t="s">
        <v>41</v>
      </c>
      <c r="G1434" s="31" t="n">
        <v>46256</v>
      </c>
      <c r="H1434" s="24"/>
      <c r="I1434" s="24"/>
      <c r="J1434" s="24"/>
      <c r="K1434" s="24" t="n">
        <v>5</v>
      </c>
      <c r="L1434" s="24" t="str">
        <f aca="false">IF(J1434&lt;&gt;"","Enrolled",IF(I1434&lt;&gt;"","Admitted",IF(H1434&lt;&gt;"","Applied",IF(G1434&lt;&gt;"","Contacted","New"))))</f>
        <v>Contacted</v>
      </c>
      <c r="M1434" s="32" t="n">
        <f aca="false">IF(G1434="","",G1434-B1434)</f>
        <v>5</v>
      </c>
      <c r="N1434" s="24" t="str">
        <f aca="false">IF(COUNTIF($A$2:A1434,A1434)&gt;1,"Duplicate ID",IF(C1434="","Missing source",IF(OR(AND(G1434&lt;&gt;"",G1434&lt;B1434),AND(H1434&lt;&gt;"",H1434&lt;B1434),AND(I1434&lt;&gt;"",I1434&lt;H1434),AND(J1434&lt;&gt;"",J1434&lt;I1434)),"Date error","OK")))</f>
        <v>OK</v>
      </c>
    </row>
    <row r="1435" customFormat="false" ht="15" hidden="false" customHeight="false" outlineLevel="0" collapsed="false">
      <c r="A1435" s="24" t="s">
        <v>1511</v>
      </c>
      <c r="B1435" s="31" t="n">
        <v>46251</v>
      </c>
      <c r="C1435" s="24" t="s">
        <v>24</v>
      </c>
      <c r="D1435" s="24" t="s">
        <v>35</v>
      </c>
      <c r="E1435" s="24" t="s">
        <v>94</v>
      </c>
      <c r="F1435" s="24" t="s">
        <v>41</v>
      </c>
      <c r="G1435" s="31" t="n">
        <v>46251</v>
      </c>
      <c r="H1435" s="24"/>
      <c r="I1435" s="24"/>
      <c r="J1435" s="24"/>
      <c r="K1435" s="24" t="n">
        <v>3</v>
      </c>
      <c r="L1435" s="24" t="str">
        <f aca="false">IF(J1435&lt;&gt;"","Enrolled",IF(I1435&lt;&gt;"","Admitted",IF(H1435&lt;&gt;"","Applied",IF(G1435&lt;&gt;"","Contacted","New"))))</f>
        <v>Contacted</v>
      </c>
      <c r="M1435" s="32" t="n">
        <f aca="false">IF(G1435="","",G1435-B1435)</f>
        <v>0</v>
      </c>
      <c r="N1435" s="24" t="str">
        <f aca="false">IF(COUNTIF($A$2:A1435,A1435)&gt;1,"Duplicate ID",IF(C1435="","Missing source",IF(OR(AND(G1435&lt;&gt;"",G1435&lt;B1435),AND(H1435&lt;&gt;"",H1435&lt;B1435),AND(I1435&lt;&gt;"",I1435&lt;H1435),AND(J1435&lt;&gt;"",J1435&lt;I1435)),"Date error","OK")))</f>
        <v>OK</v>
      </c>
    </row>
    <row r="1436" customFormat="false" ht="15" hidden="false" customHeight="false" outlineLevel="0" collapsed="false">
      <c r="A1436" s="24" t="s">
        <v>1512</v>
      </c>
      <c r="B1436" s="31" t="n">
        <v>46251</v>
      </c>
      <c r="C1436" s="24" t="s">
        <v>25</v>
      </c>
      <c r="D1436" s="24" t="s">
        <v>33</v>
      </c>
      <c r="E1436" s="24" t="s">
        <v>94</v>
      </c>
      <c r="F1436" s="24" t="s">
        <v>42</v>
      </c>
      <c r="G1436" s="31" t="n">
        <v>46251</v>
      </c>
      <c r="H1436" s="24"/>
      <c r="I1436" s="24"/>
      <c r="J1436" s="24"/>
      <c r="K1436" s="24" t="n">
        <v>3</v>
      </c>
      <c r="L1436" s="24" t="str">
        <f aca="false">IF(J1436&lt;&gt;"","Enrolled",IF(I1436&lt;&gt;"","Admitted",IF(H1436&lt;&gt;"","Applied",IF(G1436&lt;&gt;"","Contacted","New"))))</f>
        <v>Contacted</v>
      </c>
      <c r="M1436" s="32" t="n">
        <f aca="false">IF(G1436="","",G1436-B1436)</f>
        <v>0</v>
      </c>
      <c r="N1436" s="24" t="str">
        <f aca="false">IF(COUNTIF($A$2:A1436,A1436)&gt;1,"Duplicate ID",IF(C1436="","Missing source",IF(OR(AND(G1436&lt;&gt;"",G1436&lt;B1436),AND(H1436&lt;&gt;"",H1436&lt;B1436),AND(I1436&lt;&gt;"",I1436&lt;H1436),AND(J1436&lt;&gt;"",J1436&lt;I1436)),"Date error","OK")))</f>
        <v>OK</v>
      </c>
    </row>
    <row r="1437" customFormat="false" ht="15" hidden="false" customHeight="false" outlineLevel="0" collapsed="false">
      <c r="A1437" s="24" t="s">
        <v>1513</v>
      </c>
      <c r="B1437" s="31" t="n">
        <v>46252</v>
      </c>
      <c r="C1437" s="24" t="s">
        <v>27</v>
      </c>
      <c r="D1437" s="24" t="s">
        <v>36</v>
      </c>
      <c r="E1437" s="24" t="s">
        <v>94</v>
      </c>
      <c r="F1437" s="24" t="s">
        <v>44</v>
      </c>
      <c r="G1437" s="31" t="n">
        <v>46252</v>
      </c>
      <c r="H1437" s="24"/>
      <c r="I1437" s="24"/>
      <c r="J1437" s="24"/>
      <c r="K1437" s="24" t="n">
        <v>2</v>
      </c>
      <c r="L1437" s="24" t="str">
        <f aca="false">IF(J1437&lt;&gt;"","Enrolled",IF(I1437&lt;&gt;"","Admitted",IF(H1437&lt;&gt;"","Applied",IF(G1437&lt;&gt;"","Contacted","New"))))</f>
        <v>Contacted</v>
      </c>
      <c r="M1437" s="32" t="n">
        <f aca="false">IF(G1437="","",G1437-B1437)</f>
        <v>0</v>
      </c>
      <c r="N1437" s="24" t="str">
        <f aca="false">IF(COUNTIF($A$2:A1437,A1437)&gt;1,"Duplicate ID",IF(C1437="","Missing source",IF(OR(AND(G1437&lt;&gt;"",G1437&lt;B1437),AND(H1437&lt;&gt;"",H1437&lt;B1437),AND(I1437&lt;&gt;"",I1437&lt;H1437),AND(J1437&lt;&gt;"",J1437&lt;I1437)),"Date error","OK")))</f>
        <v>OK</v>
      </c>
    </row>
    <row r="1438" customFormat="false" ht="15" hidden="false" customHeight="false" outlineLevel="0" collapsed="false">
      <c r="A1438" s="24" t="s">
        <v>1514</v>
      </c>
      <c r="B1438" s="31" t="n">
        <v>46252</v>
      </c>
      <c r="C1438" s="24" t="s">
        <v>23</v>
      </c>
      <c r="D1438" s="24" t="s">
        <v>32</v>
      </c>
      <c r="E1438" s="24" t="s">
        <v>89</v>
      </c>
      <c r="F1438" s="24" t="s">
        <v>40</v>
      </c>
      <c r="G1438" s="31" t="n">
        <v>46253</v>
      </c>
      <c r="H1438" s="24"/>
      <c r="I1438" s="24"/>
      <c r="J1438" s="24"/>
      <c r="K1438" s="24" t="n">
        <v>2</v>
      </c>
      <c r="L1438" s="24" t="str">
        <f aca="false">IF(J1438&lt;&gt;"","Enrolled",IF(I1438&lt;&gt;"","Admitted",IF(H1438&lt;&gt;"","Applied",IF(G1438&lt;&gt;"","Contacted","New"))))</f>
        <v>Contacted</v>
      </c>
      <c r="M1438" s="32" t="n">
        <f aca="false">IF(G1438="","",G1438-B1438)</f>
        <v>1</v>
      </c>
      <c r="N1438" s="24" t="str">
        <f aca="false">IF(COUNTIF($A$2:A1438,A1438)&gt;1,"Duplicate ID",IF(C1438="","Missing source",IF(OR(AND(G1438&lt;&gt;"",G1438&lt;B1438),AND(H1438&lt;&gt;"",H1438&lt;B1438),AND(I1438&lt;&gt;"",I1438&lt;H1438),AND(J1438&lt;&gt;"",J1438&lt;I1438)),"Date error","OK")))</f>
        <v>OK</v>
      </c>
    </row>
    <row r="1439" customFormat="false" ht="15" hidden="false" customHeight="false" outlineLevel="0" collapsed="false">
      <c r="A1439" s="24" t="s">
        <v>1515</v>
      </c>
      <c r="B1439" s="31" t="n">
        <v>46252</v>
      </c>
      <c r="C1439" s="24" t="s">
        <v>26</v>
      </c>
      <c r="D1439" s="24" t="s">
        <v>33</v>
      </c>
      <c r="E1439" s="24" t="s">
        <v>79</v>
      </c>
      <c r="F1439" s="24" t="s">
        <v>41</v>
      </c>
      <c r="G1439" s="31" t="n">
        <v>46252</v>
      </c>
      <c r="H1439" s="24"/>
      <c r="I1439" s="24"/>
      <c r="J1439" s="24"/>
      <c r="K1439" s="24" t="n">
        <v>2</v>
      </c>
      <c r="L1439" s="24" t="str">
        <f aca="false">IF(J1439&lt;&gt;"","Enrolled",IF(I1439&lt;&gt;"","Admitted",IF(H1439&lt;&gt;"","Applied",IF(G1439&lt;&gt;"","Contacted","New"))))</f>
        <v>Contacted</v>
      </c>
      <c r="M1439" s="32" t="n">
        <f aca="false">IF(G1439="","",G1439-B1439)</f>
        <v>0</v>
      </c>
      <c r="N1439" s="24" t="str">
        <f aca="false">IF(COUNTIF($A$2:A1439,A1439)&gt;1,"Duplicate ID",IF(C1439="","Missing source",IF(OR(AND(G1439&lt;&gt;"",G1439&lt;B1439),AND(H1439&lt;&gt;"",H1439&lt;B1439),AND(I1439&lt;&gt;"",I1439&lt;H1439),AND(J1439&lt;&gt;"",J1439&lt;I1439)),"Date error","OK")))</f>
        <v>OK</v>
      </c>
    </row>
    <row r="1440" customFormat="false" ht="15" hidden="false" customHeight="false" outlineLevel="0" collapsed="false">
      <c r="A1440" s="24" t="s">
        <v>1516</v>
      </c>
      <c r="B1440" s="31" t="n">
        <v>46252</v>
      </c>
      <c r="C1440" s="24" t="s">
        <v>27</v>
      </c>
      <c r="D1440" s="24" t="s">
        <v>32</v>
      </c>
      <c r="E1440" s="24" t="s">
        <v>79</v>
      </c>
      <c r="F1440" s="24" t="s">
        <v>45</v>
      </c>
      <c r="G1440" s="31" t="n">
        <v>46252</v>
      </c>
      <c r="H1440" s="24"/>
      <c r="I1440" s="24"/>
      <c r="J1440" s="24"/>
      <c r="K1440" s="24" t="n">
        <v>5</v>
      </c>
      <c r="L1440" s="24" t="str">
        <f aca="false">IF(J1440&lt;&gt;"","Enrolled",IF(I1440&lt;&gt;"","Admitted",IF(H1440&lt;&gt;"","Applied",IF(G1440&lt;&gt;"","Contacted","New"))))</f>
        <v>Contacted</v>
      </c>
      <c r="M1440" s="32" t="n">
        <f aca="false">IF(G1440="","",G1440-B1440)</f>
        <v>0</v>
      </c>
      <c r="N1440" s="24" t="str">
        <f aca="false">IF(COUNTIF($A$2:A1440,A1440)&gt;1,"Duplicate ID",IF(C1440="","Missing source",IF(OR(AND(G1440&lt;&gt;"",G1440&lt;B1440),AND(H1440&lt;&gt;"",H1440&lt;B1440),AND(I1440&lt;&gt;"",I1440&lt;H1440),AND(J1440&lt;&gt;"",J1440&lt;I1440)),"Date error","OK")))</f>
        <v>OK</v>
      </c>
    </row>
    <row r="1441" customFormat="false" ht="15" hidden="false" customHeight="false" outlineLevel="0" collapsed="false">
      <c r="A1441" s="24" t="s">
        <v>1517</v>
      </c>
      <c r="B1441" s="31" t="n">
        <v>46252</v>
      </c>
      <c r="C1441" s="24" t="s">
        <v>25</v>
      </c>
      <c r="D1441" s="24" t="s">
        <v>35</v>
      </c>
      <c r="E1441" s="24" t="s">
        <v>94</v>
      </c>
      <c r="F1441" s="24" t="s">
        <v>40</v>
      </c>
      <c r="G1441" s="31" t="n">
        <v>46252</v>
      </c>
      <c r="H1441" s="24"/>
      <c r="I1441" s="24"/>
      <c r="J1441" s="24"/>
      <c r="K1441" s="24" t="n">
        <v>2</v>
      </c>
      <c r="L1441" s="24" t="str">
        <f aca="false">IF(J1441&lt;&gt;"","Enrolled",IF(I1441&lt;&gt;"","Admitted",IF(H1441&lt;&gt;"","Applied",IF(G1441&lt;&gt;"","Contacted","New"))))</f>
        <v>Contacted</v>
      </c>
      <c r="M1441" s="32" t="n">
        <f aca="false">IF(G1441="","",G1441-B1441)</f>
        <v>0</v>
      </c>
      <c r="N1441" s="24" t="str">
        <f aca="false">IF(COUNTIF($A$2:A1441,A1441)&gt;1,"Duplicate ID",IF(C1441="","Missing source",IF(OR(AND(G1441&lt;&gt;"",G1441&lt;B1441),AND(H1441&lt;&gt;"",H1441&lt;B1441),AND(I1441&lt;&gt;"",I1441&lt;H1441),AND(J1441&lt;&gt;"",J1441&lt;I1441)),"Date error","OK")))</f>
        <v>OK</v>
      </c>
    </row>
    <row r="1442" customFormat="false" ht="15" hidden="false" customHeight="false" outlineLevel="0" collapsed="false">
      <c r="A1442" s="24" t="s">
        <v>1518</v>
      </c>
      <c r="B1442" s="31" t="n">
        <v>46252</v>
      </c>
      <c r="C1442" s="24" t="s">
        <v>25</v>
      </c>
      <c r="D1442" s="24" t="s">
        <v>32</v>
      </c>
      <c r="E1442" s="24" t="s">
        <v>79</v>
      </c>
      <c r="F1442" s="24" t="s">
        <v>43</v>
      </c>
      <c r="G1442" s="31" t="n">
        <v>46252</v>
      </c>
      <c r="H1442" s="24"/>
      <c r="I1442" s="24"/>
      <c r="J1442" s="24"/>
      <c r="K1442" s="24" t="n">
        <v>2</v>
      </c>
      <c r="L1442" s="24" t="str">
        <f aca="false">IF(J1442&lt;&gt;"","Enrolled",IF(I1442&lt;&gt;"","Admitted",IF(H1442&lt;&gt;"","Applied",IF(G1442&lt;&gt;"","Contacted","New"))))</f>
        <v>Contacted</v>
      </c>
      <c r="M1442" s="32" t="n">
        <f aca="false">IF(G1442="","",G1442-B1442)</f>
        <v>0</v>
      </c>
      <c r="N1442" s="24" t="str">
        <f aca="false">IF(COUNTIF($A$2:A1442,A1442)&gt;1,"Duplicate ID",IF(C1442="","Missing source",IF(OR(AND(G1442&lt;&gt;"",G1442&lt;B1442),AND(H1442&lt;&gt;"",H1442&lt;B1442),AND(I1442&lt;&gt;"",I1442&lt;H1442),AND(J1442&lt;&gt;"",J1442&lt;I1442)),"Date error","OK")))</f>
        <v>OK</v>
      </c>
    </row>
    <row r="1443" customFormat="false" ht="15" hidden="false" customHeight="false" outlineLevel="0" collapsed="false">
      <c r="A1443" s="24" t="s">
        <v>1519</v>
      </c>
      <c r="B1443" s="31" t="n">
        <v>46252</v>
      </c>
      <c r="C1443" s="24" t="s">
        <v>25</v>
      </c>
      <c r="D1443" s="24" t="s">
        <v>33</v>
      </c>
      <c r="E1443" s="24" t="s">
        <v>94</v>
      </c>
      <c r="F1443" s="24" t="s">
        <v>41</v>
      </c>
      <c r="G1443" s="31" t="n">
        <v>46252</v>
      </c>
      <c r="H1443" s="24"/>
      <c r="I1443" s="24"/>
      <c r="J1443" s="24"/>
      <c r="K1443" s="24" t="n">
        <v>6</v>
      </c>
      <c r="L1443" s="24" t="str">
        <f aca="false">IF(J1443&lt;&gt;"","Enrolled",IF(I1443&lt;&gt;"","Admitted",IF(H1443&lt;&gt;"","Applied",IF(G1443&lt;&gt;"","Contacted","New"))))</f>
        <v>Contacted</v>
      </c>
      <c r="M1443" s="32" t="n">
        <f aca="false">IF(G1443="","",G1443-B1443)</f>
        <v>0</v>
      </c>
      <c r="N1443" s="24" t="str">
        <f aca="false">IF(COUNTIF($A$2:A1443,A1443)&gt;1,"Duplicate ID",IF(C1443="","Missing source",IF(OR(AND(G1443&lt;&gt;"",G1443&lt;B1443),AND(H1443&lt;&gt;"",H1443&lt;B1443),AND(I1443&lt;&gt;"",I1443&lt;H1443),AND(J1443&lt;&gt;"",J1443&lt;I1443)),"Date error","OK")))</f>
        <v>OK</v>
      </c>
    </row>
    <row r="1444" customFormat="false" ht="15" hidden="false" customHeight="false" outlineLevel="0" collapsed="false">
      <c r="A1444" s="24" t="s">
        <v>1520</v>
      </c>
      <c r="B1444" s="31" t="n">
        <v>46252</v>
      </c>
      <c r="C1444" s="24" t="s">
        <v>27</v>
      </c>
      <c r="D1444" s="24" t="s">
        <v>36</v>
      </c>
      <c r="E1444" s="24" t="s">
        <v>94</v>
      </c>
      <c r="F1444" s="24" t="s">
        <v>42</v>
      </c>
      <c r="G1444" s="31" t="n">
        <v>46253</v>
      </c>
      <c r="H1444" s="24"/>
      <c r="I1444" s="24"/>
      <c r="J1444" s="24"/>
      <c r="K1444" s="24" t="n">
        <v>6</v>
      </c>
      <c r="L1444" s="24" t="str">
        <f aca="false">IF(J1444&lt;&gt;"","Enrolled",IF(I1444&lt;&gt;"","Admitted",IF(H1444&lt;&gt;"","Applied",IF(G1444&lt;&gt;"","Contacted","New"))))</f>
        <v>Contacted</v>
      </c>
      <c r="M1444" s="32" t="n">
        <f aca="false">IF(G1444="","",G1444-B1444)</f>
        <v>1</v>
      </c>
      <c r="N1444" s="24" t="str">
        <f aca="false">IF(COUNTIF($A$2:A1444,A1444)&gt;1,"Duplicate ID",IF(C1444="","Missing source",IF(OR(AND(G1444&lt;&gt;"",G1444&lt;B1444),AND(H1444&lt;&gt;"",H1444&lt;B1444),AND(I1444&lt;&gt;"",I1444&lt;H1444),AND(J1444&lt;&gt;"",J1444&lt;I1444)),"Date error","OK")))</f>
        <v>OK</v>
      </c>
    </row>
    <row r="1445" customFormat="false" ht="15" hidden="false" customHeight="false" outlineLevel="0" collapsed="false">
      <c r="A1445" s="24" t="s">
        <v>1521</v>
      </c>
      <c r="B1445" s="31" t="n">
        <v>46252</v>
      </c>
      <c r="C1445" s="24" t="s">
        <v>23</v>
      </c>
      <c r="D1445" s="24" t="s">
        <v>34</v>
      </c>
      <c r="E1445" s="24" t="s">
        <v>81</v>
      </c>
      <c r="F1445" s="24" t="s">
        <v>40</v>
      </c>
      <c r="G1445" s="31" t="n">
        <v>46252</v>
      </c>
      <c r="H1445" s="24"/>
      <c r="I1445" s="24"/>
      <c r="J1445" s="24"/>
      <c r="K1445" s="24" t="n">
        <v>3</v>
      </c>
      <c r="L1445" s="24" t="str">
        <f aca="false">IF(J1445&lt;&gt;"","Enrolled",IF(I1445&lt;&gt;"","Admitted",IF(H1445&lt;&gt;"","Applied",IF(G1445&lt;&gt;"","Contacted","New"))))</f>
        <v>Contacted</v>
      </c>
      <c r="M1445" s="32" t="n">
        <f aca="false">IF(G1445="","",G1445-B1445)</f>
        <v>0</v>
      </c>
      <c r="N1445" s="24" t="str">
        <f aca="false">IF(COUNTIF($A$2:A1445,A1445)&gt;1,"Duplicate ID",IF(C1445="","Missing source",IF(OR(AND(G1445&lt;&gt;"",G1445&lt;B1445),AND(H1445&lt;&gt;"",H1445&lt;B1445),AND(I1445&lt;&gt;"",I1445&lt;H1445),AND(J1445&lt;&gt;"",J1445&lt;I1445)),"Date error","OK")))</f>
        <v>OK</v>
      </c>
    </row>
    <row r="1446" customFormat="false" ht="15" hidden="false" customHeight="false" outlineLevel="0" collapsed="false">
      <c r="A1446" s="24" t="s">
        <v>1522</v>
      </c>
      <c r="B1446" s="31" t="n">
        <v>46252</v>
      </c>
      <c r="C1446" s="24" t="s">
        <v>23</v>
      </c>
      <c r="D1446" s="24" t="s">
        <v>35</v>
      </c>
      <c r="E1446" s="24" t="s">
        <v>89</v>
      </c>
      <c r="F1446" s="24" t="s">
        <v>42</v>
      </c>
      <c r="G1446" s="31" t="n">
        <v>46252</v>
      </c>
      <c r="H1446" s="24"/>
      <c r="I1446" s="24"/>
      <c r="J1446" s="24"/>
      <c r="K1446" s="24" t="n">
        <v>2</v>
      </c>
      <c r="L1446" s="24" t="str">
        <f aca="false">IF(J1446&lt;&gt;"","Enrolled",IF(I1446&lt;&gt;"","Admitted",IF(H1446&lt;&gt;"","Applied",IF(G1446&lt;&gt;"","Contacted","New"))))</f>
        <v>Contacted</v>
      </c>
      <c r="M1446" s="32" t="n">
        <f aca="false">IF(G1446="","",G1446-B1446)</f>
        <v>0</v>
      </c>
      <c r="N1446" s="24" t="str">
        <f aca="false">IF(COUNTIF($A$2:A1446,A1446)&gt;1,"Duplicate ID",IF(C1446="","Missing source",IF(OR(AND(G1446&lt;&gt;"",G1446&lt;B1446),AND(H1446&lt;&gt;"",H1446&lt;B1446),AND(I1446&lt;&gt;"",I1446&lt;H1446),AND(J1446&lt;&gt;"",J1446&lt;I1446)),"Date error","OK")))</f>
        <v>OK</v>
      </c>
    </row>
    <row r="1447" customFormat="false" ht="15" hidden="false" customHeight="false" outlineLevel="0" collapsed="false">
      <c r="A1447" s="24" t="s">
        <v>1523</v>
      </c>
      <c r="B1447" s="31" t="n">
        <v>46252</v>
      </c>
      <c r="C1447" s="24" t="s">
        <v>27</v>
      </c>
      <c r="D1447" s="24" t="s">
        <v>33</v>
      </c>
      <c r="E1447" s="24" t="s">
        <v>81</v>
      </c>
      <c r="F1447" s="24" t="s">
        <v>45</v>
      </c>
      <c r="G1447" s="31" t="n">
        <v>46254</v>
      </c>
      <c r="H1447" s="24"/>
      <c r="I1447" s="24"/>
      <c r="J1447" s="24"/>
      <c r="K1447" s="24" t="n">
        <v>2</v>
      </c>
      <c r="L1447" s="24" t="str">
        <f aca="false">IF(J1447&lt;&gt;"","Enrolled",IF(I1447&lt;&gt;"","Admitted",IF(H1447&lt;&gt;"","Applied",IF(G1447&lt;&gt;"","Contacted","New"))))</f>
        <v>Contacted</v>
      </c>
      <c r="M1447" s="32" t="n">
        <f aca="false">IF(G1447="","",G1447-B1447)</f>
        <v>2</v>
      </c>
      <c r="N1447" s="24" t="str">
        <f aca="false">IF(COUNTIF($A$2:A1447,A1447)&gt;1,"Duplicate ID",IF(C1447="","Missing source",IF(OR(AND(G1447&lt;&gt;"",G1447&lt;B1447),AND(H1447&lt;&gt;"",H1447&lt;B1447),AND(I1447&lt;&gt;"",I1447&lt;H1447),AND(J1447&lt;&gt;"",J1447&lt;I1447)),"Date error","OK")))</f>
        <v>OK</v>
      </c>
    </row>
    <row r="1448" customFormat="false" ht="15" hidden="false" customHeight="false" outlineLevel="0" collapsed="false">
      <c r="A1448" s="24" t="s">
        <v>1524</v>
      </c>
      <c r="B1448" s="31" t="n">
        <v>46252</v>
      </c>
      <c r="C1448" s="24" t="s">
        <v>22</v>
      </c>
      <c r="D1448" s="24" t="s">
        <v>33</v>
      </c>
      <c r="E1448" s="24" t="s">
        <v>89</v>
      </c>
      <c r="F1448" s="24" t="s">
        <v>44</v>
      </c>
      <c r="G1448" s="31" t="n">
        <v>46253</v>
      </c>
      <c r="H1448" s="24"/>
      <c r="I1448" s="24"/>
      <c r="J1448" s="24"/>
      <c r="K1448" s="24" t="n">
        <v>2</v>
      </c>
      <c r="L1448" s="24" t="str">
        <f aca="false">IF(J1448&lt;&gt;"","Enrolled",IF(I1448&lt;&gt;"","Admitted",IF(H1448&lt;&gt;"","Applied",IF(G1448&lt;&gt;"","Contacted","New"))))</f>
        <v>Contacted</v>
      </c>
      <c r="M1448" s="32" t="n">
        <f aca="false">IF(G1448="","",G1448-B1448)</f>
        <v>1</v>
      </c>
      <c r="N1448" s="24" t="str">
        <f aca="false">IF(COUNTIF($A$2:A1448,A1448)&gt;1,"Duplicate ID",IF(C1448="","Missing source",IF(OR(AND(G1448&lt;&gt;"",G1448&lt;B1448),AND(H1448&lt;&gt;"",H1448&lt;B1448),AND(I1448&lt;&gt;"",I1448&lt;H1448),AND(J1448&lt;&gt;"",J1448&lt;I1448)),"Date error","OK")))</f>
        <v>OK</v>
      </c>
    </row>
    <row r="1449" customFormat="false" ht="15" hidden="false" customHeight="false" outlineLevel="0" collapsed="false">
      <c r="A1449" s="24" t="s">
        <v>1525</v>
      </c>
      <c r="B1449" s="31" t="n">
        <v>46252</v>
      </c>
      <c r="C1449" s="24" t="s">
        <v>25</v>
      </c>
      <c r="D1449" s="24" t="s">
        <v>32</v>
      </c>
      <c r="E1449" s="24" t="s">
        <v>89</v>
      </c>
      <c r="F1449" s="24" t="s">
        <v>40</v>
      </c>
      <c r="G1449" s="31" t="n">
        <v>46253</v>
      </c>
      <c r="H1449" s="24"/>
      <c r="I1449" s="24"/>
      <c r="J1449" s="24"/>
      <c r="K1449" s="24" t="n">
        <v>3</v>
      </c>
      <c r="L1449" s="24" t="str">
        <f aca="false">IF(J1449&lt;&gt;"","Enrolled",IF(I1449&lt;&gt;"","Admitted",IF(H1449&lt;&gt;"","Applied",IF(G1449&lt;&gt;"","Contacted","New"))))</f>
        <v>Contacted</v>
      </c>
      <c r="M1449" s="32" t="n">
        <f aca="false">IF(G1449="","",G1449-B1449)</f>
        <v>1</v>
      </c>
      <c r="N1449" s="24" t="str">
        <f aca="false">IF(COUNTIF($A$2:A1449,A1449)&gt;1,"Duplicate ID",IF(C1449="","Missing source",IF(OR(AND(G1449&lt;&gt;"",G1449&lt;B1449),AND(H1449&lt;&gt;"",H1449&lt;B1449),AND(I1449&lt;&gt;"",I1449&lt;H1449),AND(J1449&lt;&gt;"",J1449&lt;I1449)),"Date error","OK")))</f>
        <v>OK</v>
      </c>
    </row>
    <row r="1450" customFormat="false" ht="15" hidden="false" customHeight="false" outlineLevel="0" collapsed="false">
      <c r="A1450" s="24" t="s">
        <v>1526</v>
      </c>
      <c r="B1450" s="31" t="n">
        <v>46253</v>
      </c>
      <c r="C1450" s="24" t="s">
        <v>26</v>
      </c>
      <c r="D1450" s="24" t="s">
        <v>36</v>
      </c>
      <c r="E1450" s="24" t="s">
        <v>81</v>
      </c>
      <c r="F1450" s="24" t="s">
        <v>43</v>
      </c>
      <c r="G1450" s="31" t="n">
        <v>46256</v>
      </c>
      <c r="H1450" s="31" t="n">
        <v>46260</v>
      </c>
      <c r="I1450" s="24"/>
      <c r="J1450" s="24"/>
      <c r="K1450" s="24" t="n">
        <v>1</v>
      </c>
      <c r="L1450" s="24" t="str">
        <f aca="false">IF(J1450&lt;&gt;"","Enrolled",IF(I1450&lt;&gt;"","Admitted",IF(H1450&lt;&gt;"","Applied",IF(G1450&lt;&gt;"","Contacted","New"))))</f>
        <v>Applied</v>
      </c>
      <c r="M1450" s="32" t="n">
        <f aca="false">IF(G1450="","",G1450-B1450)</f>
        <v>3</v>
      </c>
      <c r="N1450" s="24" t="str">
        <f aca="false">IF(COUNTIF($A$2:A1450,A1450)&gt;1,"Duplicate ID",IF(C1450="","Missing source",IF(OR(AND(G1450&lt;&gt;"",G1450&lt;B1450),AND(H1450&lt;&gt;"",H1450&lt;B1450),AND(I1450&lt;&gt;"",I1450&lt;H1450),AND(J1450&lt;&gt;"",J1450&lt;I1450)),"Date error","OK")))</f>
        <v>OK</v>
      </c>
    </row>
    <row r="1451" customFormat="false" ht="15" hidden="false" customHeight="false" outlineLevel="0" collapsed="false">
      <c r="A1451" s="24" t="s">
        <v>1527</v>
      </c>
      <c r="B1451" s="31" t="n">
        <v>46253</v>
      </c>
      <c r="C1451" s="24" t="s">
        <v>27</v>
      </c>
      <c r="D1451" s="24" t="s">
        <v>32</v>
      </c>
      <c r="E1451" s="24" t="s">
        <v>89</v>
      </c>
      <c r="F1451" s="24" t="s">
        <v>42</v>
      </c>
      <c r="G1451" s="31" t="n">
        <v>46253</v>
      </c>
      <c r="H1451" s="24"/>
      <c r="I1451" s="24"/>
      <c r="J1451" s="24"/>
      <c r="K1451" s="24" t="n">
        <v>2</v>
      </c>
      <c r="L1451" s="24" t="str">
        <f aca="false">IF(J1451&lt;&gt;"","Enrolled",IF(I1451&lt;&gt;"","Admitted",IF(H1451&lt;&gt;"","Applied",IF(G1451&lt;&gt;"","Contacted","New"))))</f>
        <v>Contacted</v>
      </c>
      <c r="M1451" s="32" t="n">
        <f aca="false">IF(G1451="","",G1451-B1451)</f>
        <v>0</v>
      </c>
      <c r="N1451" s="24" t="str">
        <f aca="false">IF(COUNTIF($A$2:A1451,A1451)&gt;1,"Duplicate ID",IF(C1451="","Missing source",IF(OR(AND(G1451&lt;&gt;"",G1451&lt;B1451),AND(H1451&lt;&gt;"",H1451&lt;B1451),AND(I1451&lt;&gt;"",I1451&lt;H1451),AND(J1451&lt;&gt;"",J1451&lt;I1451)),"Date error","OK")))</f>
        <v>OK</v>
      </c>
    </row>
    <row r="1452" customFormat="false" ht="15" hidden="false" customHeight="false" outlineLevel="0" collapsed="false">
      <c r="A1452" s="24" t="s">
        <v>1528</v>
      </c>
      <c r="B1452" s="31" t="n">
        <v>46253</v>
      </c>
      <c r="C1452" s="24" t="s">
        <v>27</v>
      </c>
      <c r="D1452" s="24" t="s">
        <v>36</v>
      </c>
      <c r="E1452" s="24" t="s">
        <v>79</v>
      </c>
      <c r="F1452" s="24" t="s">
        <v>45</v>
      </c>
      <c r="G1452" s="31" t="n">
        <v>46259</v>
      </c>
      <c r="H1452" s="24"/>
      <c r="I1452" s="24"/>
      <c r="J1452" s="24"/>
      <c r="K1452" s="24" t="n">
        <v>2</v>
      </c>
      <c r="L1452" s="24" t="str">
        <f aca="false">IF(J1452&lt;&gt;"","Enrolled",IF(I1452&lt;&gt;"","Admitted",IF(H1452&lt;&gt;"","Applied",IF(G1452&lt;&gt;"","Contacted","New"))))</f>
        <v>Contacted</v>
      </c>
      <c r="M1452" s="32" t="n">
        <f aca="false">IF(G1452="","",G1452-B1452)</f>
        <v>6</v>
      </c>
      <c r="N1452" s="24" t="str">
        <f aca="false">IF(COUNTIF($A$2:A1452,A1452)&gt;1,"Duplicate ID",IF(C1452="","Missing source",IF(OR(AND(G1452&lt;&gt;"",G1452&lt;B1452),AND(H1452&lt;&gt;"",H1452&lt;B1452),AND(I1452&lt;&gt;"",I1452&lt;H1452),AND(J1452&lt;&gt;"",J1452&lt;I1452)),"Date error","OK")))</f>
        <v>OK</v>
      </c>
    </row>
    <row r="1453" customFormat="false" ht="15" hidden="false" customHeight="false" outlineLevel="0" collapsed="false">
      <c r="A1453" s="24" t="s">
        <v>1529</v>
      </c>
      <c r="B1453" s="31" t="n">
        <v>46253</v>
      </c>
      <c r="C1453" s="24" t="s">
        <v>23</v>
      </c>
      <c r="D1453" s="24" t="s">
        <v>36</v>
      </c>
      <c r="E1453" s="24" t="s">
        <v>89</v>
      </c>
      <c r="F1453" s="24" t="s">
        <v>43</v>
      </c>
      <c r="G1453" s="31" t="n">
        <v>46254</v>
      </c>
      <c r="H1453" s="24"/>
      <c r="I1453" s="24"/>
      <c r="J1453" s="24"/>
      <c r="K1453" s="24" t="n">
        <v>1</v>
      </c>
      <c r="L1453" s="24" t="str">
        <f aca="false">IF(J1453&lt;&gt;"","Enrolled",IF(I1453&lt;&gt;"","Admitted",IF(H1453&lt;&gt;"","Applied",IF(G1453&lt;&gt;"","Contacted","New"))))</f>
        <v>Contacted</v>
      </c>
      <c r="M1453" s="32" t="n">
        <f aca="false">IF(G1453="","",G1453-B1453)</f>
        <v>1</v>
      </c>
      <c r="N1453" s="24" t="str">
        <f aca="false">IF(COUNTIF($A$2:A1453,A1453)&gt;1,"Duplicate ID",IF(C1453="","Missing source",IF(OR(AND(G1453&lt;&gt;"",G1453&lt;B1453),AND(H1453&lt;&gt;"",H1453&lt;B1453),AND(I1453&lt;&gt;"",I1453&lt;H1453),AND(J1453&lt;&gt;"",J1453&lt;I1453)),"Date error","OK")))</f>
        <v>OK</v>
      </c>
    </row>
    <row r="1454" customFormat="false" ht="15" hidden="false" customHeight="false" outlineLevel="0" collapsed="false">
      <c r="A1454" s="24" t="s">
        <v>1530</v>
      </c>
      <c r="B1454" s="31" t="n">
        <v>46253</v>
      </c>
      <c r="C1454" s="24" t="s">
        <v>25</v>
      </c>
      <c r="D1454" s="24" t="s">
        <v>36</v>
      </c>
      <c r="E1454" s="24" t="s">
        <v>81</v>
      </c>
      <c r="F1454" s="24" t="s">
        <v>45</v>
      </c>
      <c r="G1454" s="31" t="n">
        <v>46256</v>
      </c>
      <c r="H1454" s="24"/>
      <c r="I1454" s="24"/>
      <c r="J1454" s="24"/>
      <c r="K1454" s="24" t="n">
        <v>3</v>
      </c>
      <c r="L1454" s="24" t="str">
        <f aca="false">IF(J1454&lt;&gt;"","Enrolled",IF(I1454&lt;&gt;"","Admitted",IF(H1454&lt;&gt;"","Applied",IF(G1454&lt;&gt;"","Contacted","New"))))</f>
        <v>Contacted</v>
      </c>
      <c r="M1454" s="32" t="n">
        <f aca="false">IF(G1454="","",G1454-B1454)</f>
        <v>3</v>
      </c>
      <c r="N1454" s="24" t="str">
        <f aca="false">IF(COUNTIF($A$2:A1454,A1454)&gt;1,"Duplicate ID",IF(C1454="","Missing source",IF(OR(AND(G1454&lt;&gt;"",G1454&lt;B1454),AND(H1454&lt;&gt;"",H1454&lt;B1454),AND(I1454&lt;&gt;"",I1454&lt;H1454),AND(J1454&lt;&gt;"",J1454&lt;I1454)),"Date error","OK")))</f>
        <v>OK</v>
      </c>
    </row>
    <row r="1455" customFormat="false" ht="15" hidden="false" customHeight="false" outlineLevel="0" collapsed="false">
      <c r="A1455" s="24" t="s">
        <v>1531</v>
      </c>
      <c r="B1455" s="31" t="n">
        <v>46253</v>
      </c>
      <c r="C1455" s="24" t="s">
        <v>21</v>
      </c>
      <c r="D1455" s="24" t="s">
        <v>36</v>
      </c>
      <c r="E1455" s="24" t="s">
        <v>89</v>
      </c>
      <c r="F1455" s="24" t="s">
        <v>42</v>
      </c>
      <c r="G1455" s="31" t="n">
        <v>46254</v>
      </c>
      <c r="H1455" s="24"/>
      <c r="I1455" s="24"/>
      <c r="J1455" s="24"/>
      <c r="K1455" s="24" t="n">
        <v>5</v>
      </c>
      <c r="L1455" s="24" t="str">
        <f aca="false">IF(J1455&lt;&gt;"","Enrolled",IF(I1455&lt;&gt;"","Admitted",IF(H1455&lt;&gt;"","Applied",IF(G1455&lt;&gt;"","Contacted","New"))))</f>
        <v>Contacted</v>
      </c>
      <c r="M1455" s="32" t="n">
        <f aca="false">IF(G1455="","",G1455-B1455)</f>
        <v>1</v>
      </c>
      <c r="N1455" s="24" t="str">
        <f aca="false">IF(COUNTIF($A$2:A1455,A1455)&gt;1,"Duplicate ID",IF(C1455="","Missing source",IF(OR(AND(G1455&lt;&gt;"",G1455&lt;B1455),AND(H1455&lt;&gt;"",H1455&lt;B1455),AND(I1455&lt;&gt;"",I1455&lt;H1455),AND(J1455&lt;&gt;"",J1455&lt;I1455)),"Date error","OK")))</f>
        <v>OK</v>
      </c>
    </row>
    <row r="1456" customFormat="false" ht="15" hidden="false" customHeight="false" outlineLevel="0" collapsed="false">
      <c r="A1456" s="24" t="s">
        <v>1532</v>
      </c>
      <c r="B1456" s="31" t="n">
        <v>46253</v>
      </c>
      <c r="C1456" s="24" t="s">
        <v>23</v>
      </c>
      <c r="D1456" s="24" t="s">
        <v>36</v>
      </c>
      <c r="E1456" s="24" t="s">
        <v>89</v>
      </c>
      <c r="F1456" s="24" t="s">
        <v>41</v>
      </c>
      <c r="G1456" s="31" t="n">
        <v>46254</v>
      </c>
      <c r="H1456" s="24"/>
      <c r="I1456" s="24"/>
      <c r="J1456" s="24"/>
      <c r="K1456" s="24" t="n">
        <v>3</v>
      </c>
      <c r="L1456" s="24" t="str">
        <f aca="false">IF(J1456&lt;&gt;"","Enrolled",IF(I1456&lt;&gt;"","Admitted",IF(H1456&lt;&gt;"","Applied",IF(G1456&lt;&gt;"","Contacted","New"))))</f>
        <v>Contacted</v>
      </c>
      <c r="M1456" s="32" t="n">
        <f aca="false">IF(G1456="","",G1456-B1456)</f>
        <v>1</v>
      </c>
      <c r="N1456" s="24" t="str">
        <f aca="false">IF(COUNTIF($A$2:A1456,A1456)&gt;1,"Duplicate ID",IF(C1456="","Missing source",IF(OR(AND(G1456&lt;&gt;"",G1456&lt;B1456),AND(H1456&lt;&gt;"",H1456&lt;B1456),AND(I1456&lt;&gt;"",I1456&lt;H1456),AND(J1456&lt;&gt;"",J1456&lt;I1456)),"Date error","OK")))</f>
        <v>OK</v>
      </c>
    </row>
    <row r="1457" customFormat="false" ht="15" hidden="false" customHeight="false" outlineLevel="0" collapsed="false">
      <c r="A1457" s="24" t="s">
        <v>1533</v>
      </c>
      <c r="B1457" s="31" t="n">
        <v>46253</v>
      </c>
      <c r="C1457" s="24" t="s">
        <v>23</v>
      </c>
      <c r="D1457" s="24" t="s">
        <v>33</v>
      </c>
      <c r="E1457" s="24" t="s">
        <v>94</v>
      </c>
      <c r="F1457" s="24" t="s">
        <v>42</v>
      </c>
      <c r="G1457" s="31" t="n">
        <v>46256</v>
      </c>
      <c r="H1457" s="24"/>
      <c r="I1457" s="24"/>
      <c r="J1457" s="24"/>
      <c r="K1457" s="24" t="n">
        <v>1</v>
      </c>
      <c r="L1457" s="24" t="str">
        <f aca="false">IF(J1457&lt;&gt;"","Enrolled",IF(I1457&lt;&gt;"","Admitted",IF(H1457&lt;&gt;"","Applied",IF(G1457&lt;&gt;"","Contacted","New"))))</f>
        <v>Contacted</v>
      </c>
      <c r="M1457" s="32" t="n">
        <f aca="false">IF(G1457="","",G1457-B1457)</f>
        <v>3</v>
      </c>
      <c r="N1457" s="24" t="str">
        <f aca="false">IF(COUNTIF($A$2:A1457,A1457)&gt;1,"Duplicate ID",IF(C1457="","Missing source",IF(OR(AND(G1457&lt;&gt;"",G1457&lt;B1457),AND(H1457&lt;&gt;"",H1457&lt;B1457),AND(I1457&lt;&gt;"",I1457&lt;H1457),AND(J1457&lt;&gt;"",J1457&lt;I1457)),"Date error","OK")))</f>
        <v>OK</v>
      </c>
    </row>
    <row r="1458" customFormat="false" ht="15" hidden="false" customHeight="false" outlineLevel="0" collapsed="false">
      <c r="A1458" s="24" t="s">
        <v>1534</v>
      </c>
      <c r="B1458" s="31" t="n">
        <v>46253</v>
      </c>
      <c r="C1458" s="24" t="s">
        <v>22</v>
      </c>
      <c r="D1458" s="24" t="s">
        <v>33</v>
      </c>
      <c r="E1458" s="24" t="s">
        <v>89</v>
      </c>
      <c r="F1458" s="24" t="s">
        <v>43</v>
      </c>
      <c r="G1458" s="31" t="n">
        <v>46255</v>
      </c>
      <c r="H1458" s="24"/>
      <c r="I1458" s="24"/>
      <c r="J1458" s="24"/>
      <c r="K1458" s="24" t="n">
        <v>4</v>
      </c>
      <c r="L1458" s="24" t="str">
        <f aca="false">IF(J1458&lt;&gt;"","Enrolled",IF(I1458&lt;&gt;"","Admitted",IF(H1458&lt;&gt;"","Applied",IF(G1458&lt;&gt;"","Contacted","New"))))</f>
        <v>Contacted</v>
      </c>
      <c r="M1458" s="32" t="n">
        <f aca="false">IF(G1458="","",G1458-B1458)</f>
        <v>2</v>
      </c>
      <c r="N1458" s="24" t="str">
        <f aca="false">IF(COUNTIF($A$2:A1458,A1458)&gt;1,"Duplicate ID",IF(C1458="","Missing source",IF(OR(AND(G1458&lt;&gt;"",G1458&lt;B1458),AND(H1458&lt;&gt;"",H1458&lt;B1458),AND(I1458&lt;&gt;"",I1458&lt;H1458),AND(J1458&lt;&gt;"",J1458&lt;I1458)),"Date error","OK")))</f>
        <v>OK</v>
      </c>
    </row>
    <row r="1459" customFormat="false" ht="15" hidden="false" customHeight="false" outlineLevel="0" collapsed="false">
      <c r="A1459" s="24" t="s">
        <v>1535</v>
      </c>
      <c r="B1459" s="31" t="n">
        <v>46253</v>
      </c>
      <c r="C1459" s="24" t="s">
        <v>22</v>
      </c>
      <c r="D1459" s="24" t="s">
        <v>32</v>
      </c>
      <c r="E1459" s="24" t="s">
        <v>84</v>
      </c>
      <c r="F1459" s="24" t="s">
        <v>45</v>
      </c>
      <c r="G1459" s="31" t="n">
        <v>46253</v>
      </c>
      <c r="H1459" s="24"/>
      <c r="I1459" s="24"/>
      <c r="J1459" s="24"/>
      <c r="K1459" s="24" t="n">
        <v>4</v>
      </c>
      <c r="L1459" s="24" t="str">
        <f aca="false">IF(J1459&lt;&gt;"","Enrolled",IF(I1459&lt;&gt;"","Admitted",IF(H1459&lt;&gt;"","Applied",IF(G1459&lt;&gt;"","Contacted","New"))))</f>
        <v>Contacted</v>
      </c>
      <c r="M1459" s="32" t="n">
        <f aca="false">IF(G1459="","",G1459-B1459)</f>
        <v>0</v>
      </c>
      <c r="N1459" s="24" t="str">
        <f aca="false">IF(COUNTIF($A$2:A1459,A1459)&gt;1,"Duplicate ID",IF(C1459="","Missing source",IF(OR(AND(G1459&lt;&gt;"",G1459&lt;B1459),AND(H1459&lt;&gt;"",H1459&lt;B1459),AND(I1459&lt;&gt;"",I1459&lt;H1459),AND(J1459&lt;&gt;"",J1459&lt;I1459)),"Date error","OK")))</f>
        <v>OK</v>
      </c>
    </row>
    <row r="1460" customFormat="false" ht="15" hidden="false" customHeight="false" outlineLevel="0" collapsed="false">
      <c r="A1460" s="24" t="s">
        <v>1536</v>
      </c>
      <c r="B1460" s="31" t="n">
        <v>46253</v>
      </c>
      <c r="C1460" s="24" t="s">
        <v>25</v>
      </c>
      <c r="D1460" s="24" t="s">
        <v>36</v>
      </c>
      <c r="E1460" s="24" t="s">
        <v>79</v>
      </c>
      <c r="F1460" s="24" t="s">
        <v>44</v>
      </c>
      <c r="G1460" s="31" t="n">
        <v>46253</v>
      </c>
      <c r="H1460" s="24"/>
      <c r="I1460" s="24"/>
      <c r="J1460" s="24"/>
      <c r="K1460" s="24" t="n">
        <v>2</v>
      </c>
      <c r="L1460" s="24" t="str">
        <f aca="false">IF(J1460&lt;&gt;"","Enrolled",IF(I1460&lt;&gt;"","Admitted",IF(H1460&lt;&gt;"","Applied",IF(G1460&lt;&gt;"","Contacted","New"))))</f>
        <v>Contacted</v>
      </c>
      <c r="M1460" s="32" t="n">
        <f aca="false">IF(G1460="","",G1460-B1460)</f>
        <v>0</v>
      </c>
      <c r="N1460" s="24" t="str">
        <f aca="false">IF(COUNTIF($A$2:A1460,A1460)&gt;1,"Duplicate ID",IF(C1460="","Missing source",IF(OR(AND(G1460&lt;&gt;"",G1460&lt;B1460),AND(H1460&lt;&gt;"",H1460&lt;B1460),AND(I1460&lt;&gt;"",I1460&lt;H1460),AND(J1460&lt;&gt;"",J1460&lt;I1460)),"Date error","OK")))</f>
        <v>OK</v>
      </c>
    </row>
    <row r="1461" customFormat="false" ht="15" hidden="false" customHeight="false" outlineLevel="0" collapsed="false">
      <c r="A1461" s="24" t="s">
        <v>1537</v>
      </c>
      <c r="B1461" s="31" t="n">
        <v>46254</v>
      </c>
      <c r="C1461" s="24" t="s">
        <v>26</v>
      </c>
      <c r="D1461" s="24" t="s">
        <v>32</v>
      </c>
      <c r="E1461" s="24" t="s">
        <v>81</v>
      </c>
      <c r="F1461" s="24" t="s">
        <v>43</v>
      </c>
      <c r="G1461" s="31" t="n">
        <v>46255</v>
      </c>
      <c r="H1461" s="24"/>
      <c r="I1461" s="24"/>
      <c r="J1461" s="24"/>
      <c r="K1461" s="24" t="n">
        <v>5</v>
      </c>
      <c r="L1461" s="24" t="str">
        <f aca="false">IF(J1461&lt;&gt;"","Enrolled",IF(I1461&lt;&gt;"","Admitted",IF(H1461&lt;&gt;"","Applied",IF(G1461&lt;&gt;"","Contacted","New"))))</f>
        <v>Contacted</v>
      </c>
      <c r="M1461" s="32" t="n">
        <f aca="false">IF(G1461="","",G1461-B1461)</f>
        <v>1</v>
      </c>
      <c r="N1461" s="24" t="str">
        <f aca="false">IF(COUNTIF($A$2:A1461,A1461)&gt;1,"Duplicate ID",IF(C1461="","Missing source",IF(OR(AND(G1461&lt;&gt;"",G1461&lt;B1461),AND(H1461&lt;&gt;"",H1461&lt;B1461),AND(I1461&lt;&gt;"",I1461&lt;H1461),AND(J1461&lt;&gt;"",J1461&lt;I1461)),"Date error","OK")))</f>
        <v>OK</v>
      </c>
    </row>
    <row r="1462" customFormat="false" ht="15" hidden="false" customHeight="false" outlineLevel="0" collapsed="false">
      <c r="A1462" s="24" t="s">
        <v>1538</v>
      </c>
      <c r="B1462" s="31" t="n">
        <v>46254</v>
      </c>
      <c r="C1462" s="24" t="s">
        <v>21</v>
      </c>
      <c r="D1462" s="24" t="s">
        <v>33</v>
      </c>
      <c r="E1462" s="24" t="s">
        <v>89</v>
      </c>
      <c r="F1462" s="24" t="s">
        <v>43</v>
      </c>
      <c r="G1462" s="31" t="n">
        <v>46256</v>
      </c>
      <c r="H1462" s="24"/>
      <c r="I1462" s="24"/>
      <c r="J1462" s="24"/>
      <c r="K1462" s="24" t="n">
        <v>3</v>
      </c>
      <c r="L1462" s="24" t="str">
        <f aca="false">IF(J1462&lt;&gt;"","Enrolled",IF(I1462&lt;&gt;"","Admitted",IF(H1462&lt;&gt;"","Applied",IF(G1462&lt;&gt;"","Contacted","New"))))</f>
        <v>Contacted</v>
      </c>
      <c r="M1462" s="32" t="n">
        <f aca="false">IF(G1462="","",G1462-B1462)</f>
        <v>2</v>
      </c>
      <c r="N1462" s="24" t="str">
        <f aca="false">IF(COUNTIF($A$2:A1462,A1462)&gt;1,"Duplicate ID",IF(C1462="","Missing source",IF(OR(AND(G1462&lt;&gt;"",G1462&lt;B1462),AND(H1462&lt;&gt;"",H1462&lt;B1462),AND(I1462&lt;&gt;"",I1462&lt;H1462),AND(J1462&lt;&gt;"",J1462&lt;I1462)),"Date error","OK")))</f>
        <v>OK</v>
      </c>
    </row>
    <row r="1463" customFormat="false" ht="15" hidden="false" customHeight="false" outlineLevel="0" collapsed="false">
      <c r="A1463" s="24" t="s">
        <v>1539</v>
      </c>
      <c r="B1463" s="31" t="n">
        <v>46254</v>
      </c>
      <c r="C1463" s="24" t="s">
        <v>21</v>
      </c>
      <c r="D1463" s="24" t="s">
        <v>36</v>
      </c>
      <c r="E1463" s="24" t="s">
        <v>84</v>
      </c>
      <c r="F1463" s="24" t="s">
        <v>41</v>
      </c>
      <c r="G1463" s="24"/>
      <c r="H1463" s="24"/>
      <c r="I1463" s="24"/>
      <c r="J1463" s="24"/>
      <c r="K1463" s="24" t="n">
        <v>0</v>
      </c>
      <c r="L1463" s="24" t="str">
        <f aca="false">IF(J1463&lt;&gt;"","Enrolled",IF(I1463&lt;&gt;"","Admitted",IF(H1463&lt;&gt;"","Applied",IF(G1463&lt;&gt;"","Contacted","New"))))</f>
        <v>New</v>
      </c>
      <c r="M1463" s="32" t="str">
        <f aca="false">IF(G1463="","",G1463-B1463)</f>
        <v/>
      </c>
      <c r="N1463" s="24" t="str">
        <f aca="false">IF(COUNTIF($A$2:A1463,A1463)&gt;1,"Duplicate ID",IF(C1463="","Missing source",IF(OR(AND(G1463&lt;&gt;"",G1463&lt;B1463),AND(H1463&lt;&gt;"",H1463&lt;B1463),AND(I1463&lt;&gt;"",I1463&lt;H1463),AND(J1463&lt;&gt;"",J1463&lt;I1463)),"Date error","OK")))</f>
        <v>OK</v>
      </c>
    </row>
    <row r="1464" customFormat="false" ht="15" hidden="false" customHeight="false" outlineLevel="0" collapsed="false">
      <c r="A1464" s="24" t="s">
        <v>1540</v>
      </c>
      <c r="B1464" s="31" t="n">
        <v>46254</v>
      </c>
      <c r="C1464" s="24" t="s">
        <v>27</v>
      </c>
      <c r="D1464" s="24" t="s">
        <v>33</v>
      </c>
      <c r="E1464" s="24" t="s">
        <v>89</v>
      </c>
      <c r="F1464" s="24" t="s">
        <v>45</v>
      </c>
      <c r="G1464" s="31" t="n">
        <v>46254</v>
      </c>
      <c r="H1464" s="24"/>
      <c r="I1464" s="24"/>
      <c r="J1464" s="24"/>
      <c r="K1464" s="24" t="n">
        <v>3</v>
      </c>
      <c r="L1464" s="24" t="str">
        <f aca="false">IF(J1464&lt;&gt;"","Enrolled",IF(I1464&lt;&gt;"","Admitted",IF(H1464&lt;&gt;"","Applied",IF(G1464&lt;&gt;"","Contacted","New"))))</f>
        <v>Contacted</v>
      </c>
      <c r="M1464" s="32" t="n">
        <f aca="false">IF(G1464="","",G1464-B1464)</f>
        <v>0</v>
      </c>
      <c r="N1464" s="24" t="str">
        <f aca="false">IF(COUNTIF($A$2:A1464,A1464)&gt;1,"Duplicate ID",IF(C1464="","Missing source",IF(OR(AND(G1464&lt;&gt;"",G1464&lt;B1464),AND(H1464&lt;&gt;"",H1464&lt;B1464),AND(I1464&lt;&gt;"",I1464&lt;H1464),AND(J1464&lt;&gt;"",J1464&lt;I1464)),"Date error","OK")))</f>
        <v>OK</v>
      </c>
    </row>
    <row r="1465" customFormat="false" ht="15" hidden="false" customHeight="false" outlineLevel="0" collapsed="false">
      <c r="A1465" s="24" t="s">
        <v>1541</v>
      </c>
      <c r="B1465" s="31" t="n">
        <v>46254</v>
      </c>
      <c r="C1465" s="24" t="s">
        <v>26</v>
      </c>
      <c r="D1465" s="24" t="s">
        <v>32</v>
      </c>
      <c r="E1465" s="24" t="s">
        <v>89</v>
      </c>
      <c r="F1465" s="24" t="s">
        <v>43</v>
      </c>
      <c r="G1465" s="31" t="n">
        <v>46256</v>
      </c>
      <c r="H1465" s="24"/>
      <c r="I1465" s="24"/>
      <c r="J1465" s="24"/>
      <c r="K1465" s="24" t="n">
        <v>0</v>
      </c>
      <c r="L1465" s="24" t="str">
        <f aca="false">IF(J1465&lt;&gt;"","Enrolled",IF(I1465&lt;&gt;"","Admitted",IF(H1465&lt;&gt;"","Applied",IF(G1465&lt;&gt;"","Contacted","New"))))</f>
        <v>Contacted</v>
      </c>
      <c r="M1465" s="32" t="n">
        <f aca="false">IF(G1465="","",G1465-B1465)</f>
        <v>2</v>
      </c>
      <c r="N1465" s="24" t="str">
        <f aca="false">IF(COUNTIF($A$2:A1465,A1465)&gt;1,"Duplicate ID",IF(C1465="","Missing source",IF(OR(AND(G1465&lt;&gt;"",G1465&lt;B1465),AND(H1465&lt;&gt;"",H1465&lt;B1465),AND(I1465&lt;&gt;"",I1465&lt;H1465),AND(J1465&lt;&gt;"",J1465&lt;I1465)),"Date error","OK")))</f>
        <v>OK</v>
      </c>
    </row>
    <row r="1466" customFormat="false" ht="15" hidden="false" customHeight="false" outlineLevel="0" collapsed="false">
      <c r="A1466" s="24" t="s">
        <v>1542</v>
      </c>
      <c r="B1466" s="31" t="n">
        <v>46254</v>
      </c>
      <c r="C1466" s="24" t="s">
        <v>22</v>
      </c>
      <c r="D1466" s="24" t="s">
        <v>36</v>
      </c>
      <c r="E1466" s="24" t="s">
        <v>94</v>
      </c>
      <c r="F1466" s="24" t="s">
        <v>40</v>
      </c>
      <c r="G1466" s="31" t="n">
        <v>46255</v>
      </c>
      <c r="H1466" s="24"/>
      <c r="I1466" s="24"/>
      <c r="J1466" s="24"/>
      <c r="K1466" s="24" t="n">
        <v>4</v>
      </c>
      <c r="L1466" s="24" t="str">
        <f aca="false">IF(J1466&lt;&gt;"","Enrolled",IF(I1466&lt;&gt;"","Admitted",IF(H1466&lt;&gt;"","Applied",IF(G1466&lt;&gt;"","Contacted","New"))))</f>
        <v>Contacted</v>
      </c>
      <c r="M1466" s="32" t="n">
        <f aca="false">IF(G1466="","",G1466-B1466)</f>
        <v>1</v>
      </c>
      <c r="N1466" s="24" t="str">
        <f aca="false">IF(COUNTIF($A$2:A1466,A1466)&gt;1,"Duplicate ID",IF(C1466="","Missing source",IF(OR(AND(G1466&lt;&gt;"",G1466&lt;B1466),AND(H1466&lt;&gt;"",H1466&lt;B1466),AND(I1466&lt;&gt;"",I1466&lt;H1466),AND(J1466&lt;&gt;"",J1466&lt;I1466)),"Date error","OK")))</f>
        <v>OK</v>
      </c>
    </row>
    <row r="1467" customFormat="false" ht="15" hidden="false" customHeight="false" outlineLevel="0" collapsed="false">
      <c r="A1467" s="24" t="s">
        <v>1543</v>
      </c>
      <c r="B1467" s="31" t="n">
        <v>46254</v>
      </c>
      <c r="C1467" s="24" t="s">
        <v>27</v>
      </c>
      <c r="D1467" s="24" t="s">
        <v>35</v>
      </c>
      <c r="E1467" s="24" t="s">
        <v>79</v>
      </c>
      <c r="F1467" s="24" t="s">
        <v>44</v>
      </c>
      <c r="G1467" s="31" t="n">
        <v>46255</v>
      </c>
      <c r="H1467" s="24"/>
      <c r="I1467" s="24"/>
      <c r="J1467" s="24"/>
      <c r="K1467" s="24" t="n">
        <v>5</v>
      </c>
      <c r="L1467" s="24" t="str">
        <f aca="false">IF(J1467&lt;&gt;"","Enrolled",IF(I1467&lt;&gt;"","Admitted",IF(H1467&lt;&gt;"","Applied",IF(G1467&lt;&gt;"","Contacted","New"))))</f>
        <v>Contacted</v>
      </c>
      <c r="M1467" s="32" t="n">
        <f aca="false">IF(G1467="","",G1467-B1467)</f>
        <v>1</v>
      </c>
      <c r="N1467" s="24" t="str">
        <f aca="false">IF(COUNTIF($A$2:A1467,A1467)&gt;1,"Duplicate ID",IF(C1467="","Missing source",IF(OR(AND(G1467&lt;&gt;"",G1467&lt;B1467),AND(H1467&lt;&gt;"",H1467&lt;B1467),AND(I1467&lt;&gt;"",I1467&lt;H1467),AND(J1467&lt;&gt;"",J1467&lt;I1467)),"Date error","OK")))</f>
        <v>OK</v>
      </c>
    </row>
    <row r="1468" customFormat="false" ht="15" hidden="false" customHeight="false" outlineLevel="0" collapsed="false">
      <c r="A1468" s="24" t="s">
        <v>1544</v>
      </c>
      <c r="B1468" s="31" t="n">
        <v>46254</v>
      </c>
      <c r="C1468" s="24" t="s">
        <v>21</v>
      </c>
      <c r="D1468" s="24" t="s">
        <v>34</v>
      </c>
      <c r="E1468" s="24" t="s">
        <v>89</v>
      </c>
      <c r="F1468" s="24" t="s">
        <v>43</v>
      </c>
      <c r="G1468" s="31" t="n">
        <v>46254</v>
      </c>
      <c r="H1468" s="31" t="n">
        <v>46262</v>
      </c>
      <c r="I1468" s="24"/>
      <c r="J1468" s="24"/>
      <c r="K1468" s="24" t="n">
        <v>6</v>
      </c>
      <c r="L1468" s="24" t="str">
        <f aca="false">IF(J1468&lt;&gt;"","Enrolled",IF(I1468&lt;&gt;"","Admitted",IF(H1468&lt;&gt;"","Applied",IF(G1468&lt;&gt;"","Contacted","New"))))</f>
        <v>Applied</v>
      </c>
      <c r="M1468" s="32" t="n">
        <f aca="false">IF(G1468="","",G1468-B1468)</f>
        <v>0</v>
      </c>
      <c r="N1468" s="24" t="str">
        <f aca="false">IF(COUNTIF($A$2:A1468,A1468)&gt;1,"Duplicate ID",IF(C1468="","Missing source",IF(OR(AND(G1468&lt;&gt;"",G1468&lt;B1468),AND(H1468&lt;&gt;"",H1468&lt;B1468),AND(I1468&lt;&gt;"",I1468&lt;H1468),AND(J1468&lt;&gt;"",J1468&lt;I1468)),"Date error","OK")))</f>
        <v>OK</v>
      </c>
    </row>
    <row r="1469" customFormat="false" ht="15" hidden="false" customHeight="false" outlineLevel="0" collapsed="false">
      <c r="A1469" s="24" t="s">
        <v>1545</v>
      </c>
      <c r="B1469" s="31" t="n">
        <v>46254</v>
      </c>
      <c r="C1469" s="24" t="s">
        <v>27</v>
      </c>
      <c r="D1469" s="24" t="s">
        <v>36</v>
      </c>
      <c r="E1469" s="24" t="s">
        <v>94</v>
      </c>
      <c r="F1469" s="24" t="s">
        <v>45</v>
      </c>
      <c r="G1469" s="24"/>
      <c r="H1469" s="24"/>
      <c r="I1469" s="24"/>
      <c r="J1469" s="24"/>
      <c r="K1469" s="24" t="n">
        <v>0</v>
      </c>
      <c r="L1469" s="24" t="str">
        <f aca="false">IF(J1469&lt;&gt;"","Enrolled",IF(I1469&lt;&gt;"","Admitted",IF(H1469&lt;&gt;"","Applied",IF(G1469&lt;&gt;"","Contacted","New"))))</f>
        <v>New</v>
      </c>
      <c r="M1469" s="32" t="str">
        <f aca="false">IF(G1469="","",G1469-B1469)</f>
        <v/>
      </c>
      <c r="N1469" s="24" t="str">
        <f aca="false">IF(COUNTIF($A$2:A1469,A1469)&gt;1,"Duplicate ID",IF(C1469="","Missing source",IF(OR(AND(G1469&lt;&gt;"",G1469&lt;B1469),AND(H1469&lt;&gt;"",H1469&lt;B1469),AND(I1469&lt;&gt;"",I1469&lt;H1469),AND(J1469&lt;&gt;"",J1469&lt;I1469)),"Date error","OK")))</f>
        <v>OK</v>
      </c>
    </row>
    <row r="1470" customFormat="false" ht="15" hidden="false" customHeight="false" outlineLevel="0" collapsed="false">
      <c r="A1470" s="24" t="s">
        <v>1546</v>
      </c>
      <c r="B1470" s="31" t="n">
        <v>46254</v>
      </c>
      <c r="C1470" s="24" t="s">
        <v>26</v>
      </c>
      <c r="D1470" s="24" t="s">
        <v>32</v>
      </c>
      <c r="E1470" s="24" t="s">
        <v>94</v>
      </c>
      <c r="F1470" s="24" t="s">
        <v>40</v>
      </c>
      <c r="G1470" s="31" t="n">
        <v>46254</v>
      </c>
      <c r="H1470" s="24"/>
      <c r="I1470" s="24"/>
      <c r="J1470" s="24"/>
      <c r="K1470" s="24" t="n">
        <v>3</v>
      </c>
      <c r="L1470" s="24" t="str">
        <f aca="false">IF(J1470&lt;&gt;"","Enrolled",IF(I1470&lt;&gt;"","Admitted",IF(H1470&lt;&gt;"","Applied",IF(G1470&lt;&gt;"","Contacted","New"))))</f>
        <v>Contacted</v>
      </c>
      <c r="M1470" s="32" t="n">
        <f aca="false">IF(G1470="","",G1470-B1470)</f>
        <v>0</v>
      </c>
      <c r="N1470" s="24" t="str">
        <f aca="false">IF(COUNTIF($A$2:A1470,A1470)&gt;1,"Duplicate ID",IF(C1470="","Missing source",IF(OR(AND(G1470&lt;&gt;"",G1470&lt;B1470),AND(H1470&lt;&gt;"",H1470&lt;B1470),AND(I1470&lt;&gt;"",I1470&lt;H1470),AND(J1470&lt;&gt;"",J1470&lt;I1470)),"Date error","OK")))</f>
        <v>OK</v>
      </c>
    </row>
    <row r="1471" customFormat="false" ht="15" hidden="false" customHeight="false" outlineLevel="0" collapsed="false">
      <c r="A1471" s="24" t="s">
        <v>1547</v>
      </c>
      <c r="B1471" s="31" t="n">
        <v>46254</v>
      </c>
      <c r="C1471" s="24" t="s">
        <v>27</v>
      </c>
      <c r="D1471" s="24" t="s">
        <v>32</v>
      </c>
      <c r="E1471" s="24" t="s">
        <v>89</v>
      </c>
      <c r="F1471" s="24" t="s">
        <v>41</v>
      </c>
      <c r="G1471" s="31" t="n">
        <v>46254</v>
      </c>
      <c r="H1471" s="24"/>
      <c r="I1471" s="24"/>
      <c r="J1471" s="24"/>
      <c r="K1471" s="24" t="n">
        <v>3</v>
      </c>
      <c r="L1471" s="24" t="str">
        <f aca="false">IF(J1471&lt;&gt;"","Enrolled",IF(I1471&lt;&gt;"","Admitted",IF(H1471&lt;&gt;"","Applied",IF(G1471&lt;&gt;"","Contacted","New"))))</f>
        <v>Contacted</v>
      </c>
      <c r="M1471" s="32" t="n">
        <f aca="false">IF(G1471="","",G1471-B1471)</f>
        <v>0</v>
      </c>
      <c r="N1471" s="24" t="str">
        <f aca="false">IF(COUNTIF($A$2:A1471,A1471)&gt;1,"Duplicate ID",IF(C1471="","Missing source",IF(OR(AND(G1471&lt;&gt;"",G1471&lt;B1471),AND(H1471&lt;&gt;"",H1471&lt;B1471),AND(I1471&lt;&gt;"",I1471&lt;H1471),AND(J1471&lt;&gt;"",J1471&lt;I1471)),"Date error","OK")))</f>
        <v>OK</v>
      </c>
    </row>
    <row r="1472" customFormat="false" ht="15" hidden="false" customHeight="false" outlineLevel="0" collapsed="false">
      <c r="A1472" s="24" t="s">
        <v>1548</v>
      </c>
      <c r="B1472" s="31" t="n">
        <v>46254</v>
      </c>
      <c r="C1472" s="24" t="s">
        <v>25</v>
      </c>
      <c r="D1472" s="24" t="s">
        <v>36</v>
      </c>
      <c r="E1472" s="24" t="s">
        <v>89</v>
      </c>
      <c r="F1472" s="24" t="s">
        <v>40</v>
      </c>
      <c r="G1472" s="31" t="n">
        <v>46255</v>
      </c>
      <c r="H1472" s="24"/>
      <c r="I1472" s="24"/>
      <c r="J1472" s="24"/>
      <c r="K1472" s="24" t="n">
        <v>5</v>
      </c>
      <c r="L1472" s="24" t="str">
        <f aca="false">IF(J1472&lt;&gt;"","Enrolled",IF(I1472&lt;&gt;"","Admitted",IF(H1472&lt;&gt;"","Applied",IF(G1472&lt;&gt;"","Contacted","New"))))</f>
        <v>Contacted</v>
      </c>
      <c r="M1472" s="32" t="n">
        <f aca="false">IF(G1472="","",G1472-B1472)</f>
        <v>1</v>
      </c>
      <c r="N1472" s="24" t="str">
        <f aca="false">IF(COUNTIF($A$2:A1472,A1472)&gt;1,"Duplicate ID",IF(C1472="","Missing source",IF(OR(AND(G1472&lt;&gt;"",G1472&lt;B1472),AND(H1472&lt;&gt;"",H1472&lt;B1472),AND(I1472&lt;&gt;"",I1472&lt;H1472),AND(J1472&lt;&gt;"",J1472&lt;I1472)),"Date error","OK")))</f>
        <v>OK</v>
      </c>
    </row>
    <row r="1473" customFormat="false" ht="15" hidden="false" customHeight="false" outlineLevel="0" collapsed="false">
      <c r="A1473" s="24" t="s">
        <v>1549</v>
      </c>
      <c r="B1473" s="31" t="n">
        <v>46254</v>
      </c>
      <c r="C1473" s="24" t="s">
        <v>22</v>
      </c>
      <c r="D1473" s="24" t="s">
        <v>36</v>
      </c>
      <c r="E1473" s="24" t="s">
        <v>89</v>
      </c>
      <c r="F1473" s="24" t="s">
        <v>42</v>
      </c>
      <c r="G1473" s="31" t="n">
        <v>46255</v>
      </c>
      <c r="H1473" s="24"/>
      <c r="I1473" s="24"/>
      <c r="J1473" s="24"/>
      <c r="K1473" s="24" t="n">
        <v>5</v>
      </c>
      <c r="L1473" s="24" t="str">
        <f aca="false">IF(J1473&lt;&gt;"","Enrolled",IF(I1473&lt;&gt;"","Admitted",IF(H1473&lt;&gt;"","Applied",IF(G1473&lt;&gt;"","Contacted","New"))))</f>
        <v>Contacted</v>
      </c>
      <c r="M1473" s="32" t="n">
        <f aca="false">IF(G1473="","",G1473-B1473)</f>
        <v>1</v>
      </c>
      <c r="N1473" s="24" t="str">
        <f aca="false">IF(COUNTIF($A$2:A1473,A1473)&gt;1,"Duplicate ID",IF(C1473="","Missing source",IF(OR(AND(G1473&lt;&gt;"",G1473&lt;B1473),AND(H1473&lt;&gt;"",H1473&lt;B1473),AND(I1473&lt;&gt;"",I1473&lt;H1473),AND(J1473&lt;&gt;"",J1473&lt;I1473)),"Date error","OK")))</f>
        <v>OK</v>
      </c>
    </row>
    <row r="1474" customFormat="false" ht="15" hidden="false" customHeight="false" outlineLevel="0" collapsed="false">
      <c r="A1474" s="24" t="s">
        <v>1550</v>
      </c>
      <c r="B1474" s="31" t="n">
        <v>46254</v>
      </c>
      <c r="C1474" s="24" t="s">
        <v>26</v>
      </c>
      <c r="D1474" s="24" t="s">
        <v>35</v>
      </c>
      <c r="E1474" s="24" t="s">
        <v>84</v>
      </c>
      <c r="F1474" s="24" t="s">
        <v>45</v>
      </c>
      <c r="G1474" s="24"/>
      <c r="H1474" s="24"/>
      <c r="I1474" s="24"/>
      <c r="J1474" s="24"/>
      <c r="K1474" s="24" t="n">
        <v>0</v>
      </c>
      <c r="L1474" s="24" t="str">
        <f aca="false">IF(J1474&lt;&gt;"","Enrolled",IF(I1474&lt;&gt;"","Admitted",IF(H1474&lt;&gt;"","Applied",IF(G1474&lt;&gt;"","Contacted","New"))))</f>
        <v>New</v>
      </c>
      <c r="M1474" s="32" t="str">
        <f aca="false">IF(G1474="","",G1474-B1474)</f>
        <v/>
      </c>
      <c r="N1474" s="24" t="str">
        <f aca="false">IF(COUNTIF($A$2:A1474,A1474)&gt;1,"Duplicate ID",IF(C1474="","Missing source",IF(OR(AND(G1474&lt;&gt;"",G1474&lt;B1474),AND(H1474&lt;&gt;"",H1474&lt;B1474),AND(I1474&lt;&gt;"",I1474&lt;H1474),AND(J1474&lt;&gt;"",J1474&lt;I1474)),"Date error","OK")))</f>
        <v>OK</v>
      </c>
    </row>
    <row r="1475" customFormat="false" ht="15" hidden="false" customHeight="false" outlineLevel="0" collapsed="false">
      <c r="A1475" s="24" t="s">
        <v>1551</v>
      </c>
      <c r="B1475" s="31" t="n">
        <v>46254</v>
      </c>
      <c r="C1475" s="24" t="s">
        <v>22</v>
      </c>
      <c r="D1475" s="24" t="s">
        <v>34</v>
      </c>
      <c r="E1475" s="24" t="s">
        <v>89</v>
      </c>
      <c r="F1475" s="24" t="s">
        <v>40</v>
      </c>
      <c r="G1475" s="31" t="n">
        <v>46254</v>
      </c>
      <c r="H1475" s="24"/>
      <c r="I1475" s="24"/>
      <c r="J1475" s="24"/>
      <c r="K1475" s="24" t="n">
        <v>3</v>
      </c>
      <c r="L1475" s="24" t="str">
        <f aca="false">IF(J1475&lt;&gt;"","Enrolled",IF(I1475&lt;&gt;"","Admitted",IF(H1475&lt;&gt;"","Applied",IF(G1475&lt;&gt;"","Contacted","New"))))</f>
        <v>Contacted</v>
      </c>
      <c r="M1475" s="32" t="n">
        <f aca="false">IF(G1475="","",G1475-B1475)</f>
        <v>0</v>
      </c>
      <c r="N1475" s="24" t="str">
        <f aca="false">IF(COUNTIF($A$2:A1475,A1475)&gt;1,"Duplicate ID",IF(C1475="","Missing source",IF(OR(AND(G1475&lt;&gt;"",G1475&lt;B1475),AND(H1475&lt;&gt;"",H1475&lt;B1475),AND(I1475&lt;&gt;"",I1475&lt;H1475),AND(J1475&lt;&gt;"",J1475&lt;I1475)),"Date error","OK")))</f>
        <v>OK</v>
      </c>
    </row>
    <row r="1476" customFormat="false" ht="15" hidden="false" customHeight="false" outlineLevel="0" collapsed="false">
      <c r="A1476" s="24" t="s">
        <v>1552</v>
      </c>
      <c r="B1476" s="31" t="n">
        <v>46255</v>
      </c>
      <c r="C1476" s="24" t="s">
        <v>25</v>
      </c>
      <c r="D1476" s="24" t="s">
        <v>32</v>
      </c>
      <c r="E1476" s="24" t="s">
        <v>94</v>
      </c>
      <c r="F1476" s="24" t="s">
        <v>45</v>
      </c>
      <c r="G1476" s="31" t="n">
        <v>46256</v>
      </c>
      <c r="H1476" s="24"/>
      <c r="I1476" s="24"/>
      <c r="J1476" s="24"/>
      <c r="K1476" s="24" t="n">
        <v>2</v>
      </c>
      <c r="L1476" s="24" t="str">
        <f aca="false">IF(J1476&lt;&gt;"","Enrolled",IF(I1476&lt;&gt;"","Admitted",IF(H1476&lt;&gt;"","Applied",IF(G1476&lt;&gt;"","Contacted","New"))))</f>
        <v>Contacted</v>
      </c>
      <c r="M1476" s="32" t="n">
        <f aca="false">IF(G1476="","",G1476-B1476)</f>
        <v>1</v>
      </c>
      <c r="N1476" s="24" t="str">
        <f aca="false">IF(COUNTIF($A$2:A1476,A1476)&gt;1,"Duplicate ID",IF(C1476="","Missing source",IF(OR(AND(G1476&lt;&gt;"",G1476&lt;B1476),AND(H1476&lt;&gt;"",H1476&lt;B1476),AND(I1476&lt;&gt;"",I1476&lt;H1476),AND(J1476&lt;&gt;"",J1476&lt;I1476)),"Date error","OK")))</f>
        <v>OK</v>
      </c>
    </row>
    <row r="1477" customFormat="false" ht="15" hidden="false" customHeight="false" outlineLevel="0" collapsed="false">
      <c r="A1477" s="24" t="s">
        <v>1553</v>
      </c>
      <c r="B1477" s="31" t="n">
        <v>46255</v>
      </c>
      <c r="C1477" s="24" t="s">
        <v>23</v>
      </c>
      <c r="D1477" s="24" t="s">
        <v>32</v>
      </c>
      <c r="E1477" s="24" t="s">
        <v>89</v>
      </c>
      <c r="F1477" s="24" t="s">
        <v>42</v>
      </c>
      <c r="G1477" s="31" t="n">
        <v>46256</v>
      </c>
      <c r="H1477" s="24"/>
      <c r="I1477" s="24"/>
      <c r="J1477" s="24"/>
      <c r="K1477" s="24" t="n">
        <v>0</v>
      </c>
      <c r="L1477" s="24" t="str">
        <f aca="false">IF(J1477&lt;&gt;"","Enrolled",IF(I1477&lt;&gt;"","Admitted",IF(H1477&lt;&gt;"","Applied",IF(G1477&lt;&gt;"","Contacted","New"))))</f>
        <v>Contacted</v>
      </c>
      <c r="M1477" s="32" t="n">
        <f aca="false">IF(G1477="","",G1477-B1477)</f>
        <v>1</v>
      </c>
      <c r="N1477" s="24" t="str">
        <f aca="false">IF(COUNTIF($A$2:A1477,A1477)&gt;1,"Duplicate ID",IF(C1477="","Missing source",IF(OR(AND(G1477&lt;&gt;"",G1477&lt;B1477),AND(H1477&lt;&gt;"",H1477&lt;B1477),AND(I1477&lt;&gt;"",I1477&lt;H1477),AND(J1477&lt;&gt;"",J1477&lt;I1477)),"Date error","OK")))</f>
        <v>OK</v>
      </c>
    </row>
    <row r="1478" customFormat="false" ht="15" hidden="false" customHeight="false" outlineLevel="0" collapsed="false">
      <c r="A1478" s="24" t="s">
        <v>1554</v>
      </c>
      <c r="B1478" s="31" t="n">
        <v>46255</v>
      </c>
      <c r="C1478" s="24" t="s">
        <v>27</v>
      </c>
      <c r="D1478" s="24" t="s">
        <v>34</v>
      </c>
      <c r="E1478" s="24" t="s">
        <v>89</v>
      </c>
      <c r="F1478" s="24" t="s">
        <v>42</v>
      </c>
      <c r="G1478" s="31" t="n">
        <v>46255</v>
      </c>
      <c r="H1478" s="24"/>
      <c r="I1478" s="24"/>
      <c r="J1478" s="24"/>
      <c r="K1478" s="24" t="n">
        <v>2</v>
      </c>
      <c r="L1478" s="24" t="str">
        <f aca="false">IF(J1478&lt;&gt;"","Enrolled",IF(I1478&lt;&gt;"","Admitted",IF(H1478&lt;&gt;"","Applied",IF(G1478&lt;&gt;"","Contacted","New"))))</f>
        <v>Contacted</v>
      </c>
      <c r="M1478" s="32" t="n">
        <f aca="false">IF(G1478="","",G1478-B1478)</f>
        <v>0</v>
      </c>
      <c r="N1478" s="24" t="str">
        <f aca="false">IF(COUNTIF($A$2:A1478,A1478)&gt;1,"Duplicate ID",IF(C1478="","Missing source",IF(OR(AND(G1478&lt;&gt;"",G1478&lt;B1478),AND(H1478&lt;&gt;"",H1478&lt;B1478),AND(I1478&lt;&gt;"",I1478&lt;H1478),AND(J1478&lt;&gt;"",J1478&lt;I1478)),"Date error","OK")))</f>
        <v>OK</v>
      </c>
    </row>
    <row r="1479" customFormat="false" ht="15" hidden="false" customHeight="false" outlineLevel="0" collapsed="false">
      <c r="A1479" s="24" t="s">
        <v>1555</v>
      </c>
      <c r="B1479" s="31" t="n">
        <v>46255</v>
      </c>
      <c r="C1479" s="24" t="s">
        <v>23</v>
      </c>
      <c r="D1479" s="24" t="s">
        <v>32</v>
      </c>
      <c r="E1479" s="24" t="s">
        <v>89</v>
      </c>
      <c r="F1479" s="24" t="s">
        <v>41</v>
      </c>
      <c r="G1479" s="31" t="n">
        <v>46258</v>
      </c>
      <c r="H1479" s="24"/>
      <c r="I1479" s="24"/>
      <c r="J1479" s="24"/>
      <c r="K1479" s="24" t="n">
        <v>1</v>
      </c>
      <c r="L1479" s="24" t="str">
        <f aca="false">IF(J1479&lt;&gt;"","Enrolled",IF(I1479&lt;&gt;"","Admitted",IF(H1479&lt;&gt;"","Applied",IF(G1479&lt;&gt;"","Contacted","New"))))</f>
        <v>Contacted</v>
      </c>
      <c r="M1479" s="32" t="n">
        <f aca="false">IF(G1479="","",G1479-B1479)</f>
        <v>3</v>
      </c>
      <c r="N1479" s="24" t="str">
        <f aca="false">IF(COUNTIF($A$2:A1479,A1479)&gt;1,"Duplicate ID",IF(C1479="","Missing source",IF(OR(AND(G1479&lt;&gt;"",G1479&lt;B1479),AND(H1479&lt;&gt;"",H1479&lt;B1479),AND(I1479&lt;&gt;"",I1479&lt;H1479),AND(J1479&lt;&gt;"",J1479&lt;I1479)),"Date error","OK")))</f>
        <v>OK</v>
      </c>
    </row>
    <row r="1480" customFormat="false" ht="15" hidden="false" customHeight="false" outlineLevel="0" collapsed="false">
      <c r="A1480" s="24" t="s">
        <v>1556</v>
      </c>
      <c r="B1480" s="31" t="n">
        <v>46255</v>
      </c>
      <c r="C1480" s="24" t="s">
        <v>24</v>
      </c>
      <c r="D1480" s="24" t="s">
        <v>35</v>
      </c>
      <c r="E1480" s="24" t="s">
        <v>89</v>
      </c>
      <c r="F1480" s="24" t="s">
        <v>44</v>
      </c>
      <c r="G1480" s="31" t="n">
        <v>46260</v>
      </c>
      <c r="H1480" s="24"/>
      <c r="I1480" s="24"/>
      <c r="J1480" s="24"/>
      <c r="K1480" s="24" t="n">
        <v>2</v>
      </c>
      <c r="L1480" s="24" t="str">
        <f aca="false">IF(J1480&lt;&gt;"","Enrolled",IF(I1480&lt;&gt;"","Admitted",IF(H1480&lt;&gt;"","Applied",IF(G1480&lt;&gt;"","Contacted","New"))))</f>
        <v>Contacted</v>
      </c>
      <c r="M1480" s="32" t="n">
        <f aca="false">IF(G1480="","",G1480-B1480)</f>
        <v>5</v>
      </c>
      <c r="N1480" s="24" t="str">
        <f aca="false">IF(COUNTIF($A$2:A1480,A1480)&gt;1,"Duplicate ID",IF(C1480="","Missing source",IF(OR(AND(G1480&lt;&gt;"",G1480&lt;B1480),AND(H1480&lt;&gt;"",H1480&lt;B1480),AND(I1480&lt;&gt;"",I1480&lt;H1480),AND(J1480&lt;&gt;"",J1480&lt;I1480)),"Date error","OK")))</f>
        <v>OK</v>
      </c>
    </row>
    <row r="1481" customFormat="false" ht="15" hidden="false" customHeight="false" outlineLevel="0" collapsed="false">
      <c r="A1481" s="24" t="s">
        <v>1557</v>
      </c>
      <c r="B1481" s="31" t="n">
        <v>46255</v>
      </c>
      <c r="C1481" s="24" t="s">
        <v>22</v>
      </c>
      <c r="D1481" s="24" t="s">
        <v>33</v>
      </c>
      <c r="E1481" s="24" t="s">
        <v>94</v>
      </c>
      <c r="F1481" s="24" t="s">
        <v>44</v>
      </c>
      <c r="G1481" s="31" t="n">
        <v>46257</v>
      </c>
      <c r="H1481" s="24"/>
      <c r="I1481" s="24"/>
      <c r="J1481" s="24"/>
      <c r="K1481" s="24" t="n">
        <v>4</v>
      </c>
      <c r="L1481" s="24" t="str">
        <f aca="false">IF(J1481&lt;&gt;"","Enrolled",IF(I1481&lt;&gt;"","Admitted",IF(H1481&lt;&gt;"","Applied",IF(G1481&lt;&gt;"","Contacted","New"))))</f>
        <v>Contacted</v>
      </c>
      <c r="M1481" s="32" t="n">
        <f aca="false">IF(G1481="","",G1481-B1481)</f>
        <v>2</v>
      </c>
      <c r="N1481" s="24" t="str">
        <f aca="false">IF(COUNTIF($A$2:A1481,A1481)&gt;1,"Duplicate ID",IF(C1481="","Missing source",IF(OR(AND(G1481&lt;&gt;"",G1481&lt;B1481),AND(H1481&lt;&gt;"",H1481&lt;B1481),AND(I1481&lt;&gt;"",I1481&lt;H1481),AND(J1481&lt;&gt;"",J1481&lt;I1481)),"Date error","OK")))</f>
        <v>OK</v>
      </c>
    </row>
    <row r="1482" customFormat="false" ht="15" hidden="false" customHeight="false" outlineLevel="0" collapsed="false">
      <c r="A1482" s="24" t="s">
        <v>1558</v>
      </c>
      <c r="B1482" s="31" t="n">
        <v>46255</v>
      </c>
      <c r="C1482" s="24" t="s">
        <v>22</v>
      </c>
      <c r="D1482" s="24" t="s">
        <v>36</v>
      </c>
      <c r="E1482" s="24" t="s">
        <v>84</v>
      </c>
      <c r="F1482" s="24" t="s">
        <v>43</v>
      </c>
      <c r="G1482" s="31" t="n">
        <v>46256</v>
      </c>
      <c r="H1482" s="24"/>
      <c r="I1482" s="24"/>
      <c r="J1482" s="24"/>
      <c r="K1482" s="24" t="n">
        <v>8</v>
      </c>
      <c r="L1482" s="24" t="str">
        <f aca="false">IF(J1482&lt;&gt;"","Enrolled",IF(I1482&lt;&gt;"","Admitted",IF(H1482&lt;&gt;"","Applied",IF(G1482&lt;&gt;"","Contacted","New"))))</f>
        <v>Contacted</v>
      </c>
      <c r="M1482" s="32" t="n">
        <f aca="false">IF(G1482="","",G1482-B1482)</f>
        <v>1</v>
      </c>
      <c r="N1482" s="24" t="str">
        <f aca="false">IF(COUNTIF($A$2:A1482,A1482)&gt;1,"Duplicate ID",IF(C1482="","Missing source",IF(OR(AND(G1482&lt;&gt;"",G1482&lt;B1482),AND(H1482&lt;&gt;"",H1482&lt;B1482),AND(I1482&lt;&gt;"",I1482&lt;H1482),AND(J1482&lt;&gt;"",J1482&lt;I1482)),"Date error","OK")))</f>
        <v>OK</v>
      </c>
    </row>
    <row r="1483" customFormat="false" ht="15" hidden="false" customHeight="false" outlineLevel="0" collapsed="false">
      <c r="A1483" s="24" t="s">
        <v>1559</v>
      </c>
      <c r="B1483" s="31" t="n">
        <v>46255</v>
      </c>
      <c r="C1483" s="24" t="s">
        <v>27</v>
      </c>
      <c r="D1483" s="24" t="s">
        <v>36</v>
      </c>
      <c r="E1483" s="24" t="s">
        <v>79</v>
      </c>
      <c r="F1483" s="24" t="s">
        <v>43</v>
      </c>
      <c r="G1483" s="31" t="n">
        <v>46259</v>
      </c>
      <c r="H1483" s="24"/>
      <c r="I1483" s="24"/>
      <c r="J1483" s="24"/>
      <c r="K1483" s="24" t="n">
        <v>0</v>
      </c>
      <c r="L1483" s="24" t="str">
        <f aca="false">IF(J1483&lt;&gt;"","Enrolled",IF(I1483&lt;&gt;"","Admitted",IF(H1483&lt;&gt;"","Applied",IF(G1483&lt;&gt;"","Contacted","New"))))</f>
        <v>Contacted</v>
      </c>
      <c r="M1483" s="32" t="n">
        <f aca="false">IF(G1483="","",G1483-B1483)</f>
        <v>4</v>
      </c>
      <c r="N1483" s="24" t="str">
        <f aca="false">IF(COUNTIF($A$2:A1483,A1483)&gt;1,"Duplicate ID",IF(C1483="","Missing source",IF(OR(AND(G1483&lt;&gt;"",G1483&lt;B1483),AND(H1483&lt;&gt;"",H1483&lt;B1483),AND(I1483&lt;&gt;"",I1483&lt;H1483),AND(J1483&lt;&gt;"",J1483&lt;I1483)),"Date error","OK")))</f>
        <v>OK</v>
      </c>
    </row>
    <row r="1484" customFormat="false" ht="15" hidden="false" customHeight="false" outlineLevel="0" collapsed="false">
      <c r="A1484" s="24" t="s">
        <v>1560</v>
      </c>
      <c r="B1484" s="31" t="n">
        <v>46255</v>
      </c>
      <c r="C1484" s="24" t="s">
        <v>24</v>
      </c>
      <c r="D1484" s="24" t="s">
        <v>32</v>
      </c>
      <c r="E1484" s="24" t="s">
        <v>84</v>
      </c>
      <c r="F1484" s="24" t="s">
        <v>42</v>
      </c>
      <c r="G1484" s="31" t="n">
        <v>46255</v>
      </c>
      <c r="H1484" s="24"/>
      <c r="I1484" s="24"/>
      <c r="J1484" s="24"/>
      <c r="K1484" s="24" t="n">
        <v>2</v>
      </c>
      <c r="L1484" s="24" t="str">
        <f aca="false">IF(J1484&lt;&gt;"","Enrolled",IF(I1484&lt;&gt;"","Admitted",IF(H1484&lt;&gt;"","Applied",IF(G1484&lt;&gt;"","Contacted","New"))))</f>
        <v>Contacted</v>
      </c>
      <c r="M1484" s="32" t="n">
        <f aca="false">IF(G1484="","",G1484-B1484)</f>
        <v>0</v>
      </c>
      <c r="N1484" s="24" t="str">
        <f aca="false">IF(COUNTIF($A$2:A1484,A1484)&gt;1,"Duplicate ID",IF(C1484="","Missing source",IF(OR(AND(G1484&lt;&gt;"",G1484&lt;B1484),AND(H1484&lt;&gt;"",H1484&lt;B1484),AND(I1484&lt;&gt;"",I1484&lt;H1484),AND(J1484&lt;&gt;"",J1484&lt;I1484)),"Date error","OK")))</f>
        <v>OK</v>
      </c>
    </row>
    <row r="1485" customFormat="false" ht="15" hidden="false" customHeight="false" outlineLevel="0" collapsed="false">
      <c r="A1485" s="24" t="s">
        <v>1561</v>
      </c>
      <c r="B1485" s="31" t="n">
        <v>46255</v>
      </c>
      <c r="C1485" s="24" t="s">
        <v>25</v>
      </c>
      <c r="D1485" s="24" t="s">
        <v>32</v>
      </c>
      <c r="E1485" s="24" t="s">
        <v>94</v>
      </c>
      <c r="F1485" s="24" t="s">
        <v>42</v>
      </c>
      <c r="G1485" s="31" t="n">
        <v>46258</v>
      </c>
      <c r="H1485" s="24"/>
      <c r="I1485" s="24"/>
      <c r="J1485" s="24"/>
      <c r="K1485" s="24" t="n">
        <v>6</v>
      </c>
      <c r="L1485" s="24" t="str">
        <f aca="false">IF(J1485&lt;&gt;"","Enrolled",IF(I1485&lt;&gt;"","Admitted",IF(H1485&lt;&gt;"","Applied",IF(G1485&lt;&gt;"","Contacted","New"))))</f>
        <v>Contacted</v>
      </c>
      <c r="M1485" s="32" t="n">
        <f aca="false">IF(G1485="","",G1485-B1485)</f>
        <v>3</v>
      </c>
      <c r="N1485" s="24" t="str">
        <f aca="false">IF(COUNTIF($A$2:A1485,A1485)&gt;1,"Duplicate ID",IF(C1485="","Missing source",IF(OR(AND(G1485&lt;&gt;"",G1485&lt;B1485),AND(H1485&lt;&gt;"",H1485&lt;B1485),AND(I1485&lt;&gt;"",I1485&lt;H1485),AND(J1485&lt;&gt;"",J1485&lt;I1485)),"Date error","OK")))</f>
        <v>OK</v>
      </c>
    </row>
    <row r="1486" customFormat="false" ht="15" hidden="false" customHeight="false" outlineLevel="0" collapsed="false">
      <c r="A1486" s="24" t="s">
        <v>1562</v>
      </c>
      <c r="B1486" s="31" t="n">
        <v>46255</v>
      </c>
      <c r="C1486" s="24" t="s">
        <v>27</v>
      </c>
      <c r="D1486" s="24" t="s">
        <v>36</v>
      </c>
      <c r="E1486" s="24" t="s">
        <v>94</v>
      </c>
      <c r="F1486" s="24" t="s">
        <v>44</v>
      </c>
      <c r="G1486" s="31" t="n">
        <v>46260</v>
      </c>
      <c r="H1486" s="24"/>
      <c r="I1486" s="24"/>
      <c r="J1486" s="24"/>
      <c r="K1486" s="24" t="n">
        <v>0</v>
      </c>
      <c r="L1486" s="24" t="str">
        <f aca="false">IF(J1486&lt;&gt;"","Enrolled",IF(I1486&lt;&gt;"","Admitted",IF(H1486&lt;&gt;"","Applied",IF(G1486&lt;&gt;"","Contacted","New"))))</f>
        <v>Contacted</v>
      </c>
      <c r="M1486" s="32" t="n">
        <f aca="false">IF(G1486="","",G1486-B1486)</f>
        <v>5</v>
      </c>
      <c r="N1486" s="24" t="str">
        <f aca="false">IF(COUNTIF($A$2:A1486,A1486)&gt;1,"Duplicate ID",IF(C1486="","Missing source",IF(OR(AND(G1486&lt;&gt;"",G1486&lt;B1486),AND(H1486&lt;&gt;"",H1486&lt;B1486),AND(I1486&lt;&gt;"",I1486&lt;H1486),AND(J1486&lt;&gt;"",J1486&lt;I1486)),"Date error","OK")))</f>
        <v>OK</v>
      </c>
    </row>
    <row r="1487" customFormat="false" ht="15" hidden="false" customHeight="false" outlineLevel="0" collapsed="false">
      <c r="A1487" s="24" t="s">
        <v>1563</v>
      </c>
      <c r="B1487" s="31" t="n">
        <v>46255</v>
      </c>
      <c r="C1487" s="24" t="s">
        <v>25</v>
      </c>
      <c r="D1487" s="24" t="s">
        <v>32</v>
      </c>
      <c r="E1487" s="24" t="s">
        <v>94</v>
      </c>
      <c r="F1487" s="24" t="s">
        <v>45</v>
      </c>
      <c r="G1487" s="31" t="n">
        <v>46257</v>
      </c>
      <c r="H1487" s="24"/>
      <c r="I1487" s="24"/>
      <c r="J1487" s="24"/>
      <c r="K1487" s="24" t="n">
        <v>4</v>
      </c>
      <c r="L1487" s="24" t="str">
        <f aca="false">IF(J1487&lt;&gt;"","Enrolled",IF(I1487&lt;&gt;"","Admitted",IF(H1487&lt;&gt;"","Applied",IF(G1487&lt;&gt;"","Contacted","New"))))</f>
        <v>Contacted</v>
      </c>
      <c r="M1487" s="32" t="n">
        <f aca="false">IF(G1487="","",G1487-B1487)</f>
        <v>2</v>
      </c>
      <c r="N1487" s="24" t="str">
        <f aca="false">IF(COUNTIF($A$2:A1487,A1487)&gt;1,"Duplicate ID",IF(C1487="","Missing source",IF(OR(AND(G1487&lt;&gt;"",G1487&lt;B1487),AND(H1487&lt;&gt;"",H1487&lt;B1487),AND(I1487&lt;&gt;"",I1487&lt;H1487),AND(J1487&lt;&gt;"",J1487&lt;I1487)),"Date error","OK")))</f>
        <v>OK</v>
      </c>
    </row>
    <row r="1488" customFormat="false" ht="15" hidden="false" customHeight="false" outlineLevel="0" collapsed="false">
      <c r="A1488" s="24" t="s">
        <v>1564</v>
      </c>
      <c r="B1488" s="31" t="n">
        <v>46255</v>
      </c>
      <c r="C1488" s="24" t="s">
        <v>21</v>
      </c>
      <c r="D1488" s="24" t="s">
        <v>36</v>
      </c>
      <c r="E1488" s="24" t="s">
        <v>89</v>
      </c>
      <c r="F1488" s="24" t="s">
        <v>41</v>
      </c>
      <c r="G1488" s="31" t="n">
        <v>46257</v>
      </c>
      <c r="H1488" s="24"/>
      <c r="I1488" s="24"/>
      <c r="J1488" s="24"/>
      <c r="K1488" s="24" t="n">
        <v>7</v>
      </c>
      <c r="L1488" s="24" t="str">
        <f aca="false">IF(J1488&lt;&gt;"","Enrolled",IF(I1488&lt;&gt;"","Admitted",IF(H1488&lt;&gt;"","Applied",IF(G1488&lt;&gt;"","Contacted","New"))))</f>
        <v>Contacted</v>
      </c>
      <c r="M1488" s="32" t="n">
        <f aca="false">IF(G1488="","",G1488-B1488)</f>
        <v>2</v>
      </c>
      <c r="N1488" s="24" t="str">
        <f aca="false">IF(COUNTIF($A$2:A1488,A1488)&gt;1,"Duplicate ID",IF(C1488="","Missing source",IF(OR(AND(G1488&lt;&gt;"",G1488&lt;B1488),AND(H1488&lt;&gt;"",H1488&lt;B1488),AND(I1488&lt;&gt;"",I1488&lt;H1488),AND(J1488&lt;&gt;"",J1488&lt;I1488)),"Date error","OK")))</f>
        <v>OK</v>
      </c>
    </row>
    <row r="1489" customFormat="false" ht="15" hidden="false" customHeight="false" outlineLevel="0" collapsed="false">
      <c r="A1489" s="24" t="s">
        <v>1565</v>
      </c>
      <c r="B1489" s="31" t="n">
        <v>46255</v>
      </c>
      <c r="C1489" s="24" t="s">
        <v>23</v>
      </c>
      <c r="D1489" s="24" t="s">
        <v>32</v>
      </c>
      <c r="E1489" s="24" t="s">
        <v>94</v>
      </c>
      <c r="F1489" s="24" t="s">
        <v>45</v>
      </c>
      <c r="G1489" s="31" t="n">
        <v>46256</v>
      </c>
      <c r="H1489" s="24"/>
      <c r="I1489" s="24"/>
      <c r="J1489" s="24"/>
      <c r="K1489" s="24" t="n">
        <v>3</v>
      </c>
      <c r="L1489" s="24" t="str">
        <f aca="false">IF(J1489&lt;&gt;"","Enrolled",IF(I1489&lt;&gt;"","Admitted",IF(H1489&lt;&gt;"","Applied",IF(G1489&lt;&gt;"","Contacted","New"))))</f>
        <v>Contacted</v>
      </c>
      <c r="M1489" s="32" t="n">
        <f aca="false">IF(G1489="","",G1489-B1489)</f>
        <v>1</v>
      </c>
      <c r="N1489" s="24" t="str">
        <f aca="false">IF(COUNTIF($A$2:A1489,A1489)&gt;1,"Duplicate ID",IF(C1489="","Missing source",IF(OR(AND(G1489&lt;&gt;"",G1489&lt;B1489),AND(H1489&lt;&gt;"",H1489&lt;B1489),AND(I1489&lt;&gt;"",I1489&lt;H1489),AND(J1489&lt;&gt;"",J1489&lt;I1489)),"Date error","OK")))</f>
        <v>OK</v>
      </c>
    </row>
    <row r="1490" customFormat="false" ht="15" hidden="false" customHeight="false" outlineLevel="0" collapsed="false">
      <c r="A1490" s="24" t="s">
        <v>1566</v>
      </c>
      <c r="B1490" s="31" t="n">
        <v>46256</v>
      </c>
      <c r="C1490" s="24" t="s">
        <v>24</v>
      </c>
      <c r="D1490" s="24" t="s">
        <v>34</v>
      </c>
      <c r="E1490" s="24" t="s">
        <v>89</v>
      </c>
      <c r="F1490" s="24" t="s">
        <v>40</v>
      </c>
      <c r="G1490" s="31" t="n">
        <v>46258</v>
      </c>
      <c r="H1490" s="24"/>
      <c r="I1490" s="24"/>
      <c r="J1490" s="24"/>
      <c r="K1490" s="24" t="n">
        <v>3</v>
      </c>
      <c r="L1490" s="24" t="str">
        <f aca="false">IF(J1490&lt;&gt;"","Enrolled",IF(I1490&lt;&gt;"","Admitted",IF(H1490&lt;&gt;"","Applied",IF(G1490&lt;&gt;"","Contacted","New"))))</f>
        <v>Contacted</v>
      </c>
      <c r="M1490" s="32" t="n">
        <f aca="false">IF(G1490="","",G1490-B1490)</f>
        <v>2</v>
      </c>
      <c r="N1490" s="24" t="str">
        <f aca="false">IF(COUNTIF($A$2:A1490,A1490)&gt;1,"Duplicate ID",IF(C1490="","Missing source",IF(OR(AND(G1490&lt;&gt;"",G1490&lt;B1490),AND(H1490&lt;&gt;"",H1490&lt;B1490),AND(I1490&lt;&gt;"",I1490&lt;H1490),AND(J1490&lt;&gt;"",J1490&lt;I1490)),"Date error","OK")))</f>
        <v>OK</v>
      </c>
    </row>
    <row r="1491" customFormat="false" ht="15" hidden="false" customHeight="false" outlineLevel="0" collapsed="false">
      <c r="A1491" s="24" t="s">
        <v>1567</v>
      </c>
      <c r="B1491" s="31" t="n">
        <v>46256</v>
      </c>
      <c r="C1491" s="24" t="s">
        <v>25</v>
      </c>
      <c r="D1491" s="24" t="s">
        <v>32</v>
      </c>
      <c r="E1491" s="24" t="s">
        <v>79</v>
      </c>
      <c r="F1491" s="24" t="s">
        <v>44</v>
      </c>
      <c r="G1491" s="31" t="n">
        <v>46257</v>
      </c>
      <c r="H1491" s="24"/>
      <c r="I1491" s="24"/>
      <c r="J1491" s="24"/>
      <c r="K1491" s="24" t="n">
        <v>4</v>
      </c>
      <c r="L1491" s="24" t="str">
        <f aca="false">IF(J1491&lt;&gt;"","Enrolled",IF(I1491&lt;&gt;"","Admitted",IF(H1491&lt;&gt;"","Applied",IF(G1491&lt;&gt;"","Contacted","New"))))</f>
        <v>Contacted</v>
      </c>
      <c r="M1491" s="32" t="n">
        <f aca="false">IF(G1491="","",G1491-B1491)</f>
        <v>1</v>
      </c>
      <c r="N1491" s="24" t="str">
        <f aca="false">IF(COUNTIF($A$2:A1491,A1491)&gt;1,"Duplicate ID",IF(C1491="","Missing source",IF(OR(AND(G1491&lt;&gt;"",G1491&lt;B1491),AND(H1491&lt;&gt;"",H1491&lt;B1491),AND(I1491&lt;&gt;"",I1491&lt;H1491),AND(J1491&lt;&gt;"",J1491&lt;I1491)),"Date error","OK")))</f>
        <v>OK</v>
      </c>
    </row>
    <row r="1492" customFormat="false" ht="15" hidden="false" customHeight="false" outlineLevel="0" collapsed="false">
      <c r="A1492" s="24" t="s">
        <v>1568</v>
      </c>
      <c r="B1492" s="31" t="n">
        <v>46256</v>
      </c>
      <c r="C1492" s="24" t="s">
        <v>26</v>
      </c>
      <c r="D1492" s="24" t="s">
        <v>35</v>
      </c>
      <c r="E1492" s="24" t="s">
        <v>79</v>
      </c>
      <c r="F1492" s="24" t="s">
        <v>45</v>
      </c>
      <c r="G1492" s="31" t="n">
        <v>46256</v>
      </c>
      <c r="H1492" s="31" t="n">
        <v>46259</v>
      </c>
      <c r="I1492" s="24"/>
      <c r="J1492" s="24"/>
      <c r="K1492" s="24" t="n">
        <v>1</v>
      </c>
      <c r="L1492" s="24" t="str">
        <f aca="false">IF(J1492&lt;&gt;"","Enrolled",IF(I1492&lt;&gt;"","Admitted",IF(H1492&lt;&gt;"","Applied",IF(G1492&lt;&gt;"","Contacted","New"))))</f>
        <v>Applied</v>
      </c>
      <c r="M1492" s="32" t="n">
        <f aca="false">IF(G1492="","",G1492-B1492)</f>
        <v>0</v>
      </c>
      <c r="N1492" s="24" t="str">
        <f aca="false">IF(COUNTIF($A$2:A1492,A1492)&gt;1,"Duplicate ID",IF(C1492="","Missing source",IF(OR(AND(G1492&lt;&gt;"",G1492&lt;B1492),AND(H1492&lt;&gt;"",H1492&lt;B1492),AND(I1492&lt;&gt;"",I1492&lt;H1492),AND(J1492&lt;&gt;"",J1492&lt;I1492)),"Date error","OK")))</f>
        <v>OK</v>
      </c>
    </row>
    <row r="1493" customFormat="false" ht="15" hidden="false" customHeight="false" outlineLevel="0" collapsed="false">
      <c r="A1493" s="24" t="s">
        <v>1569</v>
      </c>
      <c r="B1493" s="31" t="n">
        <v>46256</v>
      </c>
      <c r="C1493" s="24" t="s">
        <v>27</v>
      </c>
      <c r="D1493" s="24" t="s">
        <v>32</v>
      </c>
      <c r="E1493" s="24" t="s">
        <v>89</v>
      </c>
      <c r="F1493" s="24" t="s">
        <v>45</v>
      </c>
      <c r="G1493" s="31" t="n">
        <v>46259</v>
      </c>
      <c r="H1493" s="24"/>
      <c r="I1493" s="24"/>
      <c r="J1493" s="24"/>
      <c r="K1493" s="24" t="n">
        <v>3</v>
      </c>
      <c r="L1493" s="24" t="str">
        <f aca="false">IF(J1493&lt;&gt;"","Enrolled",IF(I1493&lt;&gt;"","Admitted",IF(H1493&lt;&gt;"","Applied",IF(G1493&lt;&gt;"","Contacted","New"))))</f>
        <v>Contacted</v>
      </c>
      <c r="M1493" s="32" t="n">
        <f aca="false">IF(G1493="","",G1493-B1493)</f>
        <v>3</v>
      </c>
      <c r="N1493" s="24" t="str">
        <f aca="false">IF(COUNTIF($A$2:A1493,A1493)&gt;1,"Duplicate ID",IF(C1493="","Missing source",IF(OR(AND(G1493&lt;&gt;"",G1493&lt;B1493),AND(H1493&lt;&gt;"",H1493&lt;B1493),AND(I1493&lt;&gt;"",I1493&lt;H1493),AND(J1493&lt;&gt;"",J1493&lt;I1493)),"Date error","OK")))</f>
        <v>OK</v>
      </c>
    </row>
    <row r="1494" customFormat="false" ht="15" hidden="false" customHeight="false" outlineLevel="0" collapsed="false">
      <c r="A1494" s="24" t="s">
        <v>1570</v>
      </c>
      <c r="B1494" s="31" t="n">
        <v>46256</v>
      </c>
      <c r="C1494" s="24" t="s">
        <v>25</v>
      </c>
      <c r="D1494" s="24" t="s">
        <v>32</v>
      </c>
      <c r="E1494" s="24" t="s">
        <v>94</v>
      </c>
      <c r="F1494" s="24" t="s">
        <v>43</v>
      </c>
      <c r="G1494" s="31" t="n">
        <v>46257</v>
      </c>
      <c r="H1494" s="24"/>
      <c r="I1494" s="24"/>
      <c r="J1494" s="24"/>
      <c r="K1494" s="24" t="n">
        <v>2</v>
      </c>
      <c r="L1494" s="24" t="str">
        <f aca="false">IF(J1494&lt;&gt;"","Enrolled",IF(I1494&lt;&gt;"","Admitted",IF(H1494&lt;&gt;"","Applied",IF(G1494&lt;&gt;"","Contacted","New"))))</f>
        <v>Contacted</v>
      </c>
      <c r="M1494" s="32" t="n">
        <f aca="false">IF(G1494="","",G1494-B1494)</f>
        <v>1</v>
      </c>
      <c r="N1494" s="24" t="str">
        <f aca="false">IF(COUNTIF($A$2:A1494,A1494)&gt;1,"Duplicate ID",IF(C1494="","Missing source",IF(OR(AND(G1494&lt;&gt;"",G1494&lt;B1494),AND(H1494&lt;&gt;"",H1494&lt;B1494),AND(I1494&lt;&gt;"",I1494&lt;H1494),AND(J1494&lt;&gt;"",J1494&lt;I1494)),"Date error","OK")))</f>
        <v>OK</v>
      </c>
    </row>
    <row r="1495" customFormat="false" ht="15" hidden="false" customHeight="false" outlineLevel="0" collapsed="false">
      <c r="A1495" s="24" t="s">
        <v>1571</v>
      </c>
      <c r="B1495" s="31" t="n">
        <v>46256</v>
      </c>
      <c r="C1495" s="24" t="s">
        <v>24</v>
      </c>
      <c r="D1495" s="24" t="s">
        <v>32</v>
      </c>
      <c r="E1495" s="24" t="s">
        <v>79</v>
      </c>
      <c r="F1495" s="24" t="s">
        <v>40</v>
      </c>
      <c r="G1495" s="31" t="n">
        <v>46256</v>
      </c>
      <c r="H1495" s="24"/>
      <c r="I1495" s="24"/>
      <c r="J1495" s="24"/>
      <c r="K1495" s="24" t="n">
        <v>2</v>
      </c>
      <c r="L1495" s="24" t="str">
        <f aca="false">IF(J1495&lt;&gt;"","Enrolled",IF(I1495&lt;&gt;"","Admitted",IF(H1495&lt;&gt;"","Applied",IF(G1495&lt;&gt;"","Contacted","New"))))</f>
        <v>Contacted</v>
      </c>
      <c r="M1495" s="32" t="n">
        <f aca="false">IF(G1495="","",G1495-B1495)</f>
        <v>0</v>
      </c>
      <c r="N1495" s="24" t="str">
        <f aca="false">IF(COUNTIF($A$2:A1495,A1495)&gt;1,"Duplicate ID",IF(C1495="","Missing source",IF(OR(AND(G1495&lt;&gt;"",G1495&lt;B1495),AND(H1495&lt;&gt;"",H1495&lt;B1495),AND(I1495&lt;&gt;"",I1495&lt;H1495),AND(J1495&lt;&gt;"",J1495&lt;I1495)),"Date error","OK")))</f>
        <v>OK</v>
      </c>
    </row>
    <row r="1496" customFormat="false" ht="15" hidden="false" customHeight="false" outlineLevel="0" collapsed="false">
      <c r="A1496" s="24" t="s">
        <v>1572</v>
      </c>
      <c r="B1496" s="31" t="n">
        <v>46256</v>
      </c>
      <c r="C1496" s="24" t="s">
        <v>26</v>
      </c>
      <c r="D1496" s="24" t="s">
        <v>36</v>
      </c>
      <c r="E1496" s="24" t="s">
        <v>84</v>
      </c>
      <c r="F1496" s="24" t="s">
        <v>41</v>
      </c>
      <c r="G1496" s="31" t="n">
        <v>46257</v>
      </c>
      <c r="H1496" s="24"/>
      <c r="I1496" s="24"/>
      <c r="J1496" s="24"/>
      <c r="K1496" s="24" t="n">
        <v>5</v>
      </c>
      <c r="L1496" s="24" t="str">
        <f aca="false">IF(J1496&lt;&gt;"","Enrolled",IF(I1496&lt;&gt;"","Admitted",IF(H1496&lt;&gt;"","Applied",IF(G1496&lt;&gt;"","Contacted","New"))))</f>
        <v>Contacted</v>
      </c>
      <c r="M1496" s="32" t="n">
        <f aca="false">IF(G1496="","",G1496-B1496)</f>
        <v>1</v>
      </c>
      <c r="N1496" s="24" t="str">
        <f aca="false">IF(COUNTIF($A$2:A1496,A1496)&gt;1,"Duplicate ID",IF(C1496="","Missing source",IF(OR(AND(G1496&lt;&gt;"",G1496&lt;B1496),AND(H1496&lt;&gt;"",H1496&lt;B1496),AND(I1496&lt;&gt;"",I1496&lt;H1496),AND(J1496&lt;&gt;"",J1496&lt;I1496)),"Date error","OK")))</f>
        <v>OK</v>
      </c>
    </row>
    <row r="1497" customFormat="false" ht="15" hidden="false" customHeight="false" outlineLevel="0" collapsed="false">
      <c r="A1497" s="24" t="s">
        <v>1573</v>
      </c>
      <c r="B1497" s="31" t="n">
        <v>46256</v>
      </c>
      <c r="C1497" s="24" t="s">
        <v>25</v>
      </c>
      <c r="D1497" s="24" t="s">
        <v>36</v>
      </c>
      <c r="E1497" s="24" t="s">
        <v>79</v>
      </c>
      <c r="F1497" s="24" t="s">
        <v>42</v>
      </c>
      <c r="G1497" s="24"/>
      <c r="H1497" s="24"/>
      <c r="I1497" s="24"/>
      <c r="J1497" s="24"/>
      <c r="K1497" s="24" t="n">
        <v>0</v>
      </c>
      <c r="L1497" s="24" t="str">
        <f aca="false">IF(J1497&lt;&gt;"","Enrolled",IF(I1497&lt;&gt;"","Admitted",IF(H1497&lt;&gt;"","Applied",IF(G1497&lt;&gt;"","Contacted","New"))))</f>
        <v>New</v>
      </c>
      <c r="M1497" s="32" t="str">
        <f aca="false">IF(G1497="","",G1497-B1497)</f>
        <v/>
      </c>
      <c r="N1497" s="24" t="str">
        <f aca="false">IF(COUNTIF($A$2:A1497,A1497)&gt;1,"Duplicate ID",IF(C1497="","Missing source",IF(OR(AND(G1497&lt;&gt;"",G1497&lt;B1497),AND(H1497&lt;&gt;"",H1497&lt;B1497),AND(I1497&lt;&gt;"",I1497&lt;H1497),AND(J1497&lt;&gt;"",J1497&lt;I1497)),"Date error","OK")))</f>
        <v>OK</v>
      </c>
    </row>
    <row r="1498" customFormat="false" ht="15" hidden="false" customHeight="false" outlineLevel="0" collapsed="false">
      <c r="A1498" s="24" t="s">
        <v>1574</v>
      </c>
      <c r="B1498" s="31" t="n">
        <v>46256</v>
      </c>
      <c r="C1498" s="24" t="s">
        <v>26</v>
      </c>
      <c r="D1498" s="24" t="s">
        <v>35</v>
      </c>
      <c r="E1498" s="24" t="s">
        <v>94</v>
      </c>
      <c r="F1498" s="24" t="s">
        <v>44</v>
      </c>
      <c r="G1498" s="31" t="n">
        <v>46256</v>
      </c>
      <c r="H1498" s="24"/>
      <c r="I1498" s="24"/>
      <c r="J1498" s="24"/>
      <c r="K1498" s="24" t="n">
        <v>3</v>
      </c>
      <c r="L1498" s="24" t="str">
        <f aca="false">IF(J1498&lt;&gt;"","Enrolled",IF(I1498&lt;&gt;"","Admitted",IF(H1498&lt;&gt;"","Applied",IF(G1498&lt;&gt;"","Contacted","New"))))</f>
        <v>Contacted</v>
      </c>
      <c r="M1498" s="32" t="n">
        <f aca="false">IF(G1498="","",G1498-B1498)</f>
        <v>0</v>
      </c>
      <c r="N1498" s="24" t="str">
        <f aca="false">IF(COUNTIF($A$2:A1498,A1498)&gt;1,"Duplicate ID",IF(C1498="","Missing source",IF(OR(AND(G1498&lt;&gt;"",G1498&lt;B1498),AND(H1498&lt;&gt;"",H1498&lt;B1498),AND(I1498&lt;&gt;"",I1498&lt;H1498),AND(J1498&lt;&gt;"",J1498&lt;I1498)),"Date error","OK")))</f>
        <v>OK</v>
      </c>
    </row>
    <row r="1499" customFormat="false" ht="15" hidden="false" customHeight="false" outlineLevel="0" collapsed="false">
      <c r="A1499" s="24" t="s">
        <v>1575</v>
      </c>
      <c r="B1499" s="31" t="n">
        <v>46256</v>
      </c>
      <c r="C1499" s="24" t="s">
        <v>23</v>
      </c>
      <c r="D1499" s="24" t="s">
        <v>35</v>
      </c>
      <c r="E1499" s="24" t="s">
        <v>89</v>
      </c>
      <c r="F1499" s="24" t="s">
        <v>41</v>
      </c>
      <c r="G1499" s="31" t="n">
        <v>46260</v>
      </c>
      <c r="H1499" s="24"/>
      <c r="I1499" s="24"/>
      <c r="J1499" s="24"/>
      <c r="K1499" s="24" t="n">
        <v>3</v>
      </c>
      <c r="L1499" s="24" t="str">
        <f aca="false">IF(J1499&lt;&gt;"","Enrolled",IF(I1499&lt;&gt;"","Admitted",IF(H1499&lt;&gt;"","Applied",IF(G1499&lt;&gt;"","Contacted","New"))))</f>
        <v>Contacted</v>
      </c>
      <c r="M1499" s="32" t="n">
        <f aca="false">IF(G1499="","",G1499-B1499)</f>
        <v>4</v>
      </c>
      <c r="N1499" s="24" t="str">
        <f aca="false">IF(COUNTIF($A$2:A1499,A1499)&gt;1,"Duplicate ID",IF(C1499="","Missing source",IF(OR(AND(G1499&lt;&gt;"",G1499&lt;B1499),AND(H1499&lt;&gt;"",H1499&lt;B1499),AND(I1499&lt;&gt;"",I1499&lt;H1499),AND(J1499&lt;&gt;"",J1499&lt;I1499)),"Date error","OK")))</f>
        <v>OK</v>
      </c>
    </row>
    <row r="1500" customFormat="false" ht="15" hidden="false" customHeight="false" outlineLevel="0" collapsed="false">
      <c r="A1500" s="24" t="s">
        <v>1576</v>
      </c>
      <c r="B1500" s="31" t="n">
        <v>46256</v>
      </c>
      <c r="C1500" s="24" t="s">
        <v>27</v>
      </c>
      <c r="D1500" s="24" t="s">
        <v>34</v>
      </c>
      <c r="E1500" s="24" t="s">
        <v>89</v>
      </c>
      <c r="F1500" s="24" t="s">
        <v>41</v>
      </c>
      <c r="G1500" s="31" t="n">
        <v>46256</v>
      </c>
      <c r="H1500" s="24"/>
      <c r="I1500" s="24"/>
      <c r="J1500" s="24"/>
      <c r="K1500" s="24" t="n">
        <v>7</v>
      </c>
      <c r="L1500" s="24" t="str">
        <f aca="false">IF(J1500&lt;&gt;"","Enrolled",IF(I1500&lt;&gt;"","Admitted",IF(H1500&lt;&gt;"","Applied",IF(G1500&lt;&gt;"","Contacted","New"))))</f>
        <v>Contacted</v>
      </c>
      <c r="M1500" s="32" t="n">
        <f aca="false">IF(G1500="","",G1500-B1500)</f>
        <v>0</v>
      </c>
      <c r="N1500" s="24" t="str">
        <f aca="false">IF(COUNTIF($A$2:A1500,A1500)&gt;1,"Duplicate ID",IF(C1500="","Missing source",IF(OR(AND(G1500&lt;&gt;"",G1500&lt;B1500),AND(H1500&lt;&gt;"",H1500&lt;B1500),AND(I1500&lt;&gt;"",I1500&lt;H1500),AND(J1500&lt;&gt;"",J1500&lt;I1500)),"Date error","OK")))</f>
        <v>OK</v>
      </c>
    </row>
    <row r="1501" customFormat="false" ht="15" hidden="false" customHeight="false" outlineLevel="0" collapsed="false">
      <c r="A1501" s="24" t="s">
        <v>1577</v>
      </c>
      <c r="B1501" s="31" t="n">
        <v>46256</v>
      </c>
      <c r="C1501" s="24" t="s">
        <v>23</v>
      </c>
      <c r="D1501" s="24" t="s">
        <v>34</v>
      </c>
      <c r="E1501" s="24" t="s">
        <v>81</v>
      </c>
      <c r="F1501" s="24" t="s">
        <v>42</v>
      </c>
      <c r="G1501" s="31" t="n">
        <v>46257</v>
      </c>
      <c r="H1501" s="24"/>
      <c r="I1501" s="24"/>
      <c r="J1501" s="24"/>
      <c r="K1501" s="24" t="n">
        <v>4</v>
      </c>
      <c r="L1501" s="24" t="str">
        <f aca="false">IF(J1501&lt;&gt;"","Enrolled",IF(I1501&lt;&gt;"","Admitted",IF(H1501&lt;&gt;"","Applied",IF(G1501&lt;&gt;"","Contacted","New"))))</f>
        <v>Contacted</v>
      </c>
      <c r="M1501" s="32" t="n">
        <f aca="false">IF(G1501="","",G1501-B1501)</f>
        <v>1</v>
      </c>
      <c r="N1501" s="24" t="str">
        <f aca="false">IF(COUNTIF($A$2:A1501,A1501)&gt;1,"Duplicate ID",IF(C1501="","Missing source",IF(OR(AND(G1501&lt;&gt;"",G1501&lt;B1501),AND(H1501&lt;&gt;"",H1501&lt;B1501),AND(I1501&lt;&gt;"",I1501&lt;H1501),AND(J1501&lt;&gt;"",J1501&lt;I1501)),"Date error","OK")))</f>
        <v>OK</v>
      </c>
    </row>
    <row r="1502" customFormat="false" ht="15" hidden="false" customHeight="false" outlineLevel="0" collapsed="false">
      <c r="A1502" s="24" t="s">
        <v>1578</v>
      </c>
      <c r="B1502" s="31" t="n">
        <v>46256</v>
      </c>
      <c r="C1502" s="24" t="s">
        <v>27</v>
      </c>
      <c r="D1502" s="24" t="s">
        <v>36</v>
      </c>
      <c r="E1502" s="24" t="s">
        <v>84</v>
      </c>
      <c r="F1502" s="24" t="s">
        <v>43</v>
      </c>
      <c r="G1502" s="31" t="n">
        <v>46257</v>
      </c>
      <c r="H1502" s="24"/>
      <c r="I1502" s="24"/>
      <c r="J1502" s="24"/>
      <c r="K1502" s="24" t="n">
        <v>3</v>
      </c>
      <c r="L1502" s="24" t="str">
        <f aca="false">IF(J1502&lt;&gt;"","Enrolled",IF(I1502&lt;&gt;"","Admitted",IF(H1502&lt;&gt;"","Applied",IF(G1502&lt;&gt;"","Contacted","New"))))</f>
        <v>Contacted</v>
      </c>
      <c r="M1502" s="32" t="n">
        <f aca="false">IF(G1502="","",G1502-B1502)</f>
        <v>1</v>
      </c>
      <c r="N1502" s="24" t="str">
        <f aca="false">IF(COUNTIF($A$2:A1502,A1502)&gt;1,"Duplicate ID",IF(C1502="","Missing source",IF(OR(AND(G1502&lt;&gt;"",G1502&lt;B1502),AND(H1502&lt;&gt;"",H1502&lt;B1502),AND(I1502&lt;&gt;"",I1502&lt;H1502),AND(J1502&lt;&gt;"",J1502&lt;I1502)),"Date error","OK")))</f>
        <v>OK</v>
      </c>
    </row>
    <row r="1503" customFormat="false" ht="15" hidden="false" customHeight="false" outlineLevel="0" collapsed="false">
      <c r="A1503" s="24" t="s">
        <v>1579</v>
      </c>
      <c r="B1503" s="31" t="n">
        <v>46257</v>
      </c>
      <c r="C1503" s="24" t="s">
        <v>25</v>
      </c>
      <c r="D1503" s="24" t="s">
        <v>32</v>
      </c>
      <c r="E1503" s="24" t="s">
        <v>89</v>
      </c>
      <c r="F1503" s="24" t="s">
        <v>45</v>
      </c>
      <c r="G1503" s="31" t="n">
        <v>46258</v>
      </c>
      <c r="H1503" s="24"/>
      <c r="I1503" s="24"/>
      <c r="J1503" s="24"/>
      <c r="K1503" s="24" t="n">
        <v>2</v>
      </c>
      <c r="L1503" s="24" t="str">
        <f aca="false">IF(J1503&lt;&gt;"","Enrolled",IF(I1503&lt;&gt;"","Admitted",IF(H1503&lt;&gt;"","Applied",IF(G1503&lt;&gt;"","Contacted","New"))))</f>
        <v>Contacted</v>
      </c>
      <c r="M1503" s="32" t="n">
        <f aca="false">IF(G1503="","",G1503-B1503)</f>
        <v>1</v>
      </c>
      <c r="N1503" s="24" t="str">
        <f aca="false">IF(COUNTIF($A$2:A1503,A1503)&gt;1,"Duplicate ID",IF(C1503="","Missing source",IF(OR(AND(G1503&lt;&gt;"",G1503&lt;B1503),AND(H1503&lt;&gt;"",H1503&lt;B1503),AND(I1503&lt;&gt;"",I1503&lt;H1503),AND(J1503&lt;&gt;"",J1503&lt;I1503)),"Date error","OK")))</f>
        <v>OK</v>
      </c>
    </row>
    <row r="1504" customFormat="false" ht="15" hidden="false" customHeight="false" outlineLevel="0" collapsed="false">
      <c r="A1504" s="24" t="s">
        <v>1580</v>
      </c>
      <c r="B1504" s="31" t="n">
        <v>46257</v>
      </c>
      <c r="C1504" s="24" t="s">
        <v>25</v>
      </c>
      <c r="D1504" s="24" t="s">
        <v>33</v>
      </c>
      <c r="E1504" s="24" t="s">
        <v>89</v>
      </c>
      <c r="F1504" s="24" t="s">
        <v>43</v>
      </c>
      <c r="G1504" s="24"/>
      <c r="H1504" s="24"/>
      <c r="I1504" s="24"/>
      <c r="J1504" s="24"/>
      <c r="K1504" s="24" t="n">
        <v>0</v>
      </c>
      <c r="L1504" s="24" t="str">
        <f aca="false">IF(J1504&lt;&gt;"","Enrolled",IF(I1504&lt;&gt;"","Admitted",IF(H1504&lt;&gt;"","Applied",IF(G1504&lt;&gt;"","Contacted","New"))))</f>
        <v>New</v>
      </c>
      <c r="M1504" s="32" t="str">
        <f aca="false">IF(G1504="","",G1504-B1504)</f>
        <v/>
      </c>
      <c r="N1504" s="24" t="str">
        <f aca="false">IF(COUNTIF($A$2:A1504,A1504)&gt;1,"Duplicate ID",IF(C1504="","Missing source",IF(OR(AND(G1504&lt;&gt;"",G1504&lt;B1504),AND(H1504&lt;&gt;"",H1504&lt;B1504),AND(I1504&lt;&gt;"",I1504&lt;H1504),AND(J1504&lt;&gt;"",J1504&lt;I1504)),"Date error","OK")))</f>
        <v>OK</v>
      </c>
    </row>
    <row r="1505" customFormat="false" ht="15" hidden="false" customHeight="false" outlineLevel="0" collapsed="false">
      <c r="A1505" s="24" t="s">
        <v>1581</v>
      </c>
      <c r="B1505" s="31" t="n">
        <v>46257</v>
      </c>
      <c r="C1505" s="24" t="s">
        <v>23</v>
      </c>
      <c r="D1505" s="24" t="s">
        <v>33</v>
      </c>
      <c r="E1505" s="24" t="s">
        <v>79</v>
      </c>
      <c r="F1505" s="24" t="s">
        <v>41</v>
      </c>
      <c r="G1505" s="31" t="n">
        <v>46258</v>
      </c>
      <c r="H1505" s="24"/>
      <c r="I1505" s="24"/>
      <c r="J1505" s="24"/>
      <c r="K1505" s="24" t="n">
        <v>7</v>
      </c>
      <c r="L1505" s="24" t="str">
        <f aca="false">IF(J1505&lt;&gt;"","Enrolled",IF(I1505&lt;&gt;"","Admitted",IF(H1505&lt;&gt;"","Applied",IF(G1505&lt;&gt;"","Contacted","New"))))</f>
        <v>Contacted</v>
      </c>
      <c r="M1505" s="32" t="n">
        <f aca="false">IF(G1505="","",G1505-B1505)</f>
        <v>1</v>
      </c>
      <c r="N1505" s="24" t="str">
        <f aca="false">IF(COUNTIF($A$2:A1505,A1505)&gt;1,"Duplicate ID",IF(C1505="","Missing source",IF(OR(AND(G1505&lt;&gt;"",G1505&lt;B1505),AND(H1505&lt;&gt;"",H1505&lt;B1505),AND(I1505&lt;&gt;"",I1505&lt;H1505),AND(J1505&lt;&gt;"",J1505&lt;I1505)),"Date error","OK")))</f>
        <v>OK</v>
      </c>
    </row>
    <row r="1506" customFormat="false" ht="15" hidden="false" customHeight="false" outlineLevel="0" collapsed="false">
      <c r="A1506" s="24" t="s">
        <v>1582</v>
      </c>
      <c r="B1506" s="31" t="n">
        <v>46257</v>
      </c>
      <c r="C1506" s="24" t="s">
        <v>22</v>
      </c>
      <c r="D1506" s="24" t="s">
        <v>33</v>
      </c>
      <c r="E1506" s="24" t="s">
        <v>79</v>
      </c>
      <c r="F1506" s="24" t="s">
        <v>44</v>
      </c>
      <c r="G1506" s="31" t="n">
        <v>46264</v>
      </c>
      <c r="H1506" s="24"/>
      <c r="I1506" s="24"/>
      <c r="J1506" s="24"/>
      <c r="K1506" s="24" t="n">
        <v>4</v>
      </c>
      <c r="L1506" s="24" t="str">
        <f aca="false">IF(J1506&lt;&gt;"","Enrolled",IF(I1506&lt;&gt;"","Admitted",IF(H1506&lt;&gt;"","Applied",IF(G1506&lt;&gt;"","Contacted","New"))))</f>
        <v>Contacted</v>
      </c>
      <c r="M1506" s="32" t="n">
        <f aca="false">IF(G1506="","",G1506-B1506)</f>
        <v>7</v>
      </c>
      <c r="N1506" s="24" t="str">
        <f aca="false">IF(COUNTIF($A$2:A1506,A1506)&gt;1,"Duplicate ID",IF(C1506="","Missing source",IF(OR(AND(G1506&lt;&gt;"",G1506&lt;B1506),AND(H1506&lt;&gt;"",H1506&lt;B1506),AND(I1506&lt;&gt;"",I1506&lt;H1506),AND(J1506&lt;&gt;"",J1506&lt;I1506)),"Date error","OK")))</f>
        <v>OK</v>
      </c>
    </row>
    <row r="1507" customFormat="false" ht="15" hidden="false" customHeight="false" outlineLevel="0" collapsed="false">
      <c r="A1507" s="24" t="s">
        <v>1583</v>
      </c>
      <c r="B1507" s="31" t="n">
        <v>46257</v>
      </c>
      <c r="C1507" s="24" t="s">
        <v>25</v>
      </c>
      <c r="D1507" s="24" t="s">
        <v>34</v>
      </c>
      <c r="E1507" s="24" t="s">
        <v>89</v>
      </c>
      <c r="F1507" s="24" t="s">
        <v>41</v>
      </c>
      <c r="G1507" s="31" t="n">
        <v>46258</v>
      </c>
      <c r="H1507" s="24"/>
      <c r="I1507" s="24"/>
      <c r="J1507" s="24"/>
      <c r="K1507" s="24" t="n">
        <v>4</v>
      </c>
      <c r="L1507" s="24" t="str">
        <f aca="false">IF(J1507&lt;&gt;"","Enrolled",IF(I1507&lt;&gt;"","Admitted",IF(H1507&lt;&gt;"","Applied",IF(G1507&lt;&gt;"","Contacted","New"))))</f>
        <v>Contacted</v>
      </c>
      <c r="M1507" s="32" t="n">
        <f aca="false">IF(G1507="","",G1507-B1507)</f>
        <v>1</v>
      </c>
      <c r="N1507" s="24" t="str">
        <f aca="false">IF(COUNTIF($A$2:A1507,A1507)&gt;1,"Duplicate ID",IF(C1507="","Missing source",IF(OR(AND(G1507&lt;&gt;"",G1507&lt;B1507),AND(H1507&lt;&gt;"",H1507&lt;B1507),AND(I1507&lt;&gt;"",I1507&lt;H1507),AND(J1507&lt;&gt;"",J1507&lt;I1507)),"Date error","OK")))</f>
        <v>OK</v>
      </c>
    </row>
    <row r="1508" customFormat="false" ht="15" hidden="false" customHeight="false" outlineLevel="0" collapsed="false">
      <c r="A1508" s="24" t="s">
        <v>1584</v>
      </c>
      <c r="B1508" s="31" t="n">
        <v>46257</v>
      </c>
      <c r="C1508" s="24" t="s">
        <v>26</v>
      </c>
      <c r="D1508" s="24" t="s">
        <v>35</v>
      </c>
      <c r="E1508" s="24" t="s">
        <v>89</v>
      </c>
      <c r="F1508" s="24" t="s">
        <v>45</v>
      </c>
      <c r="G1508" s="31" t="n">
        <v>46263</v>
      </c>
      <c r="H1508" s="24"/>
      <c r="I1508" s="24"/>
      <c r="J1508" s="24"/>
      <c r="K1508" s="24" t="n">
        <v>2</v>
      </c>
      <c r="L1508" s="24" t="str">
        <f aca="false">IF(J1508&lt;&gt;"","Enrolled",IF(I1508&lt;&gt;"","Admitted",IF(H1508&lt;&gt;"","Applied",IF(G1508&lt;&gt;"","Contacted","New"))))</f>
        <v>Contacted</v>
      </c>
      <c r="M1508" s="32" t="n">
        <f aca="false">IF(G1508="","",G1508-B1508)</f>
        <v>6</v>
      </c>
      <c r="N1508" s="24" t="str">
        <f aca="false">IF(COUNTIF($A$2:A1508,A1508)&gt;1,"Duplicate ID",IF(C1508="","Missing source",IF(OR(AND(G1508&lt;&gt;"",G1508&lt;B1508),AND(H1508&lt;&gt;"",H1508&lt;B1508),AND(I1508&lt;&gt;"",I1508&lt;H1508),AND(J1508&lt;&gt;"",J1508&lt;I1508)),"Date error","OK")))</f>
        <v>OK</v>
      </c>
    </row>
    <row r="1509" customFormat="false" ht="15" hidden="false" customHeight="false" outlineLevel="0" collapsed="false">
      <c r="A1509" s="24" t="s">
        <v>1585</v>
      </c>
      <c r="B1509" s="31" t="n">
        <v>46257</v>
      </c>
      <c r="C1509" s="24" t="s">
        <v>23</v>
      </c>
      <c r="D1509" s="24" t="s">
        <v>34</v>
      </c>
      <c r="E1509" s="24" t="s">
        <v>79</v>
      </c>
      <c r="F1509" s="24" t="s">
        <v>41</v>
      </c>
      <c r="G1509" s="31" t="n">
        <v>46259</v>
      </c>
      <c r="H1509" s="31" t="n">
        <v>46264</v>
      </c>
      <c r="I1509" s="24"/>
      <c r="J1509" s="24"/>
      <c r="K1509" s="24" t="n">
        <v>4</v>
      </c>
      <c r="L1509" s="24" t="str">
        <f aca="false">IF(J1509&lt;&gt;"","Enrolled",IF(I1509&lt;&gt;"","Admitted",IF(H1509&lt;&gt;"","Applied",IF(G1509&lt;&gt;"","Contacted","New"))))</f>
        <v>Applied</v>
      </c>
      <c r="M1509" s="32" t="n">
        <f aca="false">IF(G1509="","",G1509-B1509)</f>
        <v>2</v>
      </c>
      <c r="N1509" s="24" t="str">
        <f aca="false">IF(COUNTIF($A$2:A1509,A1509)&gt;1,"Duplicate ID",IF(C1509="","Missing source",IF(OR(AND(G1509&lt;&gt;"",G1509&lt;B1509),AND(H1509&lt;&gt;"",H1509&lt;B1509),AND(I1509&lt;&gt;"",I1509&lt;H1509),AND(J1509&lt;&gt;"",J1509&lt;I1509)),"Date error","OK")))</f>
        <v>OK</v>
      </c>
    </row>
    <row r="1510" customFormat="false" ht="15" hidden="false" customHeight="false" outlineLevel="0" collapsed="false">
      <c r="A1510" s="24" t="s">
        <v>1586</v>
      </c>
      <c r="B1510" s="31" t="n">
        <v>46257</v>
      </c>
      <c r="C1510" s="24" t="s">
        <v>25</v>
      </c>
      <c r="D1510" s="24" t="s">
        <v>32</v>
      </c>
      <c r="E1510" s="24" t="s">
        <v>89</v>
      </c>
      <c r="F1510" s="24" t="s">
        <v>45</v>
      </c>
      <c r="G1510" s="31" t="n">
        <v>46258</v>
      </c>
      <c r="H1510" s="24"/>
      <c r="I1510" s="24"/>
      <c r="J1510" s="24"/>
      <c r="K1510" s="24" t="n">
        <v>3</v>
      </c>
      <c r="L1510" s="24" t="str">
        <f aca="false">IF(J1510&lt;&gt;"","Enrolled",IF(I1510&lt;&gt;"","Admitted",IF(H1510&lt;&gt;"","Applied",IF(G1510&lt;&gt;"","Contacted","New"))))</f>
        <v>Contacted</v>
      </c>
      <c r="M1510" s="32" t="n">
        <f aca="false">IF(G1510="","",G1510-B1510)</f>
        <v>1</v>
      </c>
      <c r="N1510" s="24" t="str">
        <f aca="false">IF(COUNTIF($A$2:A1510,A1510)&gt;1,"Duplicate ID",IF(C1510="","Missing source",IF(OR(AND(G1510&lt;&gt;"",G1510&lt;B1510),AND(H1510&lt;&gt;"",H1510&lt;B1510),AND(I1510&lt;&gt;"",I1510&lt;H1510),AND(J1510&lt;&gt;"",J1510&lt;I1510)),"Date error","OK")))</f>
        <v>OK</v>
      </c>
    </row>
    <row r="1511" customFormat="false" ht="15" hidden="false" customHeight="false" outlineLevel="0" collapsed="false">
      <c r="A1511" s="24" t="s">
        <v>1587</v>
      </c>
      <c r="B1511" s="31" t="n">
        <v>46257</v>
      </c>
      <c r="C1511" s="24" t="s">
        <v>26</v>
      </c>
      <c r="D1511" s="24" t="s">
        <v>36</v>
      </c>
      <c r="E1511" s="24" t="s">
        <v>94</v>
      </c>
      <c r="F1511" s="24" t="s">
        <v>44</v>
      </c>
      <c r="G1511" s="31" t="n">
        <v>46257</v>
      </c>
      <c r="H1511" s="24"/>
      <c r="I1511" s="24"/>
      <c r="J1511" s="24"/>
      <c r="K1511" s="24" t="n">
        <v>0</v>
      </c>
      <c r="L1511" s="24" t="str">
        <f aca="false">IF(J1511&lt;&gt;"","Enrolled",IF(I1511&lt;&gt;"","Admitted",IF(H1511&lt;&gt;"","Applied",IF(G1511&lt;&gt;"","Contacted","New"))))</f>
        <v>Contacted</v>
      </c>
      <c r="M1511" s="32" t="n">
        <f aca="false">IF(G1511="","",G1511-B1511)</f>
        <v>0</v>
      </c>
      <c r="N1511" s="24" t="str">
        <f aca="false">IF(COUNTIF($A$2:A1511,A1511)&gt;1,"Duplicate ID",IF(C1511="","Missing source",IF(OR(AND(G1511&lt;&gt;"",G1511&lt;B1511),AND(H1511&lt;&gt;"",H1511&lt;B1511),AND(I1511&lt;&gt;"",I1511&lt;H1511),AND(J1511&lt;&gt;"",J1511&lt;I1511)),"Date error","OK")))</f>
        <v>OK</v>
      </c>
    </row>
    <row r="1512" customFormat="false" ht="15" hidden="false" customHeight="false" outlineLevel="0" collapsed="false">
      <c r="A1512" s="24" t="s">
        <v>1588</v>
      </c>
      <c r="B1512" s="31" t="n">
        <v>46257</v>
      </c>
      <c r="C1512" s="24" t="s">
        <v>26</v>
      </c>
      <c r="D1512" s="24" t="s">
        <v>32</v>
      </c>
      <c r="E1512" s="24" t="s">
        <v>79</v>
      </c>
      <c r="F1512" s="24" t="s">
        <v>43</v>
      </c>
      <c r="G1512" s="31" t="n">
        <v>46257</v>
      </c>
      <c r="H1512" s="24"/>
      <c r="I1512" s="24"/>
      <c r="J1512" s="24"/>
      <c r="K1512" s="24" t="n">
        <v>1</v>
      </c>
      <c r="L1512" s="24" t="str">
        <f aca="false">IF(J1512&lt;&gt;"","Enrolled",IF(I1512&lt;&gt;"","Admitted",IF(H1512&lt;&gt;"","Applied",IF(G1512&lt;&gt;"","Contacted","New"))))</f>
        <v>Contacted</v>
      </c>
      <c r="M1512" s="32" t="n">
        <f aca="false">IF(G1512="","",G1512-B1512)</f>
        <v>0</v>
      </c>
      <c r="N1512" s="24" t="str">
        <f aca="false">IF(COUNTIF($A$2:A1512,A1512)&gt;1,"Duplicate ID",IF(C1512="","Missing source",IF(OR(AND(G1512&lt;&gt;"",G1512&lt;B1512),AND(H1512&lt;&gt;"",H1512&lt;B1512),AND(I1512&lt;&gt;"",I1512&lt;H1512),AND(J1512&lt;&gt;"",J1512&lt;I1512)),"Date error","OK")))</f>
        <v>OK</v>
      </c>
    </row>
    <row r="1513" customFormat="false" ht="15" hidden="false" customHeight="false" outlineLevel="0" collapsed="false">
      <c r="A1513" s="24" t="s">
        <v>1589</v>
      </c>
      <c r="B1513" s="31" t="n">
        <v>46257</v>
      </c>
      <c r="C1513" s="24" t="s">
        <v>26</v>
      </c>
      <c r="D1513" s="24" t="s">
        <v>34</v>
      </c>
      <c r="E1513" s="24" t="s">
        <v>89</v>
      </c>
      <c r="F1513" s="24" t="s">
        <v>41</v>
      </c>
      <c r="G1513" s="31" t="n">
        <v>46258</v>
      </c>
      <c r="H1513" s="24"/>
      <c r="I1513" s="24"/>
      <c r="J1513" s="24"/>
      <c r="K1513" s="24" t="n">
        <v>4</v>
      </c>
      <c r="L1513" s="24" t="str">
        <f aca="false">IF(J1513&lt;&gt;"","Enrolled",IF(I1513&lt;&gt;"","Admitted",IF(H1513&lt;&gt;"","Applied",IF(G1513&lt;&gt;"","Contacted","New"))))</f>
        <v>Contacted</v>
      </c>
      <c r="M1513" s="32" t="n">
        <f aca="false">IF(G1513="","",G1513-B1513)</f>
        <v>1</v>
      </c>
      <c r="N1513" s="24" t="str">
        <f aca="false">IF(COUNTIF($A$2:A1513,A1513)&gt;1,"Duplicate ID",IF(C1513="","Missing source",IF(OR(AND(G1513&lt;&gt;"",G1513&lt;B1513),AND(H1513&lt;&gt;"",H1513&lt;B1513),AND(I1513&lt;&gt;"",I1513&lt;H1513),AND(J1513&lt;&gt;"",J1513&lt;I1513)),"Date error","OK")))</f>
        <v>OK</v>
      </c>
    </row>
    <row r="1514" customFormat="false" ht="15" hidden="false" customHeight="false" outlineLevel="0" collapsed="false">
      <c r="A1514" s="24" t="s">
        <v>1590</v>
      </c>
      <c r="B1514" s="31" t="n">
        <v>46257</v>
      </c>
      <c r="C1514" s="24" t="s">
        <v>26</v>
      </c>
      <c r="D1514" s="24" t="s">
        <v>33</v>
      </c>
      <c r="E1514" s="24" t="s">
        <v>79</v>
      </c>
      <c r="F1514" s="24" t="s">
        <v>40</v>
      </c>
      <c r="G1514" s="31" t="n">
        <v>46258</v>
      </c>
      <c r="H1514" s="24"/>
      <c r="I1514" s="24"/>
      <c r="J1514" s="24"/>
      <c r="K1514" s="24" t="n">
        <v>1</v>
      </c>
      <c r="L1514" s="24" t="str">
        <f aca="false">IF(J1514&lt;&gt;"","Enrolled",IF(I1514&lt;&gt;"","Admitted",IF(H1514&lt;&gt;"","Applied",IF(G1514&lt;&gt;"","Contacted","New"))))</f>
        <v>Contacted</v>
      </c>
      <c r="M1514" s="32" t="n">
        <f aca="false">IF(G1514="","",G1514-B1514)</f>
        <v>1</v>
      </c>
      <c r="N1514" s="24" t="str">
        <f aca="false">IF(COUNTIF($A$2:A1514,A1514)&gt;1,"Duplicate ID",IF(C1514="","Missing source",IF(OR(AND(G1514&lt;&gt;"",G1514&lt;B1514),AND(H1514&lt;&gt;"",H1514&lt;B1514),AND(I1514&lt;&gt;"",I1514&lt;H1514),AND(J1514&lt;&gt;"",J1514&lt;I1514)),"Date error","OK")))</f>
        <v>OK</v>
      </c>
    </row>
    <row r="1515" customFormat="false" ht="15" hidden="false" customHeight="false" outlineLevel="0" collapsed="false">
      <c r="A1515" s="24" t="s">
        <v>1591</v>
      </c>
      <c r="B1515" s="31" t="n">
        <v>46257</v>
      </c>
      <c r="C1515" s="24" t="s">
        <v>26</v>
      </c>
      <c r="D1515" s="24" t="s">
        <v>34</v>
      </c>
      <c r="E1515" s="24" t="s">
        <v>89</v>
      </c>
      <c r="F1515" s="24" t="s">
        <v>41</v>
      </c>
      <c r="G1515" s="31" t="n">
        <v>46257</v>
      </c>
      <c r="H1515" s="31" t="n">
        <v>46264</v>
      </c>
      <c r="I1515" s="24"/>
      <c r="J1515" s="24"/>
      <c r="K1515" s="24" t="n">
        <v>7</v>
      </c>
      <c r="L1515" s="24" t="str">
        <f aca="false">IF(J1515&lt;&gt;"","Enrolled",IF(I1515&lt;&gt;"","Admitted",IF(H1515&lt;&gt;"","Applied",IF(G1515&lt;&gt;"","Contacted","New"))))</f>
        <v>Applied</v>
      </c>
      <c r="M1515" s="32" t="n">
        <f aca="false">IF(G1515="","",G1515-B1515)</f>
        <v>0</v>
      </c>
      <c r="N1515" s="24" t="str">
        <f aca="false">IF(COUNTIF($A$2:A1515,A1515)&gt;1,"Duplicate ID",IF(C1515="","Missing source",IF(OR(AND(G1515&lt;&gt;"",G1515&lt;B1515),AND(H1515&lt;&gt;"",H1515&lt;B1515),AND(I1515&lt;&gt;"",I1515&lt;H1515),AND(J1515&lt;&gt;"",J1515&lt;I1515)),"Date error","OK")))</f>
        <v>OK</v>
      </c>
    </row>
    <row r="1516" customFormat="false" ht="15" hidden="false" customHeight="false" outlineLevel="0" collapsed="false">
      <c r="A1516" s="24" t="s">
        <v>1592</v>
      </c>
      <c r="B1516" s="31" t="n">
        <v>46257</v>
      </c>
      <c r="C1516" s="24" t="s">
        <v>22</v>
      </c>
      <c r="D1516" s="24" t="s">
        <v>34</v>
      </c>
      <c r="E1516" s="24" t="s">
        <v>89</v>
      </c>
      <c r="F1516" s="24" t="s">
        <v>41</v>
      </c>
      <c r="G1516" s="31" t="n">
        <v>46257</v>
      </c>
      <c r="H1516" s="24"/>
      <c r="I1516" s="24"/>
      <c r="J1516" s="24"/>
      <c r="K1516" s="24" t="n">
        <v>4</v>
      </c>
      <c r="L1516" s="24" t="str">
        <f aca="false">IF(J1516&lt;&gt;"","Enrolled",IF(I1516&lt;&gt;"","Admitted",IF(H1516&lt;&gt;"","Applied",IF(G1516&lt;&gt;"","Contacted","New"))))</f>
        <v>Contacted</v>
      </c>
      <c r="M1516" s="32" t="n">
        <f aca="false">IF(G1516="","",G1516-B1516)</f>
        <v>0</v>
      </c>
      <c r="N1516" s="24" t="str">
        <f aca="false">IF(COUNTIF($A$2:A1516,A1516)&gt;1,"Duplicate ID",IF(C1516="","Missing source",IF(OR(AND(G1516&lt;&gt;"",G1516&lt;B1516),AND(H1516&lt;&gt;"",H1516&lt;B1516),AND(I1516&lt;&gt;"",I1516&lt;H1516),AND(J1516&lt;&gt;"",J1516&lt;I1516)),"Date error","OK")))</f>
        <v>OK</v>
      </c>
    </row>
    <row r="1517" customFormat="false" ht="15" hidden="false" customHeight="false" outlineLevel="0" collapsed="false">
      <c r="A1517" s="24" t="s">
        <v>1593</v>
      </c>
      <c r="B1517" s="31" t="n">
        <v>46257</v>
      </c>
      <c r="C1517" s="24" t="s">
        <v>22</v>
      </c>
      <c r="D1517" s="24" t="s">
        <v>36</v>
      </c>
      <c r="E1517" s="24" t="s">
        <v>81</v>
      </c>
      <c r="F1517" s="24" t="s">
        <v>42</v>
      </c>
      <c r="G1517" s="31" t="n">
        <v>46257</v>
      </c>
      <c r="H1517" s="24"/>
      <c r="I1517" s="24"/>
      <c r="J1517" s="24"/>
      <c r="K1517" s="24" t="n">
        <v>6</v>
      </c>
      <c r="L1517" s="24" t="str">
        <f aca="false">IF(J1517&lt;&gt;"","Enrolled",IF(I1517&lt;&gt;"","Admitted",IF(H1517&lt;&gt;"","Applied",IF(G1517&lt;&gt;"","Contacted","New"))))</f>
        <v>Contacted</v>
      </c>
      <c r="M1517" s="32" t="n">
        <f aca="false">IF(G1517="","",G1517-B1517)</f>
        <v>0</v>
      </c>
      <c r="N1517" s="24" t="str">
        <f aca="false">IF(COUNTIF($A$2:A1517,A1517)&gt;1,"Duplicate ID",IF(C1517="","Missing source",IF(OR(AND(G1517&lt;&gt;"",G1517&lt;B1517),AND(H1517&lt;&gt;"",H1517&lt;B1517),AND(I1517&lt;&gt;"",I1517&lt;H1517),AND(J1517&lt;&gt;"",J1517&lt;I1517)),"Date error","OK")))</f>
        <v>OK</v>
      </c>
    </row>
    <row r="1518" customFormat="false" ht="15" hidden="false" customHeight="false" outlineLevel="0" collapsed="false">
      <c r="A1518" s="24" t="s">
        <v>1594</v>
      </c>
      <c r="B1518" s="31" t="n">
        <v>46257</v>
      </c>
      <c r="C1518" s="24" t="s">
        <v>23</v>
      </c>
      <c r="D1518" s="24" t="s">
        <v>32</v>
      </c>
      <c r="E1518" s="24" t="s">
        <v>89</v>
      </c>
      <c r="F1518" s="24" t="s">
        <v>40</v>
      </c>
      <c r="G1518" s="31" t="n">
        <v>46257</v>
      </c>
      <c r="H1518" s="24"/>
      <c r="I1518" s="24"/>
      <c r="J1518" s="24"/>
      <c r="K1518" s="24" t="n">
        <v>3</v>
      </c>
      <c r="L1518" s="24" t="str">
        <f aca="false">IF(J1518&lt;&gt;"","Enrolled",IF(I1518&lt;&gt;"","Admitted",IF(H1518&lt;&gt;"","Applied",IF(G1518&lt;&gt;"","Contacted","New"))))</f>
        <v>Contacted</v>
      </c>
      <c r="M1518" s="32" t="n">
        <f aca="false">IF(G1518="","",G1518-B1518)</f>
        <v>0</v>
      </c>
      <c r="N1518" s="24" t="str">
        <f aca="false">IF(COUNTIF($A$2:A1518,A1518)&gt;1,"Duplicate ID",IF(C1518="","Missing source",IF(OR(AND(G1518&lt;&gt;"",G1518&lt;B1518),AND(H1518&lt;&gt;"",H1518&lt;B1518),AND(I1518&lt;&gt;"",I1518&lt;H1518),AND(J1518&lt;&gt;"",J1518&lt;I1518)),"Date error","OK")))</f>
        <v>OK</v>
      </c>
    </row>
    <row r="1519" customFormat="false" ht="15" hidden="false" customHeight="false" outlineLevel="0" collapsed="false">
      <c r="A1519" s="24" t="s">
        <v>1595</v>
      </c>
      <c r="B1519" s="31" t="n">
        <v>46257</v>
      </c>
      <c r="C1519" s="24" t="s">
        <v>23</v>
      </c>
      <c r="D1519" s="24" t="s">
        <v>33</v>
      </c>
      <c r="E1519" s="24" t="s">
        <v>89</v>
      </c>
      <c r="F1519" s="24" t="s">
        <v>42</v>
      </c>
      <c r="G1519" s="31" t="n">
        <v>46261</v>
      </c>
      <c r="H1519" s="24"/>
      <c r="I1519" s="24"/>
      <c r="J1519" s="24"/>
      <c r="K1519" s="24" t="n">
        <v>0</v>
      </c>
      <c r="L1519" s="24" t="str">
        <f aca="false">IF(J1519&lt;&gt;"","Enrolled",IF(I1519&lt;&gt;"","Admitted",IF(H1519&lt;&gt;"","Applied",IF(G1519&lt;&gt;"","Contacted","New"))))</f>
        <v>Contacted</v>
      </c>
      <c r="M1519" s="32" t="n">
        <f aca="false">IF(G1519="","",G1519-B1519)</f>
        <v>4</v>
      </c>
      <c r="N1519" s="24" t="str">
        <f aca="false">IF(COUNTIF($A$2:A1519,A1519)&gt;1,"Duplicate ID",IF(C1519="","Missing source",IF(OR(AND(G1519&lt;&gt;"",G1519&lt;B1519),AND(H1519&lt;&gt;"",H1519&lt;B1519),AND(I1519&lt;&gt;"",I1519&lt;H1519),AND(J1519&lt;&gt;"",J1519&lt;I1519)),"Date error","OK")))</f>
        <v>OK</v>
      </c>
    </row>
    <row r="1520" customFormat="false" ht="15" hidden="false" customHeight="false" outlineLevel="0" collapsed="false">
      <c r="A1520" s="24" t="s">
        <v>1596</v>
      </c>
      <c r="B1520" s="31" t="n">
        <v>46257</v>
      </c>
      <c r="C1520" s="24" t="s">
        <v>27</v>
      </c>
      <c r="D1520" s="24" t="s">
        <v>34</v>
      </c>
      <c r="E1520" s="24" t="s">
        <v>79</v>
      </c>
      <c r="F1520" s="24" t="s">
        <v>43</v>
      </c>
      <c r="G1520" s="31" t="n">
        <v>46259</v>
      </c>
      <c r="H1520" s="24"/>
      <c r="I1520" s="24"/>
      <c r="J1520" s="24"/>
      <c r="K1520" s="24" t="n">
        <v>3</v>
      </c>
      <c r="L1520" s="24" t="str">
        <f aca="false">IF(J1520&lt;&gt;"","Enrolled",IF(I1520&lt;&gt;"","Admitted",IF(H1520&lt;&gt;"","Applied",IF(G1520&lt;&gt;"","Contacted","New"))))</f>
        <v>Contacted</v>
      </c>
      <c r="M1520" s="32" t="n">
        <f aca="false">IF(G1520="","",G1520-B1520)</f>
        <v>2</v>
      </c>
      <c r="N1520" s="24" t="str">
        <f aca="false">IF(COUNTIF($A$2:A1520,A1520)&gt;1,"Duplicate ID",IF(C1520="","Missing source",IF(OR(AND(G1520&lt;&gt;"",G1520&lt;B1520),AND(H1520&lt;&gt;"",H1520&lt;B1520),AND(I1520&lt;&gt;"",I1520&lt;H1520),AND(J1520&lt;&gt;"",J1520&lt;I1520)),"Date error","OK")))</f>
        <v>OK</v>
      </c>
    </row>
    <row r="1521" customFormat="false" ht="15" hidden="false" customHeight="false" outlineLevel="0" collapsed="false">
      <c r="A1521" s="24" t="s">
        <v>1597</v>
      </c>
      <c r="B1521" s="31" t="n">
        <v>46257</v>
      </c>
      <c r="C1521" s="24" t="s">
        <v>23</v>
      </c>
      <c r="D1521" s="24" t="s">
        <v>32</v>
      </c>
      <c r="E1521" s="24" t="s">
        <v>89</v>
      </c>
      <c r="F1521" s="24" t="s">
        <v>42</v>
      </c>
      <c r="G1521" s="31" t="n">
        <v>46258</v>
      </c>
      <c r="H1521" s="24"/>
      <c r="I1521" s="24"/>
      <c r="J1521" s="24"/>
      <c r="K1521" s="24" t="n">
        <v>5</v>
      </c>
      <c r="L1521" s="24" t="str">
        <f aca="false">IF(J1521&lt;&gt;"","Enrolled",IF(I1521&lt;&gt;"","Admitted",IF(H1521&lt;&gt;"","Applied",IF(G1521&lt;&gt;"","Contacted","New"))))</f>
        <v>Contacted</v>
      </c>
      <c r="M1521" s="32" t="n">
        <f aca="false">IF(G1521="","",G1521-B1521)</f>
        <v>1</v>
      </c>
      <c r="N1521" s="24" t="str">
        <f aca="false">IF(COUNTIF($A$2:A1521,A1521)&gt;1,"Duplicate ID",IF(C1521="","Missing source",IF(OR(AND(G1521&lt;&gt;"",G1521&lt;B1521),AND(H1521&lt;&gt;"",H1521&lt;B1521),AND(I1521&lt;&gt;"",I1521&lt;H1521),AND(J1521&lt;&gt;"",J1521&lt;I1521)),"Date error","OK")))</f>
        <v>OK</v>
      </c>
    </row>
    <row r="1522" customFormat="false" ht="15" hidden="false" customHeight="false" outlineLevel="0" collapsed="false">
      <c r="A1522" s="24" t="s">
        <v>1598</v>
      </c>
      <c r="B1522" s="31" t="n">
        <v>46258</v>
      </c>
      <c r="C1522" s="24" t="s">
        <v>23</v>
      </c>
      <c r="D1522" s="24" t="s">
        <v>33</v>
      </c>
      <c r="E1522" s="24" t="s">
        <v>79</v>
      </c>
      <c r="F1522" s="24" t="s">
        <v>42</v>
      </c>
      <c r="G1522" s="31" t="n">
        <v>46258</v>
      </c>
      <c r="H1522" s="24"/>
      <c r="I1522" s="24"/>
      <c r="J1522" s="24"/>
      <c r="K1522" s="24" t="n">
        <v>2</v>
      </c>
      <c r="L1522" s="24" t="str">
        <f aca="false">IF(J1522&lt;&gt;"","Enrolled",IF(I1522&lt;&gt;"","Admitted",IF(H1522&lt;&gt;"","Applied",IF(G1522&lt;&gt;"","Contacted","New"))))</f>
        <v>Contacted</v>
      </c>
      <c r="M1522" s="32" t="n">
        <f aca="false">IF(G1522="","",G1522-B1522)</f>
        <v>0</v>
      </c>
      <c r="N1522" s="24" t="str">
        <f aca="false">IF(COUNTIF($A$2:A1522,A1522)&gt;1,"Duplicate ID",IF(C1522="","Missing source",IF(OR(AND(G1522&lt;&gt;"",G1522&lt;B1522),AND(H1522&lt;&gt;"",H1522&lt;B1522),AND(I1522&lt;&gt;"",I1522&lt;H1522),AND(J1522&lt;&gt;"",J1522&lt;I1522)),"Date error","OK")))</f>
        <v>OK</v>
      </c>
    </row>
    <row r="1523" customFormat="false" ht="15" hidden="false" customHeight="false" outlineLevel="0" collapsed="false">
      <c r="A1523" s="24" t="s">
        <v>1599</v>
      </c>
      <c r="B1523" s="31" t="n">
        <v>46258</v>
      </c>
      <c r="C1523" s="24" t="s">
        <v>25</v>
      </c>
      <c r="D1523" s="24" t="s">
        <v>33</v>
      </c>
      <c r="E1523" s="24" t="s">
        <v>79</v>
      </c>
      <c r="F1523" s="24" t="s">
        <v>41</v>
      </c>
      <c r="G1523" s="31" t="n">
        <v>46258</v>
      </c>
      <c r="H1523" s="24"/>
      <c r="I1523" s="24"/>
      <c r="J1523" s="24"/>
      <c r="K1523" s="24" t="n">
        <v>2</v>
      </c>
      <c r="L1523" s="24" t="str">
        <f aca="false">IF(J1523&lt;&gt;"","Enrolled",IF(I1523&lt;&gt;"","Admitted",IF(H1523&lt;&gt;"","Applied",IF(G1523&lt;&gt;"","Contacted","New"))))</f>
        <v>Contacted</v>
      </c>
      <c r="M1523" s="32" t="n">
        <f aca="false">IF(G1523="","",G1523-B1523)</f>
        <v>0</v>
      </c>
      <c r="N1523" s="24" t="str">
        <f aca="false">IF(COUNTIF($A$2:A1523,A1523)&gt;1,"Duplicate ID",IF(C1523="","Missing source",IF(OR(AND(G1523&lt;&gt;"",G1523&lt;B1523),AND(H1523&lt;&gt;"",H1523&lt;B1523),AND(I1523&lt;&gt;"",I1523&lt;H1523),AND(J1523&lt;&gt;"",J1523&lt;I1523)),"Date error","OK")))</f>
        <v>OK</v>
      </c>
    </row>
    <row r="1524" customFormat="false" ht="15" hidden="false" customHeight="false" outlineLevel="0" collapsed="false">
      <c r="A1524" s="24" t="s">
        <v>1600</v>
      </c>
      <c r="B1524" s="31" t="n">
        <v>46258</v>
      </c>
      <c r="C1524" s="24" t="s">
        <v>23</v>
      </c>
      <c r="D1524" s="24" t="s">
        <v>34</v>
      </c>
      <c r="E1524" s="24" t="s">
        <v>79</v>
      </c>
      <c r="F1524" s="24" t="s">
        <v>41</v>
      </c>
      <c r="G1524" s="31" t="n">
        <v>46259</v>
      </c>
      <c r="H1524" s="24"/>
      <c r="I1524" s="24"/>
      <c r="J1524" s="24"/>
      <c r="K1524" s="24" t="n">
        <v>3</v>
      </c>
      <c r="L1524" s="24" t="str">
        <f aca="false">IF(J1524&lt;&gt;"","Enrolled",IF(I1524&lt;&gt;"","Admitted",IF(H1524&lt;&gt;"","Applied",IF(G1524&lt;&gt;"","Contacted","New"))))</f>
        <v>Contacted</v>
      </c>
      <c r="M1524" s="32" t="n">
        <f aca="false">IF(G1524="","",G1524-B1524)</f>
        <v>1</v>
      </c>
      <c r="N1524" s="24" t="str">
        <f aca="false">IF(COUNTIF($A$2:A1524,A1524)&gt;1,"Duplicate ID",IF(C1524="","Missing source",IF(OR(AND(G1524&lt;&gt;"",G1524&lt;B1524),AND(H1524&lt;&gt;"",H1524&lt;B1524),AND(I1524&lt;&gt;"",I1524&lt;H1524),AND(J1524&lt;&gt;"",J1524&lt;I1524)),"Date error","OK")))</f>
        <v>OK</v>
      </c>
    </row>
    <row r="1525" customFormat="false" ht="15" hidden="false" customHeight="false" outlineLevel="0" collapsed="false">
      <c r="A1525" s="24" t="s">
        <v>1601</v>
      </c>
      <c r="B1525" s="31" t="n">
        <v>46258</v>
      </c>
      <c r="C1525" s="24" t="s">
        <v>22</v>
      </c>
      <c r="D1525" s="24" t="s">
        <v>32</v>
      </c>
      <c r="E1525" s="24" t="s">
        <v>94</v>
      </c>
      <c r="F1525" s="24" t="s">
        <v>40</v>
      </c>
      <c r="G1525" s="31" t="n">
        <v>46258</v>
      </c>
      <c r="H1525" s="24"/>
      <c r="I1525" s="24"/>
      <c r="J1525" s="24"/>
      <c r="K1525" s="24" t="n">
        <v>1</v>
      </c>
      <c r="L1525" s="24" t="str">
        <f aca="false">IF(J1525&lt;&gt;"","Enrolled",IF(I1525&lt;&gt;"","Admitted",IF(H1525&lt;&gt;"","Applied",IF(G1525&lt;&gt;"","Contacted","New"))))</f>
        <v>Contacted</v>
      </c>
      <c r="M1525" s="32" t="n">
        <f aca="false">IF(G1525="","",G1525-B1525)</f>
        <v>0</v>
      </c>
      <c r="N1525" s="24" t="str">
        <f aca="false">IF(COUNTIF($A$2:A1525,A1525)&gt;1,"Duplicate ID",IF(C1525="","Missing source",IF(OR(AND(G1525&lt;&gt;"",G1525&lt;B1525),AND(H1525&lt;&gt;"",H1525&lt;B1525),AND(I1525&lt;&gt;"",I1525&lt;H1525),AND(J1525&lt;&gt;"",J1525&lt;I1525)),"Date error","OK")))</f>
        <v>OK</v>
      </c>
    </row>
    <row r="1526" customFormat="false" ht="15" hidden="false" customHeight="false" outlineLevel="0" collapsed="false">
      <c r="A1526" s="24" t="s">
        <v>1602</v>
      </c>
      <c r="B1526" s="31" t="n">
        <v>46258</v>
      </c>
      <c r="C1526" s="24" t="s">
        <v>25</v>
      </c>
      <c r="D1526" s="24" t="s">
        <v>36</v>
      </c>
      <c r="E1526" s="24" t="s">
        <v>89</v>
      </c>
      <c r="F1526" s="24" t="s">
        <v>41</v>
      </c>
      <c r="G1526" s="31" t="n">
        <v>46259</v>
      </c>
      <c r="H1526" s="24"/>
      <c r="I1526" s="24"/>
      <c r="J1526" s="24"/>
      <c r="K1526" s="24" t="n">
        <v>3</v>
      </c>
      <c r="L1526" s="24" t="str">
        <f aca="false">IF(J1526&lt;&gt;"","Enrolled",IF(I1526&lt;&gt;"","Admitted",IF(H1526&lt;&gt;"","Applied",IF(G1526&lt;&gt;"","Contacted","New"))))</f>
        <v>Contacted</v>
      </c>
      <c r="M1526" s="32" t="n">
        <f aca="false">IF(G1526="","",G1526-B1526)</f>
        <v>1</v>
      </c>
      <c r="N1526" s="24" t="str">
        <f aca="false">IF(COUNTIF($A$2:A1526,A1526)&gt;1,"Duplicate ID",IF(C1526="","Missing source",IF(OR(AND(G1526&lt;&gt;"",G1526&lt;B1526),AND(H1526&lt;&gt;"",H1526&lt;B1526),AND(I1526&lt;&gt;"",I1526&lt;H1526),AND(J1526&lt;&gt;"",J1526&lt;I1526)),"Date error","OK")))</f>
        <v>OK</v>
      </c>
    </row>
    <row r="1527" customFormat="false" ht="15" hidden="false" customHeight="false" outlineLevel="0" collapsed="false">
      <c r="A1527" s="24" t="s">
        <v>1603</v>
      </c>
      <c r="B1527" s="31" t="n">
        <v>46258</v>
      </c>
      <c r="C1527" s="24" t="s">
        <v>23</v>
      </c>
      <c r="D1527" s="24" t="s">
        <v>33</v>
      </c>
      <c r="E1527" s="24" t="s">
        <v>79</v>
      </c>
      <c r="F1527" s="24" t="s">
        <v>45</v>
      </c>
      <c r="G1527" s="31" t="n">
        <v>46261</v>
      </c>
      <c r="H1527" s="24"/>
      <c r="I1527" s="24"/>
      <c r="J1527" s="24"/>
      <c r="K1527" s="24" t="n">
        <v>1</v>
      </c>
      <c r="L1527" s="24" t="str">
        <f aca="false">IF(J1527&lt;&gt;"","Enrolled",IF(I1527&lt;&gt;"","Admitted",IF(H1527&lt;&gt;"","Applied",IF(G1527&lt;&gt;"","Contacted","New"))))</f>
        <v>Contacted</v>
      </c>
      <c r="M1527" s="32" t="n">
        <f aca="false">IF(G1527="","",G1527-B1527)</f>
        <v>3</v>
      </c>
      <c r="N1527" s="24" t="str">
        <f aca="false">IF(COUNTIF($A$2:A1527,A1527)&gt;1,"Duplicate ID",IF(C1527="","Missing source",IF(OR(AND(G1527&lt;&gt;"",G1527&lt;B1527),AND(H1527&lt;&gt;"",H1527&lt;B1527),AND(I1527&lt;&gt;"",I1527&lt;H1527),AND(J1527&lt;&gt;"",J1527&lt;I1527)),"Date error","OK")))</f>
        <v>OK</v>
      </c>
    </row>
    <row r="1528" customFormat="false" ht="15" hidden="false" customHeight="false" outlineLevel="0" collapsed="false">
      <c r="A1528" s="24" t="s">
        <v>1604</v>
      </c>
      <c r="B1528" s="31" t="n">
        <v>46258</v>
      </c>
      <c r="C1528" s="24" t="s">
        <v>21</v>
      </c>
      <c r="D1528" s="24" t="s">
        <v>36</v>
      </c>
      <c r="E1528" s="24" t="s">
        <v>89</v>
      </c>
      <c r="F1528" s="24" t="s">
        <v>42</v>
      </c>
      <c r="G1528" s="31" t="n">
        <v>46258</v>
      </c>
      <c r="H1528" s="24"/>
      <c r="I1528" s="24"/>
      <c r="J1528" s="24"/>
      <c r="K1528" s="24" t="n">
        <v>4</v>
      </c>
      <c r="L1528" s="24" t="str">
        <f aca="false">IF(J1528&lt;&gt;"","Enrolled",IF(I1528&lt;&gt;"","Admitted",IF(H1528&lt;&gt;"","Applied",IF(G1528&lt;&gt;"","Contacted","New"))))</f>
        <v>Contacted</v>
      </c>
      <c r="M1528" s="32" t="n">
        <f aca="false">IF(G1528="","",G1528-B1528)</f>
        <v>0</v>
      </c>
      <c r="N1528" s="24" t="str">
        <f aca="false">IF(COUNTIF($A$2:A1528,A1528)&gt;1,"Duplicate ID",IF(C1528="","Missing source",IF(OR(AND(G1528&lt;&gt;"",G1528&lt;B1528),AND(H1528&lt;&gt;"",H1528&lt;B1528),AND(I1528&lt;&gt;"",I1528&lt;H1528),AND(J1528&lt;&gt;"",J1528&lt;I1528)),"Date error","OK")))</f>
        <v>OK</v>
      </c>
    </row>
    <row r="1529" customFormat="false" ht="15" hidden="false" customHeight="false" outlineLevel="0" collapsed="false">
      <c r="A1529" s="24" t="s">
        <v>1605</v>
      </c>
      <c r="B1529" s="31" t="n">
        <v>46258</v>
      </c>
      <c r="C1529" s="24" t="s">
        <v>26</v>
      </c>
      <c r="D1529" s="24" t="s">
        <v>35</v>
      </c>
      <c r="E1529" s="24" t="s">
        <v>94</v>
      </c>
      <c r="F1529" s="24" t="s">
        <v>42</v>
      </c>
      <c r="G1529" s="31" t="n">
        <v>46258</v>
      </c>
      <c r="H1529" s="24"/>
      <c r="I1529" s="24"/>
      <c r="J1529" s="24"/>
      <c r="K1529" s="24" t="n">
        <v>0</v>
      </c>
      <c r="L1529" s="24" t="str">
        <f aca="false">IF(J1529&lt;&gt;"","Enrolled",IF(I1529&lt;&gt;"","Admitted",IF(H1529&lt;&gt;"","Applied",IF(G1529&lt;&gt;"","Contacted","New"))))</f>
        <v>Contacted</v>
      </c>
      <c r="M1529" s="32" t="n">
        <f aca="false">IF(G1529="","",G1529-B1529)</f>
        <v>0</v>
      </c>
      <c r="N1529" s="24" t="str">
        <f aca="false">IF(COUNTIF($A$2:A1529,A1529)&gt;1,"Duplicate ID",IF(C1529="","Missing source",IF(OR(AND(G1529&lt;&gt;"",G1529&lt;B1529),AND(H1529&lt;&gt;"",H1529&lt;B1529),AND(I1529&lt;&gt;"",I1529&lt;H1529),AND(J1529&lt;&gt;"",J1529&lt;I1529)),"Date error","OK")))</f>
        <v>OK</v>
      </c>
    </row>
    <row r="1530" customFormat="false" ht="15" hidden="false" customHeight="false" outlineLevel="0" collapsed="false">
      <c r="A1530" s="24" t="s">
        <v>1606</v>
      </c>
      <c r="B1530" s="31" t="n">
        <v>46258</v>
      </c>
      <c r="C1530" s="24" t="s">
        <v>23</v>
      </c>
      <c r="D1530" s="24" t="s">
        <v>33</v>
      </c>
      <c r="E1530" s="24" t="s">
        <v>89</v>
      </c>
      <c r="F1530" s="24" t="s">
        <v>45</v>
      </c>
      <c r="G1530" s="24"/>
      <c r="H1530" s="24"/>
      <c r="I1530" s="24"/>
      <c r="J1530" s="24"/>
      <c r="K1530" s="24" t="n">
        <v>0</v>
      </c>
      <c r="L1530" s="24" t="str">
        <f aca="false">IF(J1530&lt;&gt;"","Enrolled",IF(I1530&lt;&gt;"","Admitted",IF(H1530&lt;&gt;"","Applied",IF(G1530&lt;&gt;"","Contacted","New"))))</f>
        <v>New</v>
      </c>
      <c r="M1530" s="32" t="str">
        <f aca="false">IF(G1530="","",G1530-B1530)</f>
        <v/>
      </c>
      <c r="N1530" s="24" t="str">
        <f aca="false">IF(COUNTIF($A$2:A1530,A1530)&gt;1,"Duplicate ID",IF(C1530="","Missing source",IF(OR(AND(G1530&lt;&gt;"",G1530&lt;B1530),AND(H1530&lt;&gt;"",H1530&lt;B1530),AND(I1530&lt;&gt;"",I1530&lt;H1530),AND(J1530&lt;&gt;"",J1530&lt;I1530)),"Date error","OK")))</f>
        <v>OK</v>
      </c>
    </row>
    <row r="1531" customFormat="false" ht="15" hidden="false" customHeight="false" outlineLevel="0" collapsed="false">
      <c r="A1531" s="24" t="s">
        <v>1607</v>
      </c>
      <c r="B1531" s="31" t="n">
        <v>46258</v>
      </c>
      <c r="C1531" s="24" t="s">
        <v>26</v>
      </c>
      <c r="D1531" s="24" t="s">
        <v>33</v>
      </c>
      <c r="E1531" s="24" t="s">
        <v>79</v>
      </c>
      <c r="F1531" s="24" t="s">
        <v>42</v>
      </c>
      <c r="G1531" s="31" t="n">
        <v>46258</v>
      </c>
      <c r="H1531" s="24"/>
      <c r="I1531" s="24"/>
      <c r="J1531" s="24"/>
      <c r="K1531" s="24" t="n">
        <v>2</v>
      </c>
      <c r="L1531" s="24" t="str">
        <f aca="false">IF(J1531&lt;&gt;"","Enrolled",IF(I1531&lt;&gt;"","Admitted",IF(H1531&lt;&gt;"","Applied",IF(G1531&lt;&gt;"","Contacted","New"))))</f>
        <v>Contacted</v>
      </c>
      <c r="M1531" s="32" t="n">
        <f aca="false">IF(G1531="","",G1531-B1531)</f>
        <v>0</v>
      </c>
      <c r="N1531" s="24" t="str">
        <f aca="false">IF(COUNTIF($A$2:A1531,A1531)&gt;1,"Duplicate ID",IF(C1531="","Missing source",IF(OR(AND(G1531&lt;&gt;"",G1531&lt;B1531),AND(H1531&lt;&gt;"",H1531&lt;B1531),AND(I1531&lt;&gt;"",I1531&lt;H1531),AND(J1531&lt;&gt;"",J1531&lt;I1531)),"Date error","OK")))</f>
        <v>OK</v>
      </c>
    </row>
    <row r="1532" customFormat="false" ht="15" hidden="false" customHeight="false" outlineLevel="0" collapsed="false">
      <c r="A1532" s="24" t="s">
        <v>1608</v>
      </c>
      <c r="B1532" s="31" t="n">
        <v>46258</v>
      </c>
      <c r="C1532" s="24" t="s">
        <v>25</v>
      </c>
      <c r="D1532" s="24" t="s">
        <v>33</v>
      </c>
      <c r="E1532" s="24" t="s">
        <v>89</v>
      </c>
      <c r="F1532" s="24" t="s">
        <v>43</v>
      </c>
      <c r="G1532" s="31" t="n">
        <v>46261</v>
      </c>
      <c r="H1532" s="24"/>
      <c r="I1532" s="24"/>
      <c r="J1532" s="24"/>
      <c r="K1532" s="24" t="n">
        <v>6</v>
      </c>
      <c r="L1532" s="24" t="str">
        <f aca="false">IF(J1532&lt;&gt;"","Enrolled",IF(I1532&lt;&gt;"","Admitted",IF(H1532&lt;&gt;"","Applied",IF(G1532&lt;&gt;"","Contacted","New"))))</f>
        <v>Contacted</v>
      </c>
      <c r="M1532" s="32" t="n">
        <f aca="false">IF(G1532="","",G1532-B1532)</f>
        <v>3</v>
      </c>
      <c r="N1532" s="24" t="str">
        <f aca="false">IF(COUNTIF($A$2:A1532,A1532)&gt;1,"Duplicate ID",IF(C1532="","Missing source",IF(OR(AND(G1532&lt;&gt;"",G1532&lt;B1532),AND(H1532&lt;&gt;"",H1532&lt;B1532),AND(I1532&lt;&gt;"",I1532&lt;H1532),AND(J1532&lt;&gt;"",J1532&lt;I1532)),"Date error","OK")))</f>
        <v>OK</v>
      </c>
    </row>
    <row r="1533" customFormat="false" ht="15" hidden="false" customHeight="false" outlineLevel="0" collapsed="false">
      <c r="A1533" s="24" t="s">
        <v>1609</v>
      </c>
      <c r="B1533" s="31" t="n">
        <v>46258</v>
      </c>
      <c r="C1533" s="24" t="s">
        <v>27</v>
      </c>
      <c r="D1533" s="24" t="s">
        <v>35</v>
      </c>
      <c r="E1533" s="24" t="s">
        <v>79</v>
      </c>
      <c r="F1533" s="24" t="s">
        <v>42</v>
      </c>
      <c r="G1533" s="31" t="n">
        <v>46259</v>
      </c>
      <c r="H1533" s="24"/>
      <c r="I1533" s="24"/>
      <c r="J1533" s="24"/>
      <c r="K1533" s="24" t="n">
        <v>2</v>
      </c>
      <c r="L1533" s="24" t="str">
        <f aca="false">IF(J1533&lt;&gt;"","Enrolled",IF(I1533&lt;&gt;"","Admitted",IF(H1533&lt;&gt;"","Applied",IF(G1533&lt;&gt;"","Contacted","New"))))</f>
        <v>Contacted</v>
      </c>
      <c r="M1533" s="32" t="n">
        <f aca="false">IF(G1533="","",G1533-B1533)</f>
        <v>1</v>
      </c>
      <c r="N1533" s="24" t="str">
        <f aca="false">IF(COUNTIF($A$2:A1533,A1533)&gt;1,"Duplicate ID",IF(C1533="","Missing source",IF(OR(AND(G1533&lt;&gt;"",G1533&lt;B1533),AND(H1533&lt;&gt;"",H1533&lt;B1533),AND(I1533&lt;&gt;"",I1533&lt;H1533),AND(J1533&lt;&gt;"",J1533&lt;I1533)),"Date error","OK")))</f>
        <v>OK</v>
      </c>
    </row>
    <row r="1534" customFormat="false" ht="15" hidden="false" customHeight="false" outlineLevel="0" collapsed="false">
      <c r="A1534" s="24" t="s">
        <v>1610</v>
      </c>
      <c r="B1534" s="31" t="n">
        <v>46258</v>
      </c>
      <c r="C1534" s="24" t="s">
        <v>25</v>
      </c>
      <c r="D1534" s="24" t="s">
        <v>32</v>
      </c>
      <c r="E1534" s="24" t="s">
        <v>79</v>
      </c>
      <c r="F1534" s="24" t="s">
        <v>41</v>
      </c>
      <c r="G1534" s="31" t="n">
        <v>46259</v>
      </c>
      <c r="H1534" s="24"/>
      <c r="I1534" s="24"/>
      <c r="J1534" s="24"/>
      <c r="K1534" s="24" t="n">
        <v>3</v>
      </c>
      <c r="L1534" s="24" t="str">
        <f aca="false">IF(J1534&lt;&gt;"","Enrolled",IF(I1534&lt;&gt;"","Admitted",IF(H1534&lt;&gt;"","Applied",IF(G1534&lt;&gt;"","Contacted","New"))))</f>
        <v>Contacted</v>
      </c>
      <c r="M1534" s="32" t="n">
        <f aca="false">IF(G1534="","",G1534-B1534)</f>
        <v>1</v>
      </c>
      <c r="N1534" s="24" t="str">
        <f aca="false">IF(COUNTIF($A$2:A1534,A1534)&gt;1,"Duplicate ID",IF(C1534="","Missing source",IF(OR(AND(G1534&lt;&gt;"",G1534&lt;B1534),AND(H1534&lt;&gt;"",H1534&lt;B1534),AND(I1534&lt;&gt;"",I1534&lt;H1534),AND(J1534&lt;&gt;"",J1534&lt;I1534)),"Date error","OK")))</f>
        <v>OK</v>
      </c>
    </row>
    <row r="1535" customFormat="false" ht="15" hidden="false" customHeight="false" outlineLevel="0" collapsed="false">
      <c r="A1535" s="24" t="s">
        <v>1611</v>
      </c>
      <c r="B1535" s="31" t="n">
        <v>46258</v>
      </c>
      <c r="C1535" s="24" t="s">
        <v>25</v>
      </c>
      <c r="D1535" s="24" t="s">
        <v>35</v>
      </c>
      <c r="E1535" s="24" t="s">
        <v>79</v>
      </c>
      <c r="F1535" s="24" t="s">
        <v>45</v>
      </c>
      <c r="G1535" s="31" t="n">
        <v>46261</v>
      </c>
      <c r="H1535" s="24"/>
      <c r="I1535" s="24"/>
      <c r="J1535" s="24"/>
      <c r="K1535" s="24" t="n">
        <v>3</v>
      </c>
      <c r="L1535" s="24" t="str">
        <f aca="false">IF(J1535&lt;&gt;"","Enrolled",IF(I1535&lt;&gt;"","Admitted",IF(H1535&lt;&gt;"","Applied",IF(G1535&lt;&gt;"","Contacted","New"))))</f>
        <v>Contacted</v>
      </c>
      <c r="M1535" s="32" t="n">
        <f aca="false">IF(G1535="","",G1535-B1535)</f>
        <v>3</v>
      </c>
      <c r="N1535" s="24" t="str">
        <f aca="false">IF(COUNTIF($A$2:A1535,A1535)&gt;1,"Duplicate ID",IF(C1535="","Missing source",IF(OR(AND(G1535&lt;&gt;"",G1535&lt;B1535),AND(H1535&lt;&gt;"",H1535&lt;B1535),AND(I1535&lt;&gt;"",I1535&lt;H1535),AND(J1535&lt;&gt;"",J1535&lt;I1535)),"Date error","OK")))</f>
        <v>OK</v>
      </c>
    </row>
    <row r="1536" customFormat="false" ht="15" hidden="false" customHeight="false" outlineLevel="0" collapsed="false">
      <c r="A1536" s="24" t="s">
        <v>1612</v>
      </c>
      <c r="B1536" s="31" t="n">
        <v>46258</v>
      </c>
      <c r="C1536" s="24" t="s">
        <v>27</v>
      </c>
      <c r="D1536" s="24" t="s">
        <v>34</v>
      </c>
      <c r="E1536" s="24" t="s">
        <v>89</v>
      </c>
      <c r="F1536" s="24" t="s">
        <v>42</v>
      </c>
      <c r="G1536" s="31" t="n">
        <v>46260</v>
      </c>
      <c r="H1536" s="24"/>
      <c r="I1536" s="24"/>
      <c r="J1536" s="24"/>
      <c r="K1536" s="24" t="n">
        <v>4</v>
      </c>
      <c r="L1536" s="24" t="str">
        <f aca="false">IF(J1536&lt;&gt;"","Enrolled",IF(I1536&lt;&gt;"","Admitted",IF(H1536&lt;&gt;"","Applied",IF(G1536&lt;&gt;"","Contacted","New"))))</f>
        <v>Contacted</v>
      </c>
      <c r="M1536" s="32" t="n">
        <f aca="false">IF(G1536="","",G1536-B1536)</f>
        <v>2</v>
      </c>
      <c r="N1536" s="24" t="str">
        <f aca="false">IF(COUNTIF($A$2:A1536,A1536)&gt;1,"Duplicate ID",IF(C1536="","Missing source",IF(OR(AND(G1536&lt;&gt;"",G1536&lt;B1536),AND(H1536&lt;&gt;"",H1536&lt;B1536),AND(I1536&lt;&gt;"",I1536&lt;H1536),AND(J1536&lt;&gt;"",J1536&lt;I1536)),"Date error","OK")))</f>
        <v>OK</v>
      </c>
    </row>
    <row r="1537" customFormat="false" ht="15" hidden="false" customHeight="false" outlineLevel="0" collapsed="false">
      <c r="A1537" s="24" t="s">
        <v>1613</v>
      </c>
      <c r="B1537" s="31" t="n">
        <v>46258</v>
      </c>
      <c r="C1537" s="24" t="s">
        <v>27</v>
      </c>
      <c r="D1537" s="24" t="s">
        <v>32</v>
      </c>
      <c r="E1537" s="24" t="s">
        <v>94</v>
      </c>
      <c r="F1537" s="24" t="s">
        <v>45</v>
      </c>
      <c r="G1537" s="31" t="n">
        <v>46259</v>
      </c>
      <c r="H1537" s="24"/>
      <c r="I1537" s="24"/>
      <c r="J1537" s="24"/>
      <c r="K1537" s="24" t="n">
        <v>1</v>
      </c>
      <c r="L1537" s="24" t="str">
        <f aca="false">IF(J1537&lt;&gt;"","Enrolled",IF(I1537&lt;&gt;"","Admitted",IF(H1537&lt;&gt;"","Applied",IF(G1537&lt;&gt;"","Contacted","New"))))</f>
        <v>Contacted</v>
      </c>
      <c r="M1537" s="32" t="n">
        <f aca="false">IF(G1537="","",G1537-B1537)</f>
        <v>1</v>
      </c>
      <c r="N1537" s="24" t="str">
        <f aca="false">IF(COUNTIF($A$2:A1537,A1537)&gt;1,"Duplicate ID",IF(C1537="","Missing source",IF(OR(AND(G1537&lt;&gt;"",G1537&lt;B1537),AND(H1537&lt;&gt;"",H1537&lt;B1537),AND(I1537&lt;&gt;"",I1537&lt;H1537),AND(J1537&lt;&gt;"",J1537&lt;I1537)),"Date error","OK")))</f>
        <v>OK</v>
      </c>
    </row>
    <row r="1538" customFormat="false" ht="15" hidden="false" customHeight="false" outlineLevel="0" collapsed="false">
      <c r="A1538" s="24" t="s">
        <v>1614</v>
      </c>
      <c r="B1538" s="31" t="n">
        <v>46258</v>
      </c>
      <c r="C1538" s="24" t="s">
        <v>22</v>
      </c>
      <c r="D1538" s="24" t="s">
        <v>33</v>
      </c>
      <c r="E1538" s="24" t="s">
        <v>89</v>
      </c>
      <c r="F1538" s="24" t="s">
        <v>40</v>
      </c>
      <c r="G1538" s="31" t="n">
        <v>46259</v>
      </c>
      <c r="H1538" s="24"/>
      <c r="I1538" s="24"/>
      <c r="J1538" s="24"/>
      <c r="K1538" s="24" t="n">
        <v>7</v>
      </c>
      <c r="L1538" s="24" t="str">
        <f aca="false">IF(J1538&lt;&gt;"","Enrolled",IF(I1538&lt;&gt;"","Admitted",IF(H1538&lt;&gt;"","Applied",IF(G1538&lt;&gt;"","Contacted","New"))))</f>
        <v>Contacted</v>
      </c>
      <c r="M1538" s="32" t="n">
        <f aca="false">IF(G1538="","",G1538-B1538)</f>
        <v>1</v>
      </c>
      <c r="N1538" s="24" t="str">
        <f aca="false">IF(COUNTIF($A$2:A1538,A1538)&gt;1,"Duplicate ID",IF(C1538="","Missing source",IF(OR(AND(G1538&lt;&gt;"",G1538&lt;B1538),AND(H1538&lt;&gt;"",H1538&lt;B1538),AND(I1538&lt;&gt;"",I1538&lt;H1538),AND(J1538&lt;&gt;"",J1538&lt;I1538)),"Date error","OK")))</f>
        <v>OK</v>
      </c>
    </row>
    <row r="1539" customFormat="false" ht="15" hidden="false" customHeight="false" outlineLevel="0" collapsed="false">
      <c r="A1539" s="24" t="s">
        <v>1615</v>
      </c>
      <c r="B1539" s="31" t="n">
        <v>46259</v>
      </c>
      <c r="C1539" s="24" t="s">
        <v>26</v>
      </c>
      <c r="D1539" s="24" t="s">
        <v>35</v>
      </c>
      <c r="E1539" s="24" t="s">
        <v>81</v>
      </c>
      <c r="F1539" s="24" t="s">
        <v>40</v>
      </c>
      <c r="G1539" s="31" t="n">
        <v>46259</v>
      </c>
      <c r="H1539" s="24"/>
      <c r="I1539" s="24"/>
      <c r="J1539" s="24"/>
      <c r="K1539" s="24" t="n">
        <v>3</v>
      </c>
      <c r="L1539" s="24" t="str">
        <f aca="false">IF(J1539&lt;&gt;"","Enrolled",IF(I1539&lt;&gt;"","Admitted",IF(H1539&lt;&gt;"","Applied",IF(G1539&lt;&gt;"","Contacted","New"))))</f>
        <v>Contacted</v>
      </c>
      <c r="M1539" s="32" t="n">
        <f aca="false">IF(G1539="","",G1539-B1539)</f>
        <v>0</v>
      </c>
      <c r="N1539" s="24" t="str">
        <f aca="false">IF(COUNTIF($A$2:A1539,A1539)&gt;1,"Duplicate ID",IF(C1539="","Missing source",IF(OR(AND(G1539&lt;&gt;"",G1539&lt;B1539),AND(H1539&lt;&gt;"",H1539&lt;B1539),AND(I1539&lt;&gt;"",I1539&lt;H1539),AND(J1539&lt;&gt;"",J1539&lt;I1539)),"Date error","OK")))</f>
        <v>OK</v>
      </c>
    </row>
    <row r="1540" customFormat="false" ht="15" hidden="false" customHeight="false" outlineLevel="0" collapsed="false">
      <c r="A1540" s="24" t="s">
        <v>1616</v>
      </c>
      <c r="B1540" s="31" t="n">
        <v>46259</v>
      </c>
      <c r="C1540" s="24" t="s">
        <v>23</v>
      </c>
      <c r="D1540" s="24" t="s">
        <v>35</v>
      </c>
      <c r="E1540" s="24" t="s">
        <v>81</v>
      </c>
      <c r="F1540" s="24" t="s">
        <v>43</v>
      </c>
      <c r="G1540" s="31" t="n">
        <v>46260</v>
      </c>
      <c r="H1540" s="24"/>
      <c r="I1540" s="24"/>
      <c r="J1540" s="24"/>
      <c r="K1540" s="24" t="n">
        <v>5</v>
      </c>
      <c r="L1540" s="24" t="str">
        <f aca="false">IF(J1540&lt;&gt;"","Enrolled",IF(I1540&lt;&gt;"","Admitted",IF(H1540&lt;&gt;"","Applied",IF(G1540&lt;&gt;"","Contacted","New"))))</f>
        <v>Contacted</v>
      </c>
      <c r="M1540" s="32" t="n">
        <f aca="false">IF(G1540="","",G1540-B1540)</f>
        <v>1</v>
      </c>
      <c r="N1540" s="24" t="str">
        <f aca="false">IF(COUNTIF($A$2:A1540,A1540)&gt;1,"Duplicate ID",IF(C1540="","Missing source",IF(OR(AND(G1540&lt;&gt;"",G1540&lt;B1540),AND(H1540&lt;&gt;"",H1540&lt;B1540),AND(I1540&lt;&gt;"",I1540&lt;H1540),AND(J1540&lt;&gt;"",J1540&lt;I1540)),"Date error","OK")))</f>
        <v>OK</v>
      </c>
    </row>
    <row r="1541" customFormat="false" ht="15" hidden="false" customHeight="false" outlineLevel="0" collapsed="false">
      <c r="A1541" s="24" t="s">
        <v>1617</v>
      </c>
      <c r="B1541" s="31" t="n">
        <v>46259</v>
      </c>
      <c r="C1541" s="24" t="s">
        <v>26</v>
      </c>
      <c r="D1541" s="24" t="s">
        <v>35</v>
      </c>
      <c r="E1541" s="24" t="s">
        <v>79</v>
      </c>
      <c r="F1541" s="24" t="s">
        <v>40</v>
      </c>
      <c r="G1541" s="31" t="n">
        <v>46259</v>
      </c>
      <c r="H1541" s="24"/>
      <c r="I1541" s="24"/>
      <c r="J1541" s="24"/>
      <c r="K1541" s="24" t="n">
        <v>4</v>
      </c>
      <c r="L1541" s="24" t="str">
        <f aca="false">IF(J1541&lt;&gt;"","Enrolled",IF(I1541&lt;&gt;"","Admitted",IF(H1541&lt;&gt;"","Applied",IF(G1541&lt;&gt;"","Contacted","New"))))</f>
        <v>Contacted</v>
      </c>
      <c r="M1541" s="32" t="n">
        <f aca="false">IF(G1541="","",G1541-B1541)</f>
        <v>0</v>
      </c>
      <c r="N1541" s="24" t="str">
        <f aca="false">IF(COUNTIF($A$2:A1541,A1541)&gt;1,"Duplicate ID",IF(C1541="","Missing source",IF(OR(AND(G1541&lt;&gt;"",G1541&lt;B1541),AND(H1541&lt;&gt;"",H1541&lt;B1541),AND(I1541&lt;&gt;"",I1541&lt;H1541),AND(J1541&lt;&gt;"",J1541&lt;I1541)),"Date error","OK")))</f>
        <v>OK</v>
      </c>
    </row>
    <row r="1542" customFormat="false" ht="15" hidden="false" customHeight="false" outlineLevel="0" collapsed="false">
      <c r="A1542" s="24" t="s">
        <v>1618</v>
      </c>
      <c r="B1542" s="31" t="n">
        <v>46259</v>
      </c>
      <c r="C1542" s="24" t="s">
        <v>27</v>
      </c>
      <c r="D1542" s="24" t="s">
        <v>33</v>
      </c>
      <c r="E1542" s="24" t="s">
        <v>94</v>
      </c>
      <c r="F1542" s="24" t="s">
        <v>42</v>
      </c>
      <c r="G1542" s="31" t="n">
        <v>46261</v>
      </c>
      <c r="H1542" s="24"/>
      <c r="I1542" s="24"/>
      <c r="J1542" s="24"/>
      <c r="K1542" s="24" t="n">
        <v>0</v>
      </c>
      <c r="L1542" s="24" t="str">
        <f aca="false">IF(J1542&lt;&gt;"","Enrolled",IF(I1542&lt;&gt;"","Admitted",IF(H1542&lt;&gt;"","Applied",IF(G1542&lt;&gt;"","Contacted","New"))))</f>
        <v>Contacted</v>
      </c>
      <c r="M1542" s="32" t="n">
        <f aca="false">IF(G1542="","",G1542-B1542)</f>
        <v>2</v>
      </c>
      <c r="N1542" s="24" t="str">
        <f aca="false">IF(COUNTIF($A$2:A1542,A1542)&gt;1,"Duplicate ID",IF(C1542="","Missing source",IF(OR(AND(G1542&lt;&gt;"",G1542&lt;B1542),AND(H1542&lt;&gt;"",H1542&lt;B1542),AND(I1542&lt;&gt;"",I1542&lt;H1542),AND(J1542&lt;&gt;"",J1542&lt;I1542)),"Date error","OK")))</f>
        <v>OK</v>
      </c>
    </row>
    <row r="1543" customFormat="false" ht="15" hidden="false" customHeight="false" outlineLevel="0" collapsed="false">
      <c r="A1543" s="24" t="s">
        <v>1619</v>
      </c>
      <c r="B1543" s="31" t="n">
        <v>46259</v>
      </c>
      <c r="C1543" s="24" t="s">
        <v>25</v>
      </c>
      <c r="D1543" s="24" t="s">
        <v>36</v>
      </c>
      <c r="E1543" s="24" t="s">
        <v>81</v>
      </c>
      <c r="F1543" s="24" t="s">
        <v>44</v>
      </c>
      <c r="G1543" s="24"/>
      <c r="H1543" s="24"/>
      <c r="I1543" s="24"/>
      <c r="J1543" s="24"/>
      <c r="K1543" s="24" t="n">
        <v>0</v>
      </c>
      <c r="L1543" s="24" t="str">
        <f aca="false">IF(J1543&lt;&gt;"","Enrolled",IF(I1543&lt;&gt;"","Admitted",IF(H1543&lt;&gt;"","Applied",IF(G1543&lt;&gt;"","Contacted","New"))))</f>
        <v>New</v>
      </c>
      <c r="M1543" s="32" t="str">
        <f aca="false">IF(G1543="","",G1543-B1543)</f>
        <v/>
      </c>
      <c r="N1543" s="24" t="str">
        <f aca="false">IF(COUNTIF($A$2:A1543,A1543)&gt;1,"Duplicate ID",IF(C1543="","Missing source",IF(OR(AND(G1543&lt;&gt;"",G1543&lt;B1543),AND(H1543&lt;&gt;"",H1543&lt;B1543),AND(I1543&lt;&gt;"",I1543&lt;H1543),AND(J1543&lt;&gt;"",J1543&lt;I1543)),"Date error","OK")))</f>
        <v>OK</v>
      </c>
    </row>
    <row r="1544" customFormat="false" ht="15" hidden="false" customHeight="false" outlineLevel="0" collapsed="false">
      <c r="A1544" s="24" t="s">
        <v>1620</v>
      </c>
      <c r="B1544" s="31" t="n">
        <v>46259</v>
      </c>
      <c r="C1544" s="24" t="s">
        <v>23</v>
      </c>
      <c r="D1544" s="24" t="s">
        <v>32</v>
      </c>
      <c r="E1544" s="24" t="s">
        <v>94</v>
      </c>
      <c r="F1544" s="24" t="s">
        <v>44</v>
      </c>
      <c r="G1544" s="31" t="n">
        <v>46264</v>
      </c>
      <c r="H1544" s="24"/>
      <c r="I1544" s="24"/>
      <c r="J1544" s="24"/>
      <c r="K1544" s="24" t="n">
        <v>2</v>
      </c>
      <c r="L1544" s="24" t="str">
        <f aca="false">IF(J1544&lt;&gt;"","Enrolled",IF(I1544&lt;&gt;"","Admitted",IF(H1544&lt;&gt;"","Applied",IF(G1544&lt;&gt;"","Contacted","New"))))</f>
        <v>Contacted</v>
      </c>
      <c r="M1544" s="32" t="n">
        <f aca="false">IF(G1544="","",G1544-B1544)</f>
        <v>5</v>
      </c>
      <c r="N1544" s="24" t="str">
        <f aca="false">IF(COUNTIF($A$2:A1544,A1544)&gt;1,"Duplicate ID",IF(C1544="","Missing source",IF(OR(AND(G1544&lt;&gt;"",G1544&lt;B1544),AND(H1544&lt;&gt;"",H1544&lt;B1544),AND(I1544&lt;&gt;"",I1544&lt;H1544),AND(J1544&lt;&gt;"",J1544&lt;I1544)),"Date error","OK")))</f>
        <v>OK</v>
      </c>
    </row>
    <row r="1545" customFormat="false" ht="15" hidden="false" customHeight="false" outlineLevel="0" collapsed="false">
      <c r="A1545" s="24" t="s">
        <v>1621</v>
      </c>
      <c r="B1545" s="31" t="n">
        <v>46259</v>
      </c>
      <c r="C1545" s="24" t="s">
        <v>24</v>
      </c>
      <c r="D1545" s="24" t="s">
        <v>35</v>
      </c>
      <c r="E1545" s="24" t="s">
        <v>89</v>
      </c>
      <c r="F1545" s="24" t="s">
        <v>43</v>
      </c>
      <c r="G1545" s="31" t="n">
        <v>46259</v>
      </c>
      <c r="H1545" s="24"/>
      <c r="I1545" s="24"/>
      <c r="J1545" s="24"/>
      <c r="K1545" s="24" t="n">
        <v>5</v>
      </c>
      <c r="L1545" s="24" t="str">
        <f aca="false">IF(J1545&lt;&gt;"","Enrolled",IF(I1545&lt;&gt;"","Admitted",IF(H1545&lt;&gt;"","Applied",IF(G1545&lt;&gt;"","Contacted","New"))))</f>
        <v>Contacted</v>
      </c>
      <c r="M1545" s="32" t="n">
        <f aca="false">IF(G1545="","",G1545-B1545)</f>
        <v>0</v>
      </c>
      <c r="N1545" s="24" t="str">
        <f aca="false">IF(COUNTIF($A$2:A1545,A1545)&gt;1,"Duplicate ID",IF(C1545="","Missing source",IF(OR(AND(G1545&lt;&gt;"",G1545&lt;B1545),AND(H1545&lt;&gt;"",H1545&lt;B1545),AND(I1545&lt;&gt;"",I1545&lt;H1545),AND(J1545&lt;&gt;"",J1545&lt;I1545)),"Date error","OK")))</f>
        <v>OK</v>
      </c>
    </row>
    <row r="1546" customFormat="false" ht="15" hidden="false" customHeight="false" outlineLevel="0" collapsed="false">
      <c r="A1546" s="24" t="s">
        <v>1622</v>
      </c>
      <c r="B1546" s="31" t="n">
        <v>46259</v>
      </c>
      <c r="C1546" s="24" t="s">
        <v>23</v>
      </c>
      <c r="D1546" s="24" t="s">
        <v>32</v>
      </c>
      <c r="E1546" s="24" t="s">
        <v>94</v>
      </c>
      <c r="F1546" s="24" t="s">
        <v>41</v>
      </c>
      <c r="G1546" s="31" t="n">
        <v>46259</v>
      </c>
      <c r="H1546" s="24"/>
      <c r="I1546" s="24"/>
      <c r="J1546" s="24"/>
      <c r="K1546" s="24" t="n">
        <v>2</v>
      </c>
      <c r="L1546" s="24" t="str">
        <f aca="false">IF(J1546&lt;&gt;"","Enrolled",IF(I1546&lt;&gt;"","Admitted",IF(H1546&lt;&gt;"","Applied",IF(G1546&lt;&gt;"","Contacted","New"))))</f>
        <v>Contacted</v>
      </c>
      <c r="M1546" s="32" t="n">
        <f aca="false">IF(G1546="","",G1546-B1546)</f>
        <v>0</v>
      </c>
      <c r="N1546" s="24" t="str">
        <f aca="false">IF(COUNTIF($A$2:A1546,A1546)&gt;1,"Duplicate ID",IF(C1546="","Missing source",IF(OR(AND(G1546&lt;&gt;"",G1546&lt;B1546),AND(H1546&lt;&gt;"",H1546&lt;B1546),AND(I1546&lt;&gt;"",I1546&lt;H1546),AND(J1546&lt;&gt;"",J1546&lt;I1546)),"Date error","OK")))</f>
        <v>OK</v>
      </c>
    </row>
    <row r="1547" customFormat="false" ht="15" hidden="false" customHeight="false" outlineLevel="0" collapsed="false">
      <c r="A1547" s="24" t="s">
        <v>1623</v>
      </c>
      <c r="B1547" s="31" t="n">
        <v>46259</v>
      </c>
      <c r="C1547" s="24" t="s">
        <v>21</v>
      </c>
      <c r="D1547" s="24" t="s">
        <v>36</v>
      </c>
      <c r="E1547" s="24" t="s">
        <v>89</v>
      </c>
      <c r="F1547" s="24" t="s">
        <v>45</v>
      </c>
      <c r="G1547" s="31" t="n">
        <v>46260</v>
      </c>
      <c r="H1547" s="24"/>
      <c r="I1547" s="24"/>
      <c r="J1547" s="24"/>
      <c r="K1547" s="24" t="n">
        <v>5</v>
      </c>
      <c r="L1547" s="24" t="str">
        <f aca="false">IF(J1547&lt;&gt;"","Enrolled",IF(I1547&lt;&gt;"","Admitted",IF(H1547&lt;&gt;"","Applied",IF(G1547&lt;&gt;"","Contacted","New"))))</f>
        <v>Contacted</v>
      </c>
      <c r="M1547" s="32" t="n">
        <f aca="false">IF(G1547="","",G1547-B1547)</f>
        <v>1</v>
      </c>
      <c r="N1547" s="24" t="str">
        <f aca="false">IF(COUNTIF($A$2:A1547,A1547)&gt;1,"Duplicate ID",IF(C1547="","Missing source",IF(OR(AND(G1547&lt;&gt;"",G1547&lt;B1547),AND(H1547&lt;&gt;"",H1547&lt;B1547),AND(I1547&lt;&gt;"",I1547&lt;H1547),AND(J1547&lt;&gt;"",J1547&lt;I1547)),"Date error","OK")))</f>
        <v>OK</v>
      </c>
    </row>
    <row r="1548" customFormat="false" ht="15" hidden="false" customHeight="false" outlineLevel="0" collapsed="false">
      <c r="A1548" s="24" t="s">
        <v>1624</v>
      </c>
      <c r="B1548" s="31" t="n">
        <v>46259</v>
      </c>
      <c r="C1548" s="24" t="s">
        <v>27</v>
      </c>
      <c r="D1548" s="24" t="s">
        <v>33</v>
      </c>
      <c r="E1548" s="24" t="s">
        <v>79</v>
      </c>
      <c r="F1548" s="24" t="s">
        <v>44</v>
      </c>
      <c r="G1548" s="31" t="n">
        <v>46264</v>
      </c>
      <c r="H1548" s="24"/>
      <c r="I1548" s="24"/>
      <c r="J1548" s="24"/>
      <c r="K1548" s="24" t="n">
        <v>2</v>
      </c>
      <c r="L1548" s="24" t="str">
        <f aca="false">IF(J1548&lt;&gt;"","Enrolled",IF(I1548&lt;&gt;"","Admitted",IF(H1548&lt;&gt;"","Applied",IF(G1548&lt;&gt;"","Contacted","New"))))</f>
        <v>Contacted</v>
      </c>
      <c r="M1548" s="32" t="n">
        <f aca="false">IF(G1548="","",G1548-B1548)</f>
        <v>5</v>
      </c>
      <c r="N1548" s="24" t="str">
        <f aca="false">IF(COUNTIF($A$2:A1548,A1548)&gt;1,"Duplicate ID",IF(C1548="","Missing source",IF(OR(AND(G1548&lt;&gt;"",G1548&lt;B1548),AND(H1548&lt;&gt;"",H1548&lt;B1548),AND(I1548&lt;&gt;"",I1548&lt;H1548),AND(J1548&lt;&gt;"",J1548&lt;I1548)),"Date error","OK")))</f>
        <v>OK</v>
      </c>
    </row>
    <row r="1549" customFormat="false" ht="15" hidden="false" customHeight="false" outlineLevel="0" collapsed="false">
      <c r="A1549" s="24" t="s">
        <v>1625</v>
      </c>
      <c r="B1549" s="31" t="n">
        <v>46259</v>
      </c>
      <c r="C1549" s="24" t="s">
        <v>22</v>
      </c>
      <c r="D1549" s="24" t="s">
        <v>36</v>
      </c>
      <c r="E1549" s="24" t="s">
        <v>89</v>
      </c>
      <c r="F1549" s="24" t="s">
        <v>41</v>
      </c>
      <c r="G1549" s="31" t="n">
        <v>46259</v>
      </c>
      <c r="H1549" s="24"/>
      <c r="I1549" s="24"/>
      <c r="J1549" s="24"/>
      <c r="K1549" s="24" t="n">
        <v>2</v>
      </c>
      <c r="L1549" s="24" t="str">
        <f aca="false">IF(J1549&lt;&gt;"","Enrolled",IF(I1549&lt;&gt;"","Admitted",IF(H1549&lt;&gt;"","Applied",IF(G1549&lt;&gt;"","Contacted","New"))))</f>
        <v>Contacted</v>
      </c>
      <c r="M1549" s="32" t="n">
        <f aca="false">IF(G1549="","",G1549-B1549)</f>
        <v>0</v>
      </c>
      <c r="N1549" s="24" t="str">
        <f aca="false">IF(COUNTIF($A$2:A1549,A1549)&gt;1,"Duplicate ID",IF(C1549="","Missing source",IF(OR(AND(G1549&lt;&gt;"",G1549&lt;B1549),AND(H1549&lt;&gt;"",H1549&lt;B1549),AND(I1549&lt;&gt;"",I1549&lt;H1549),AND(J1549&lt;&gt;"",J1549&lt;I1549)),"Date error","OK")))</f>
        <v>OK</v>
      </c>
    </row>
    <row r="1550" customFormat="false" ht="15" hidden="false" customHeight="false" outlineLevel="0" collapsed="false">
      <c r="A1550" s="24" t="s">
        <v>1626</v>
      </c>
      <c r="B1550" s="31" t="n">
        <v>46259</v>
      </c>
      <c r="C1550" s="24" t="s">
        <v>23</v>
      </c>
      <c r="D1550" s="24" t="s">
        <v>36</v>
      </c>
      <c r="E1550" s="24" t="s">
        <v>89</v>
      </c>
      <c r="F1550" s="24" t="s">
        <v>40</v>
      </c>
      <c r="G1550" s="31" t="n">
        <v>46259</v>
      </c>
      <c r="H1550" s="24"/>
      <c r="I1550" s="24"/>
      <c r="J1550" s="24"/>
      <c r="K1550" s="24" t="n">
        <v>3</v>
      </c>
      <c r="L1550" s="24" t="str">
        <f aca="false">IF(J1550&lt;&gt;"","Enrolled",IF(I1550&lt;&gt;"","Admitted",IF(H1550&lt;&gt;"","Applied",IF(G1550&lt;&gt;"","Contacted","New"))))</f>
        <v>Contacted</v>
      </c>
      <c r="M1550" s="32" t="n">
        <f aca="false">IF(G1550="","",G1550-B1550)</f>
        <v>0</v>
      </c>
      <c r="N1550" s="24" t="str">
        <f aca="false">IF(COUNTIF($A$2:A1550,A1550)&gt;1,"Duplicate ID",IF(C1550="","Missing source",IF(OR(AND(G1550&lt;&gt;"",G1550&lt;B1550),AND(H1550&lt;&gt;"",H1550&lt;B1550),AND(I1550&lt;&gt;"",I1550&lt;H1550),AND(J1550&lt;&gt;"",J1550&lt;I1550)),"Date error","OK")))</f>
        <v>OK</v>
      </c>
    </row>
    <row r="1551" customFormat="false" ht="15" hidden="false" customHeight="false" outlineLevel="0" collapsed="false">
      <c r="A1551" s="24" t="s">
        <v>1627</v>
      </c>
      <c r="B1551" s="31" t="n">
        <v>46259</v>
      </c>
      <c r="C1551" s="24" t="s">
        <v>24</v>
      </c>
      <c r="D1551" s="24" t="s">
        <v>33</v>
      </c>
      <c r="E1551" s="24" t="s">
        <v>84</v>
      </c>
      <c r="F1551" s="24" t="s">
        <v>44</v>
      </c>
      <c r="G1551" s="31" t="n">
        <v>46259</v>
      </c>
      <c r="H1551" s="24"/>
      <c r="I1551" s="24"/>
      <c r="J1551" s="24"/>
      <c r="K1551" s="24" t="n">
        <v>5</v>
      </c>
      <c r="L1551" s="24" t="str">
        <f aca="false">IF(J1551&lt;&gt;"","Enrolled",IF(I1551&lt;&gt;"","Admitted",IF(H1551&lt;&gt;"","Applied",IF(G1551&lt;&gt;"","Contacted","New"))))</f>
        <v>Contacted</v>
      </c>
      <c r="M1551" s="32" t="n">
        <f aca="false">IF(G1551="","",G1551-B1551)</f>
        <v>0</v>
      </c>
      <c r="N1551" s="24" t="str">
        <f aca="false">IF(COUNTIF($A$2:A1551,A1551)&gt;1,"Duplicate ID",IF(C1551="","Missing source",IF(OR(AND(G1551&lt;&gt;"",G1551&lt;B1551),AND(H1551&lt;&gt;"",H1551&lt;B1551),AND(I1551&lt;&gt;"",I1551&lt;H1551),AND(J1551&lt;&gt;"",J1551&lt;I1551)),"Date error","OK")))</f>
        <v>OK</v>
      </c>
    </row>
    <row r="1552" customFormat="false" ht="15" hidden="false" customHeight="false" outlineLevel="0" collapsed="false">
      <c r="A1552" s="24" t="s">
        <v>1628</v>
      </c>
      <c r="B1552" s="31" t="n">
        <v>46260</v>
      </c>
      <c r="C1552" s="24" t="s">
        <v>27</v>
      </c>
      <c r="D1552" s="24" t="s">
        <v>35</v>
      </c>
      <c r="E1552" s="24" t="s">
        <v>84</v>
      </c>
      <c r="F1552" s="24" t="s">
        <v>44</v>
      </c>
      <c r="G1552" s="24"/>
      <c r="H1552" s="24"/>
      <c r="I1552" s="24"/>
      <c r="J1552" s="24"/>
      <c r="K1552" s="24" t="n">
        <v>0</v>
      </c>
      <c r="L1552" s="24" t="str">
        <f aca="false">IF(J1552&lt;&gt;"","Enrolled",IF(I1552&lt;&gt;"","Admitted",IF(H1552&lt;&gt;"","Applied",IF(G1552&lt;&gt;"","Contacted","New"))))</f>
        <v>New</v>
      </c>
      <c r="M1552" s="32" t="str">
        <f aca="false">IF(G1552="","",G1552-B1552)</f>
        <v/>
      </c>
      <c r="N1552" s="24" t="str">
        <f aca="false">IF(COUNTIF($A$2:A1552,A1552)&gt;1,"Duplicate ID",IF(C1552="","Missing source",IF(OR(AND(G1552&lt;&gt;"",G1552&lt;B1552),AND(H1552&lt;&gt;"",H1552&lt;B1552),AND(I1552&lt;&gt;"",I1552&lt;H1552),AND(J1552&lt;&gt;"",J1552&lt;I1552)),"Date error","OK")))</f>
        <v>OK</v>
      </c>
    </row>
    <row r="1553" customFormat="false" ht="15" hidden="false" customHeight="false" outlineLevel="0" collapsed="false">
      <c r="A1553" s="24" t="s">
        <v>1629</v>
      </c>
      <c r="B1553" s="31" t="n">
        <v>46260</v>
      </c>
      <c r="C1553" s="24" t="s">
        <v>24</v>
      </c>
      <c r="D1553" s="24" t="s">
        <v>36</v>
      </c>
      <c r="E1553" s="24" t="s">
        <v>94</v>
      </c>
      <c r="F1553" s="24" t="s">
        <v>40</v>
      </c>
      <c r="G1553" s="31" t="n">
        <v>46260</v>
      </c>
      <c r="H1553" s="24"/>
      <c r="I1553" s="24"/>
      <c r="J1553" s="24"/>
      <c r="K1553" s="24" t="n">
        <v>2</v>
      </c>
      <c r="L1553" s="24" t="str">
        <f aca="false">IF(J1553&lt;&gt;"","Enrolled",IF(I1553&lt;&gt;"","Admitted",IF(H1553&lt;&gt;"","Applied",IF(G1553&lt;&gt;"","Contacted","New"))))</f>
        <v>Contacted</v>
      </c>
      <c r="M1553" s="32" t="n">
        <f aca="false">IF(G1553="","",G1553-B1553)</f>
        <v>0</v>
      </c>
      <c r="N1553" s="24" t="str">
        <f aca="false">IF(COUNTIF($A$2:A1553,A1553)&gt;1,"Duplicate ID",IF(C1553="","Missing source",IF(OR(AND(G1553&lt;&gt;"",G1553&lt;B1553),AND(H1553&lt;&gt;"",H1553&lt;B1553),AND(I1553&lt;&gt;"",I1553&lt;H1553),AND(J1553&lt;&gt;"",J1553&lt;I1553)),"Date error","OK")))</f>
        <v>OK</v>
      </c>
    </row>
    <row r="1554" customFormat="false" ht="15" hidden="false" customHeight="false" outlineLevel="0" collapsed="false">
      <c r="A1554" s="24" t="s">
        <v>1630</v>
      </c>
      <c r="B1554" s="31" t="n">
        <v>46260</v>
      </c>
      <c r="C1554" s="24" t="s">
        <v>22</v>
      </c>
      <c r="D1554" s="24" t="s">
        <v>34</v>
      </c>
      <c r="E1554" s="24" t="s">
        <v>81</v>
      </c>
      <c r="F1554" s="24" t="s">
        <v>44</v>
      </c>
      <c r="G1554" s="31" t="n">
        <v>46263</v>
      </c>
      <c r="H1554" s="24"/>
      <c r="I1554" s="24"/>
      <c r="J1554" s="24"/>
      <c r="K1554" s="24" t="n">
        <v>6</v>
      </c>
      <c r="L1554" s="24" t="str">
        <f aca="false">IF(J1554&lt;&gt;"","Enrolled",IF(I1554&lt;&gt;"","Admitted",IF(H1554&lt;&gt;"","Applied",IF(G1554&lt;&gt;"","Contacted","New"))))</f>
        <v>Contacted</v>
      </c>
      <c r="M1554" s="32" t="n">
        <f aca="false">IF(G1554="","",G1554-B1554)</f>
        <v>3</v>
      </c>
      <c r="N1554" s="24" t="str">
        <f aca="false">IF(COUNTIF($A$2:A1554,A1554)&gt;1,"Duplicate ID",IF(C1554="","Missing source",IF(OR(AND(G1554&lt;&gt;"",G1554&lt;B1554),AND(H1554&lt;&gt;"",H1554&lt;B1554),AND(I1554&lt;&gt;"",I1554&lt;H1554),AND(J1554&lt;&gt;"",J1554&lt;I1554)),"Date error","OK")))</f>
        <v>OK</v>
      </c>
    </row>
    <row r="1555" customFormat="false" ht="15" hidden="false" customHeight="false" outlineLevel="0" collapsed="false">
      <c r="A1555" s="24" t="s">
        <v>1631</v>
      </c>
      <c r="B1555" s="31" t="n">
        <v>46260</v>
      </c>
      <c r="C1555" s="24" t="s">
        <v>25</v>
      </c>
      <c r="D1555" s="24" t="s">
        <v>36</v>
      </c>
      <c r="E1555" s="24" t="s">
        <v>89</v>
      </c>
      <c r="F1555" s="24" t="s">
        <v>40</v>
      </c>
      <c r="G1555" s="31" t="n">
        <v>46260</v>
      </c>
      <c r="H1555" s="24"/>
      <c r="I1555" s="24"/>
      <c r="J1555" s="24"/>
      <c r="K1555" s="24" t="n">
        <v>2</v>
      </c>
      <c r="L1555" s="24" t="str">
        <f aca="false">IF(J1555&lt;&gt;"","Enrolled",IF(I1555&lt;&gt;"","Admitted",IF(H1555&lt;&gt;"","Applied",IF(G1555&lt;&gt;"","Contacted","New"))))</f>
        <v>Contacted</v>
      </c>
      <c r="M1555" s="32" t="n">
        <f aca="false">IF(G1555="","",G1555-B1555)</f>
        <v>0</v>
      </c>
      <c r="N1555" s="24" t="str">
        <f aca="false">IF(COUNTIF($A$2:A1555,A1555)&gt;1,"Duplicate ID",IF(C1555="","Missing source",IF(OR(AND(G1555&lt;&gt;"",G1555&lt;B1555),AND(H1555&lt;&gt;"",H1555&lt;B1555),AND(I1555&lt;&gt;"",I1555&lt;H1555),AND(J1555&lt;&gt;"",J1555&lt;I1555)),"Date error","OK")))</f>
        <v>OK</v>
      </c>
    </row>
    <row r="1556" customFormat="false" ht="15" hidden="false" customHeight="false" outlineLevel="0" collapsed="false">
      <c r="A1556" s="24" t="s">
        <v>1632</v>
      </c>
      <c r="B1556" s="31" t="n">
        <v>46260</v>
      </c>
      <c r="C1556" s="24" t="s">
        <v>21</v>
      </c>
      <c r="D1556" s="24" t="s">
        <v>33</v>
      </c>
      <c r="E1556" s="24" t="s">
        <v>79</v>
      </c>
      <c r="F1556" s="24" t="s">
        <v>44</v>
      </c>
      <c r="G1556" s="31" t="n">
        <v>46262</v>
      </c>
      <c r="H1556" s="24"/>
      <c r="I1556" s="24"/>
      <c r="J1556" s="24"/>
      <c r="K1556" s="24" t="n">
        <v>4</v>
      </c>
      <c r="L1556" s="24" t="str">
        <f aca="false">IF(J1556&lt;&gt;"","Enrolled",IF(I1556&lt;&gt;"","Admitted",IF(H1556&lt;&gt;"","Applied",IF(G1556&lt;&gt;"","Contacted","New"))))</f>
        <v>Contacted</v>
      </c>
      <c r="M1556" s="32" t="n">
        <f aca="false">IF(G1556="","",G1556-B1556)</f>
        <v>2</v>
      </c>
      <c r="N1556" s="24" t="str">
        <f aca="false">IF(COUNTIF($A$2:A1556,A1556)&gt;1,"Duplicate ID",IF(C1556="","Missing source",IF(OR(AND(G1556&lt;&gt;"",G1556&lt;B1556),AND(H1556&lt;&gt;"",H1556&lt;B1556),AND(I1556&lt;&gt;"",I1556&lt;H1556),AND(J1556&lt;&gt;"",J1556&lt;I1556)),"Date error","OK")))</f>
        <v>OK</v>
      </c>
    </row>
    <row r="1557" customFormat="false" ht="15" hidden="false" customHeight="false" outlineLevel="0" collapsed="false">
      <c r="A1557" s="24" t="s">
        <v>1633</v>
      </c>
      <c r="B1557" s="31" t="n">
        <v>46260</v>
      </c>
      <c r="C1557" s="24" t="s">
        <v>26</v>
      </c>
      <c r="D1557" s="24" t="s">
        <v>36</v>
      </c>
      <c r="E1557" s="24" t="s">
        <v>89</v>
      </c>
      <c r="F1557" s="24" t="s">
        <v>40</v>
      </c>
      <c r="G1557" s="31" t="n">
        <v>46260</v>
      </c>
      <c r="H1557" s="24"/>
      <c r="I1557" s="24"/>
      <c r="J1557" s="24"/>
      <c r="K1557" s="24" t="n">
        <v>3</v>
      </c>
      <c r="L1557" s="24" t="str">
        <f aca="false">IF(J1557&lt;&gt;"","Enrolled",IF(I1557&lt;&gt;"","Admitted",IF(H1557&lt;&gt;"","Applied",IF(G1557&lt;&gt;"","Contacted","New"))))</f>
        <v>Contacted</v>
      </c>
      <c r="M1557" s="32" t="n">
        <f aca="false">IF(G1557="","",G1557-B1557)</f>
        <v>0</v>
      </c>
      <c r="N1557" s="24" t="str">
        <f aca="false">IF(COUNTIF($A$2:A1557,A1557)&gt;1,"Duplicate ID",IF(C1557="","Missing source",IF(OR(AND(G1557&lt;&gt;"",G1557&lt;B1557),AND(H1557&lt;&gt;"",H1557&lt;B1557),AND(I1557&lt;&gt;"",I1557&lt;H1557),AND(J1557&lt;&gt;"",J1557&lt;I1557)),"Date error","OK")))</f>
        <v>OK</v>
      </c>
    </row>
    <row r="1558" customFormat="false" ht="15" hidden="false" customHeight="false" outlineLevel="0" collapsed="false">
      <c r="A1558" s="24" t="s">
        <v>1634</v>
      </c>
      <c r="B1558" s="31" t="n">
        <v>46260</v>
      </c>
      <c r="C1558" s="24" t="s">
        <v>24</v>
      </c>
      <c r="D1558" s="24" t="s">
        <v>32</v>
      </c>
      <c r="E1558" s="24" t="s">
        <v>84</v>
      </c>
      <c r="F1558" s="24" t="s">
        <v>41</v>
      </c>
      <c r="G1558" s="31" t="n">
        <v>46261</v>
      </c>
      <c r="H1558" s="24"/>
      <c r="I1558" s="24"/>
      <c r="J1558" s="24"/>
      <c r="K1558" s="24" t="n">
        <v>1</v>
      </c>
      <c r="L1558" s="24" t="str">
        <f aca="false">IF(J1558&lt;&gt;"","Enrolled",IF(I1558&lt;&gt;"","Admitted",IF(H1558&lt;&gt;"","Applied",IF(G1558&lt;&gt;"","Contacted","New"))))</f>
        <v>Contacted</v>
      </c>
      <c r="M1558" s="32" t="n">
        <f aca="false">IF(G1558="","",G1558-B1558)</f>
        <v>1</v>
      </c>
      <c r="N1558" s="24" t="str">
        <f aca="false">IF(COUNTIF($A$2:A1558,A1558)&gt;1,"Duplicate ID",IF(C1558="","Missing source",IF(OR(AND(G1558&lt;&gt;"",G1558&lt;B1558),AND(H1558&lt;&gt;"",H1558&lt;B1558),AND(I1558&lt;&gt;"",I1558&lt;H1558),AND(J1558&lt;&gt;"",J1558&lt;I1558)),"Date error","OK")))</f>
        <v>OK</v>
      </c>
    </row>
    <row r="1559" customFormat="false" ht="15" hidden="false" customHeight="false" outlineLevel="0" collapsed="false">
      <c r="A1559" s="24" t="s">
        <v>1635</v>
      </c>
      <c r="B1559" s="31" t="n">
        <v>46260</v>
      </c>
      <c r="C1559" s="24" t="s">
        <v>27</v>
      </c>
      <c r="D1559" s="24" t="s">
        <v>36</v>
      </c>
      <c r="E1559" s="24" t="s">
        <v>81</v>
      </c>
      <c r="F1559" s="24" t="s">
        <v>40</v>
      </c>
      <c r="G1559" s="31" t="n">
        <v>46260</v>
      </c>
      <c r="H1559" s="24"/>
      <c r="I1559" s="24"/>
      <c r="J1559" s="24"/>
      <c r="K1559" s="24" t="n">
        <v>1</v>
      </c>
      <c r="L1559" s="24" t="str">
        <f aca="false">IF(J1559&lt;&gt;"","Enrolled",IF(I1559&lt;&gt;"","Admitted",IF(H1559&lt;&gt;"","Applied",IF(G1559&lt;&gt;"","Contacted","New"))))</f>
        <v>Contacted</v>
      </c>
      <c r="M1559" s="32" t="n">
        <f aca="false">IF(G1559="","",G1559-B1559)</f>
        <v>0</v>
      </c>
      <c r="N1559" s="24" t="str">
        <f aca="false">IF(COUNTIF($A$2:A1559,A1559)&gt;1,"Duplicate ID",IF(C1559="","Missing source",IF(OR(AND(G1559&lt;&gt;"",G1559&lt;B1559),AND(H1559&lt;&gt;"",H1559&lt;B1559),AND(I1559&lt;&gt;"",I1559&lt;H1559),AND(J1559&lt;&gt;"",J1559&lt;I1559)),"Date error","OK")))</f>
        <v>OK</v>
      </c>
    </row>
    <row r="1560" customFormat="false" ht="15" hidden="false" customHeight="false" outlineLevel="0" collapsed="false">
      <c r="A1560" s="24" t="s">
        <v>1636</v>
      </c>
      <c r="B1560" s="31" t="n">
        <v>46260</v>
      </c>
      <c r="C1560" s="24" t="s">
        <v>21</v>
      </c>
      <c r="D1560" s="24" t="s">
        <v>35</v>
      </c>
      <c r="E1560" s="24" t="s">
        <v>79</v>
      </c>
      <c r="F1560" s="24" t="s">
        <v>43</v>
      </c>
      <c r="G1560" s="31" t="n">
        <v>46261</v>
      </c>
      <c r="H1560" s="24"/>
      <c r="I1560" s="24"/>
      <c r="J1560" s="24"/>
      <c r="K1560" s="24" t="n">
        <v>2</v>
      </c>
      <c r="L1560" s="24" t="str">
        <f aca="false">IF(J1560&lt;&gt;"","Enrolled",IF(I1560&lt;&gt;"","Admitted",IF(H1560&lt;&gt;"","Applied",IF(G1560&lt;&gt;"","Contacted","New"))))</f>
        <v>Contacted</v>
      </c>
      <c r="M1560" s="32" t="n">
        <f aca="false">IF(G1560="","",G1560-B1560)</f>
        <v>1</v>
      </c>
      <c r="N1560" s="24" t="str">
        <f aca="false">IF(COUNTIF($A$2:A1560,A1560)&gt;1,"Duplicate ID",IF(C1560="","Missing source",IF(OR(AND(G1560&lt;&gt;"",G1560&lt;B1560),AND(H1560&lt;&gt;"",H1560&lt;B1560),AND(I1560&lt;&gt;"",I1560&lt;H1560),AND(J1560&lt;&gt;"",J1560&lt;I1560)),"Date error","OK")))</f>
        <v>OK</v>
      </c>
    </row>
    <row r="1561" customFormat="false" ht="15" hidden="false" customHeight="false" outlineLevel="0" collapsed="false">
      <c r="A1561" s="24" t="s">
        <v>1637</v>
      </c>
      <c r="B1561" s="31" t="n">
        <v>46260</v>
      </c>
      <c r="C1561" s="24" t="s">
        <v>26</v>
      </c>
      <c r="D1561" s="24" t="s">
        <v>32</v>
      </c>
      <c r="E1561" s="24" t="s">
        <v>79</v>
      </c>
      <c r="F1561" s="24" t="s">
        <v>40</v>
      </c>
      <c r="G1561" s="31" t="n">
        <v>46260</v>
      </c>
      <c r="H1561" s="24"/>
      <c r="I1561" s="24"/>
      <c r="J1561" s="24"/>
      <c r="K1561" s="24" t="n">
        <v>1</v>
      </c>
      <c r="L1561" s="24" t="str">
        <f aca="false">IF(J1561&lt;&gt;"","Enrolled",IF(I1561&lt;&gt;"","Admitted",IF(H1561&lt;&gt;"","Applied",IF(G1561&lt;&gt;"","Contacted","New"))))</f>
        <v>Contacted</v>
      </c>
      <c r="M1561" s="32" t="n">
        <f aca="false">IF(G1561="","",G1561-B1561)</f>
        <v>0</v>
      </c>
      <c r="N1561" s="24" t="str">
        <f aca="false">IF(COUNTIF($A$2:A1561,A1561)&gt;1,"Duplicate ID",IF(C1561="","Missing source",IF(OR(AND(G1561&lt;&gt;"",G1561&lt;B1561),AND(H1561&lt;&gt;"",H1561&lt;B1561),AND(I1561&lt;&gt;"",I1561&lt;H1561),AND(J1561&lt;&gt;"",J1561&lt;I1561)),"Date error","OK")))</f>
        <v>OK</v>
      </c>
    </row>
    <row r="1562" customFormat="false" ht="15" hidden="false" customHeight="false" outlineLevel="0" collapsed="false">
      <c r="A1562" s="24" t="s">
        <v>1638</v>
      </c>
      <c r="B1562" s="31" t="n">
        <v>46260</v>
      </c>
      <c r="C1562" s="24" t="s">
        <v>26</v>
      </c>
      <c r="D1562" s="24" t="s">
        <v>33</v>
      </c>
      <c r="E1562" s="24" t="s">
        <v>81</v>
      </c>
      <c r="F1562" s="24" t="s">
        <v>45</v>
      </c>
      <c r="G1562" s="31" t="n">
        <v>46261</v>
      </c>
      <c r="H1562" s="24"/>
      <c r="I1562" s="24"/>
      <c r="J1562" s="24"/>
      <c r="K1562" s="24" t="n">
        <v>1</v>
      </c>
      <c r="L1562" s="24" t="str">
        <f aca="false">IF(J1562&lt;&gt;"","Enrolled",IF(I1562&lt;&gt;"","Admitted",IF(H1562&lt;&gt;"","Applied",IF(G1562&lt;&gt;"","Contacted","New"))))</f>
        <v>Contacted</v>
      </c>
      <c r="M1562" s="32" t="n">
        <f aca="false">IF(G1562="","",G1562-B1562)</f>
        <v>1</v>
      </c>
      <c r="N1562" s="24" t="str">
        <f aca="false">IF(COUNTIF($A$2:A1562,A1562)&gt;1,"Duplicate ID",IF(C1562="","Missing source",IF(OR(AND(G1562&lt;&gt;"",G1562&lt;B1562),AND(H1562&lt;&gt;"",H1562&lt;B1562),AND(I1562&lt;&gt;"",I1562&lt;H1562),AND(J1562&lt;&gt;"",J1562&lt;I1562)),"Date error","OK")))</f>
        <v>OK</v>
      </c>
    </row>
    <row r="1563" customFormat="false" ht="15" hidden="false" customHeight="false" outlineLevel="0" collapsed="false">
      <c r="A1563" s="24" t="s">
        <v>1639</v>
      </c>
      <c r="B1563" s="31" t="n">
        <v>46261</v>
      </c>
      <c r="C1563" s="24" t="s">
        <v>26</v>
      </c>
      <c r="D1563" s="24" t="s">
        <v>33</v>
      </c>
      <c r="E1563" s="24" t="s">
        <v>84</v>
      </c>
      <c r="F1563" s="24" t="s">
        <v>42</v>
      </c>
      <c r="G1563" s="24"/>
      <c r="H1563" s="24"/>
      <c r="I1563" s="24"/>
      <c r="J1563" s="24"/>
      <c r="K1563" s="24" t="n">
        <v>0</v>
      </c>
      <c r="L1563" s="24" t="str">
        <f aca="false">IF(J1563&lt;&gt;"","Enrolled",IF(I1563&lt;&gt;"","Admitted",IF(H1563&lt;&gt;"","Applied",IF(G1563&lt;&gt;"","Contacted","New"))))</f>
        <v>New</v>
      </c>
      <c r="M1563" s="32" t="str">
        <f aca="false">IF(G1563="","",G1563-B1563)</f>
        <v/>
      </c>
      <c r="N1563" s="24" t="str">
        <f aca="false">IF(COUNTIF($A$2:A1563,A1563)&gt;1,"Duplicate ID",IF(C1563="","Missing source",IF(OR(AND(G1563&lt;&gt;"",G1563&lt;B1563),AND(H1563&lt;&gt;"",H1563&lt;B1563),AND(I1563&lt;&gt;"",I1563&lt;H1563),AND(J1563&lt;&gt;"",J1563&lt;I1563)),"Date error","OK")))</f>
        <v>OK</v>
      </c>
    </row>
    <row r="1564" customFormat="false" ht="15" hidden="false" customHeight="false" outlineLevel="0" collapsed="false">
      <c r="A1564" s="24" t="s">
        <v>1640</v>
      </c>
      <c r="B1564" s="31" t="n">
        <v>46261</v>
      </c>
      <c r="C1564" s="24" t="s">
        <v>22</v>
      </c>
      <c r="D1564" s="24" t="s">
        <v>36</v>
      </c>
      <c r="E1564" s="24" t="s">
        <v>79</v>
      </c>
      <c r="F1564" s="24" t="s">
        <v>42</v>
      </c>
      <c r="G1564" s="31" t="n">
        <v>46262</v>
      </c>
      <c r="H1564" s="24"/>
      <c r="I1564" s="24"/>
      <c r="J1564" s="24"/>
      <c r="K1564" s="24" t="n">
        <v>2</v>
      </c>
      <c r="L1564" s="24" t="str">
        <f aca="false">IF(J1564&lt;&gt;"","Enrolled",IF(I1564&lt;&gt;"","Admitted",IF(H1564&lt;&gt;"","Applied",IF(G1564&lt;&gt;"","Contacted","New"))))</f>
        <v>Contacted</v>
      </c>
      <c r="M1564" s="32" t="n">
        <f aca="false">IF(G1564="","",G1564-B1564)</f>
        <v>1</v>
      </c>
      <c r="N1564" s="24" t="str">
        <f aca="false">IF(COUNTIF($A$2:A1564,A1564)&gt;1,"Duplicate ID",IF(C1564="","Missing source",IF(OR(AND(G1564&lt;&gt;"",G1564&lt;B1564),AND(H1564&lt;&gt;"",H1564&lt;B1564),AND(I1564&lt;&gt;"",I1564&lt;H1564),AND(J1564&lt;&gt;"",J1564&lt;I1564)),"Date error","OK")))</f>
        <v>OK</v>
      </c>
    </row>
    <row r="1565" customFormat="false" ht="15" hidden="false" customHeight="false" outlineLevel="0" collapsed="false">
      <c r="A1565" s="24" t="s">
        <v>1641</v>
      </c>
      <c r="B1565" s="31" t="n">
        <v>46261</v>
      </c>
      <c r="C1565" s="24" t="s">
        <v>23</v>
      </c>
      <c r="D1565" s="24" t="s">
        <v>34</v>
      </c>
      <c r="E1565" s="24" t="s">
        <v>89</v>
      </c>
      <c r="F1565" s="24" t="s">
        <v>44</v>
      </c>
      <c r="G1565" s="24"/>
      <c r="H1565" s="24"/>
      <c r="I1565" s="24"/>
      <c r="J1565" s="24"/>
      <c r="K1565" s="24" t="n">
        <v>0</v>
      </c>
      <c r="L1565" s="24" t="str">
        <f aca="false">IF(J1565&lt;&gt;"","Enrolled",IF(I1565&lt;&gt;"","Admitted",IF(H1565&lt;&gt;"","Applied",IF(G1565&lt;&gt;"","Contacted","New"))))</f>
        <v>New</v>
      </c>
      <c r="M1565" s="32" t="str">
        <f aca="false">IF(G1565="","",G1565-B1565)</f>
        <v/>
      </c>
      <c r="N1565" s="24" t="str">
        <f aca="false">IF(COUNTIF($A$2:A1565,A1565)&gt;1,"Duplicate ID",IF(C1565="","Missing source",IF(OR(AND(G1565&lt;&gt;"",G1565&lt;B1565),AND(H1565&lt;&gt;"",H1565&lt;B1565),AND(I1565&lt;&gt;"",I1565&lt;H1565),AND(J1565&lt;&gt;"",J1565&lt;I1565)),"Date error","OK")))</f>
        <v>OK</v>
      </c>
    </row>
    <row r="1566" customFormat="false" ht="15" hidden="false" customHeight="false" outlineLevel="0" collapsed="false">
      <c r="A1566" s="24" t="s">
        <v>1642</v>
      </c>
      <c r="B1566" s="31" t="n">
        <v>46261</v>
      </c>
      <c r="C1566" s="24" t="s">
        <v>22</v>
      </c>
      <c r="D1566" s="24" t="s">
        <v>33</v>
      </c>
      <c r="E1566" s="24" t="s">
        <v>81</v>
      </c>
      <c r="F1566" s="24" t="s">
        <v>40</v>
      </c>
      <c r="G1566" s="31" t="n">
        <v>46262</v>
      </c>
      <c r="H1566" s="24"/>
      <c r="I1566" s="24"/>
      <c r="J1566" s="24"/>
      <c r="K1566" s="24" t="n">
        <v>1</v>
      </c>
      <c r="L1566" s="24" t="str">
        <f aca="false">IF(J1566&lt;&gt;"","Enrolled",IF(I1566&lt;&gt;"","Admitted",IF(H1566&lt;&gt;"","Applied",IF(G1566&lt;&gt;"","Contacted","New"))))</f>
        <v>Contacted</v>
      </c>
      <c r="M1566" s="32" t="n">
        <f aca="false">IF(G1566="","",G1566-B1566)</f>
        <v>1</v>
      </c>
      <c r="N1566" s="24" t="str">
        <f aca="false">IF(COUNTIF($A$2:A1566,A1566)&gt;1,"Duplicate ID",IF(C1566="","Missing source",IF(OR(AND(G1566&lt;&gt;"",G1566&lt;B1566),AND(H1566&lt;&gt;"",H1566&lt;B1566),AND(I1566&lt;&gt;"",I1566&lt;H1566),AND(J1566&lt;&gt;"",J1566&lt;I1566)),"Date error","OK")))</f>
        <v>OK</v>
      </c>
    </row>
    <row r="1567" customFormat="false" ht="15" hidden="false" customHeight="false" outlineLevel="0" collapsed="false">
      <c r="A1567" s="24" t="s">
        <v>1643</v>
      </c>
      <c r="B1567" s="31" t="n">
        <v>46261</v>
      </c>
      <c r="C1567" s="24" t="s">
        <v>23</v>
      </c>
      <c r="D1567" s="24" t="s">
        <v>33</v>
      </c>
      <c r="E1567" s="24" t="s">
        <v>89</v>
      </c>
      <c r="F1567" s="24" t="s">
        <v>40</v>
      </c>
      <c r="G1567" s="31" t="n">
        <v>46261</v>
      </c>
      <c r="H1567" s="24"/>
      <c r="I1567" s="24"/>
      <c r="J1567" s="24"/>
      <c r="K1567" s="24" t="n">
        <v>2</v>
      </c>
      <c r="L1567" s="24" t="str">
        <f aca="false">IF(J1567&lt;&gt;"","Enrolled",IF(I1567&lt;&gt;"","Admitted",IF(H1567&lt;&gt;"","Applied",IF(G1567&lt;&gt;"","Contacted","New"))))</f>
        <v>Contacted</v>
      </c>
      <c r="M1567" s="32" t="n">
        <f aca="false">IF(G1567="","",G1567-B1567)</f>
        <v>0</v>
      </c>
      <c r="N1567" s="24" t="str">
        <f aca="false">IF(COUNTIF($A$2:A1567,A1567)&gt;1,"Duplicate ID",IF(C1567="","Missing source",IF(OR(AND(G1567&lt;&gt;"",G1567&lt;B1567),AND(H1567&lt;&gt;"",H1567&lt;B1567),AND(I1567&lt;&gt;"",I1567&lt;H1567),AND(J1567&lt;&gt;"",J1567&lt;I1567)),"Date error","OK")))</f>
        <v>OK</v>
      </c>
    </row>
    <row r="1568" customFormat="false" ht="15" hidden="false" customHeight="false" outlineLevel="0" collapsed="false">
      <c r="A1568" s="24" t="s">
        <v>1644</v>
      </c>
      <c r="B1568" s="31" t="n">
        <v>46261</v>
      </c>
      <c r="C1568" s="24" t="s">
        <v>24</v>
      </c>
      <c r="D1568" s="24" t="s">
        <v>35</v>
      </c>
      <c r="E1568" s="24" t="s">
        <v>89</v>
      </c>
      <c r="F1568" s="24" t="s">
        <v>40</v>
      </c>
      <c r="G1568" s="31" t="n">
        <v>46261</v>
      </c>
      <c r="H1568" s="24"/>
      <c r="I1568" s="24"/>
      <c r="J1568" s="24"/>
      <c r="K1568" s="24" t="n">
        <v>4</v>
      </c>
      <c r="L1568" s="24" t="str">
        <f aca="false">IF(J1568&lt;&gt;"","Enrolled",IF(I1568&lt;&gt;"","Admitted",IF(H1568&lt;&gt;"","Applied",IF(G1568&lt;&gt;"","Contacted","New"))))</f>
        <v>Contacted</v>
      </c>
      <c r="M1568" s="32" t="n">
        <f aca="false">IF(G1568="","",G1568-B1568)</f>
        <v>0</v>
      </c>
      <c r="N1568" s="24" t="str">
        <f aca="false">IF(COUNTIF($A$2:A1568,A1568)&gt;1,"Duplicate ID",IF(C1568="","Missing source",IF(OR(AND(G1568&lt;&gt;"",G1568&lt;B1568),AND(H1568&lt;&gt;"",H1568&lt;B1568),AND(I1568&lt;&gt;"",I1568&lt;H1568),AND(J1568&lt;&gt;"",J1568&lt;I1568)),"Date error","OK")))</f>
        <v>OK</v>
      </c>
    </row>
    <row r="1569" customFormat="false" ht="15" hidden="false" customHeight="false" outlineLevel="0" collapsed="false">
      <c r="A1569" s="24" t="s">
        <v>1645</v>
      </c>
      <c r="B1569" s="31" t="n">
        <v>46262</v>
      </c>
      <c r="C1569" s="24" t="s">
        <v>23</v>
      </c>
      <c r="D1569" s="24" t="s">
        <v>33</v>
      </c>
      <c r="E1569" s="24" t="s">
        <v>89</v>
      </c>
      <c r="F1569" s="24" t="s">
        <v>42</v>
      </c>
      <c r="G1569" s="31" t="n">
        <v>46263</v>
      </c>
      <c r="H1569" s="24"/>
      <c r="I1569" s="24"/>
      <c r="J1569" s="24"/>
      <c r="K1569" s="24" t="n">
        <v>0</v>
      </c>
      <c r="L1569" s="24" t="str">
        <f aca="false">IF(J1569&lt;&gt;"","Enrolled",IF(I1569&lt;&gt;"","Admitted",IF(H1569&lt;&gt;"","Applied",IF(G1569&lt;&gt;"","Contacted","New"))))</f>
        <v>Contacted</v>
      </c>
      <c r="M1569" s="32" t="n">
        <f aca="false">IF(G1569="","",G1569-B1569)</f>
        <v>1</v>
      </c>
      <c r="N1569" s="24" t="str">
        <f aca="false">IF(COUNTIF($A$2:A1569,A1569)&gt;1,"Duplicate ID",IF(C1569="","Missing source",IF(OR(AND(G1569&lt;&gt;"",G1569&lt;B1569),AND(H1569&lt;&gt;"",H1569&lt;B1569),AND(I1569&lt;&gt;"",I1569&lt;H1569),AND(J1569&lt;&gt;"",J1569&lt;I1569)),"Date error","OK")))</f>
        <v>OK</v>
      </c>
    </row>
    <row r="1570" customFormat="false" ht="15" hidden="false" customHeight="false" outlineLevel="0" collapsed="false">
      <c r="A1570" s="24" t="s">
        <v>1646</v>
      </c>
      <c r="B1570" s="31" t="n">
        <v>46262</v>
      </c>
      <c r="C1570" s="24" t="s">
        <v>23</v>
      </c>
      <c r="D1570" s="24" t="s">
        <v>33</v>
      </c>
      <c r="E1570" s="24" t="s">
        <v>84</v>
      </c>
      <c r="F1570" s="24" t="s">
        <v>45</v>
      </c>
      <c r="G1570" s="31" t="n">
        <v>46264</v>
      </c>
      <c r="H1570" s="24"/>
      <c r="I1570" s="24"/>
      <c r="J1570" s="24"/>
      <c r="K1570" s="24" t="n">
        <v>3</v>
      </c>
      <c r="L1570" s="24" t="str">
        <f aca="false">IF(J1570&lt;&gt;"","Enrolled",IF(I1570&lt;&gt;"","Admitted",IF(H1570&lt;&gt;"","Applied",IF(G1570&lt;&gt;"","Contacted","New"))))</f>
        <v>Contacted</v>
      </c>
      <c r="M1570" s="32" t="n">
        <f aca="false">IF(G1570="","",G1570-B1570)</f>
        <v>2</v>
      </c>
      <c r="N1570" s="24" t="str">
        <f aca="false">IF(COUNTIF($A$2:A1570,A1570)&gt;1,"Duplicate ID",IF(C1570="","Missing source",IF(OR(AND(G1570&lt;&gt;"",G1570&lt;B1570),AND(H1570&lt;&gt;"",H1570&lt;B1570),AND(I1570&lt;&gt;"",I1570&lt;H1570),AND(J1570&lt;&gt;"",J1570&lt;I1570)),"Date error","OK")))</f>
        <v>OK</v>
      </c>
    </row>
    <row r="1571" customFormat="false" ht="15" hidden="false" customHeight="false" outlineLevel="0" collapsed="false">
      <c r="A1571" s="24" t="s">
        <v>1647</v>
      </c>
      <c r="B1571" s="31" t="n">
        <v>46262</v>
      </c>
      <c r="C1571" s="24" t="s">
        <v>25</v>
      </c>
      <c r="D1571" s="24" t="s">
        <v>33</v>
      </c>
      <c r="E1571" s="24" t="s">
        <v>79</v>
      </c>
      <c r="F1571" s="24" t="s">
        <v>40</v>
      </c>
      <c r="G1571" s="31" t="n">
        <v>46262</v>
      </c>
      <c r="H1571" s="24"/>
      <c r="I1571" s="24"/>
      <c r="J1571" s="24"/>
      <c r="K1571" s="24" t="n">
        <v>3</v>
      </c>
      <c r="L1571" s="24" t="str">
        <f aca="false">IF(J1571&lt;&gt;"","Enrolled",IF(I1571&lt;&gt;"","Admitted",IF(H1571&lt;&gt;"","Applied",IF(G1571&lt;&gt;"","Contacted","New"))))</f>
        <v>Contacted</v>
      </c>
      <c r="M1571" s="32" t="n">
        <f aca="false">IF(G1571="","",G1571-B1571)</f>
        <v>0</v>
      </c>
      <c r="N1571" s="24" t="str">
        <f aca="false">IF(COUNTIF($A$2:A1571,A1571)&gt;1,"Duplicate ID",IF(C1571="","Missing source",IF(OR(AND(G1571&lt;&gt;"",G1571&lt;B1571),AND(H1571&lt;&gt;"",H1571&lt;B1571),AND(I1571&lt;&gt;"",I1571&lt;H1571),AND(J1571&lt;&gt;"",J1571&lt;I1571)),"Date error","OK")))</f>
        <v>OK</v>
      </c>
    </row>
    <row r="1572" customFormat="false" ht="15" hidden="false" customHeight="false" outlineLevel="0" collapsed="false">
      <c r="A1572" s="24" t="s">
        <v>1648</v>
      </c>
      <c r="B1572" s="31" t="n">
        <v>46262</v>
      </c>
      <c r="C1572" s="24" t="s">
        <v>26</v>
      </c>
      <c r="D1572" s="24" t="s">
        <v>32</v>
      </c>
      <c r="E1572" s="24" t="s">
        <v>89</v>
      </c>
      <c r="F1572" s="24" t="s">
        <v>45</v>
      </c>
      <c r="G1572" s="31" t="n">
        <v>46262</v>
      </c>
      <c r="H1572" s="24"/>
      <c r="I1572" s="24"/>
      <c r="J1572" s="24"/>
      <c r="K1572" s="24" t="n">
        <v>1</v>
      </c>
      <c r="L1572" s="24" t="str">
        <f aca="false">IF(J1572&lt;&gt;"","Enrolled",IF(I1572&lt;&gt;"","Admitted",IF(H1572&lt;&gt;"","Applied",IF(G1572&lt;&gt;"","Contacted","New"))))</f>
        <v>Contacted</v>
      </c>
      <c r="M1572" s="32" t="n">
        <f aca="false">IF(G1572="","",G1572-B1572)</f>
        <v>0</v>
      </c>
      <c r="N1572" s="24" t="str">
        <f aca="false">IF(COUNTIF($A$2:A1572,A1572)&gt;1,"Duplicate ID",IF(C1572="","Missing source",IF(OR(AND(G1572&lt;&gt;"",G1572&lt;B1572),AND(H1572&lt;&gt;"",H1572&lt;B1572),AND(I1572&lt;&gt;"",I1572&lt;H1572),AND(J1572&lt;&gt;"",J1572&lt;I1572)),"Date error","OK")))</f>
        <v>OK</v>
      </c>
    </row>
    <row r="1573" customFormat="false" ht="15" hidden="false" customHeight="false" outlineLevel="0" collapsed="false">
      <c r="A1573" s="24" t="s">
        <v>1649</v>
      </c>
      <c r="B1573" s="31" t="n">
        <v>46262</v>
      </c>
      <c r="C1573" s="24" t="s">
        <v>26</v>
      </c>
      <c r="D1573" s="24" t="s">
        <v>34</v>
      </c>
      <c r="E1573" s="24" t="s">
        <v>89</v>
      </c>
      <c r="F1573" s="24" t="s">
        <v>45</v>
      </c>
      <c r="G1573" s="24"/>
      <c r="H1573" s="24"/>
      <c r="I1573" s="24"/>
      <c r="J1573" s="24"/>
      <c r="K1573" s="24" t="n">
        <v>0</v>
      </c>
      <c r="L1573" s="24" t="str">
        <f aca="false">IF(J1573&lt;&gt;"","Enrolled",IF(I1573&lt;&gt;"","Admitted",IF(H1573&lt;&gt;"","Applied",IF(G1573&lt;&gt;"","Contacted","New"))))</f>
        <v>New</v>
      </c>
      <c r="M1573" s="32" t="str">
        <f aca="false">IF(G1573="","",G1573-B1573)</f>
        <v/>
      </c>
      <c r="N1573" s="24" t="str">
        <f aca="false">IF(COUNTIF($A$2:A1573,A1573)&gt;1,"Duplicate ID",IF(C1573="","Missing source",IF(OR(AND(G1573&lt;&gt;"",G1573&lt;B1573),AND(H1573&lt;&gt;"",H1573&lt;B1573),AND(I1573&lt;&gt;"",I1573&lt;H1573),AND(J1573&lt;&gt;"",J1573&lt;I1573)),"Date error","OK")))</f>
        <v>OK</v>
      </c>
    </row>
    <row r="1574" customFormat="false" ht="15" hidden="false" customHeight="false" outlineLevel="0" collapsed="false">
      <c r="A1574" s="24" t="s">
        <v>1650</v>
      </c>
      <c r="B1574" s="31" t="n">
        <v>46262</v>
      </c>
      <c r="C1574" s="24" t="s">
        <v>27</v>
      </c>
      <c r="D1574" s="24" t="s">
        <v>36</v>
      </c>
      <c r="E1574" s="24" t="s">
        <v>79</v>
      </c>
      <c r="F1574" s="24" t="s">
        <v>40</v>
      </c>
      <c r="G1574" s="31" t="n">
        <v>46264</v>
      </c>
      <c r="H1574" s="24"/>
      <c r="I1574" s="24"/>
      <c r="J1574" s="24"/>
      <c r="K1574" s="24" t="n">
        <v>1</v>
      </c>
      <c r="L1574" s="24" t="str">
        <f aca="false">IF(J1574&lt;&gt;"","Enrolled",IF(I1574&lt;&gt;"","Admitted",IF(H1574&lt;&gt;"","Applied",IF(G1574&lt;&gt;"","Contacted","New"))))</f>
        <v>Contacted</v>
      </c>
      <c r="M1574" s="32" t="n">
        <f aca="false">IF(G1574="","",G1574-B1574)</f>
        <v>2</v>
      </c>
      <c r="N1574" s="24" t="str">
        <f aca="false">IF(COUNTIF($A$2:A1574,A1574)&gt;1,"Duplicate ID",IF(C1574="","Missing source",IF(OR(AND(G1574&lt;&gt;"",G1574&lt;B1574),AND(H1574&lt;&gt;"",H1574&lt;B1574),AND(I1574&lt;&gt;"",I1574&lt;H1574),AND(J1574&lt;&gt;"",J1574&lt;I1574)),"Date error","OK")))</f>
        <v>OK</v>
      </c>
    </row>
    <row r="1575" customFormat="false" ht="15" hidden="false" customHeight="false" outlineLevel="0" collapsed="false">
      <c r="A1575" s="24" t="s">
        <v>1651</v>
      </c>
      <c r="B1575" s="31" t="n">
        <v>46262</v>
      </c>
      <c r="C1575" s="24" t="s">
        <v>25</v>
      </c>
      <c r="D1575" s="24" t="s">
        <v>35</v>
      </c>
      <c r="E1575" s="24" t="s">
        <v>79</v>
      </c>
      <c r="F1575" s="24" t="s">
        <v>40</v>
      </c>
      <c r="G1575" s="31" t="n">
        <v>46262</v>
      </c>
      <c r="H1575" s="24"/>
      <c r="I1575" s="24"/>
      <c r="J1575" s="24"/>
      <c r="K1575" s="24" t="n">
        <v>4</v>
      </c>
      <c r="L1575" s="24" t="str">
        <f aca="false">IF(J1575&lt;&gt;"","Enrolled",IF(I1575&lt;&gt;"","Admitted",IF(H1575&lt;&gt;"","Applied",IF(G1575&lt;&gt;"","Contacted","New"))))</f>
        <v>Contacted</v>
      </c>
      <c r="M1575" s="32" t="n">
        <f aca="false">IF(G1575="","",G1575-B1575)</f>
        <v>0</v>
      </c>
      <c r="N1575" s="24" t="str">
        <f aca="false">IF(COUNTIF($A$2:A1575,A1575)&gt;1,"Duplicate ID",IF(C1575="","Missing source",IF(OR(AND(G1575&lt;&gt;"",G1575&lt;B1575),AND(H1575&lt;&gt;"",H1575&lt;B1575),AND(I1575&lt;&gt;"",I1575&lt;H1575),AND(J1575&lt;&gt;"",J1575&lt;I1575)),"Date error","OK")))</f>
        <v>OK</v>
      </c>
    </row>
    <row r="1576" customFormat="false" ht="15" hidden="false" customHeight="false" outlineLevel="0" collapsed="false">
      <c r="A1576" s="24" t="s">
        <v>1652</v>
      </c>
      <c r="B1576" s="31" t="n">
        <v>46262</v>
      </c>
      <c r="C1576" s="24" t="s">
        <v>26</v>
      </c>
      <c r="D1576" s="24" t="s">
        <v>32</v>
      </c>
      <c r="E1576" s="24" t="s">
        <v>84</v>
      </c>
      <c r="F1576" s="24" t="s">
        <v>40</v>
      </c>
      <c r="G1576" s="31" t="n">
        <v>46262</v>
      </c>
      <c r="H1576" s="24"/>
      <c r="I1576" s="24"/>
      <c r="J1576" s="24"/>
      <c r="K1576" s="24" t="n">
        <v>0</v>
      </c>
      <c r="L1576" s="24" t="str">
        <f aca="false">IF(J1576&lt;&gt;"","Enrolled",IF(I1576&lt;&gt;"","Admitted",IF(H1576&lt;&gt;"","Applied",IF(G1576&lt;&gt;"","Contacted","New"))))</f>
        <v>Contacted</v>
      </c>
      <c r="M1576" s="32" t="n">
        <f aca="false">IF(G1576="","",G1576-B1576)</f>
        <v>0</v>
      </c>
      <c r="N1576" s="24" t="str">
        <f aca="false">IF(COUNTIF($A$2:A1576,A1576)&gt;1,"Duplicate ID",IF(C1576="","Missing source",IF(OR(AND(G1576&lt;&gt;"",G1576&lt;B1576),AND(H1576&lt;&gt;"",H1576&lt;B1576),AND(I1576&lt;&gt;"",I1576&lt;H1576),AND(J1576&lt;&gt;"",J1576&lt;I1576)),"Date error","OK")))</f>
        <v>OK</v>
      </c>
    </row>
    <row r="1577" customFormat="false" ht="15" hidden="false" customHeight="false" outlineLevel="0" collapsed="false">
      <c r="A1577" s="24" t="s">
        <v>1653</v>
      </c>
      <c r="B1577" s="31" t="n">
        <v>46262</v>
      </c>
      <c r="C1577" s="24" t="s">
        <v>23</v>
      </c>
      <c r="D1577" s="24" t="s">
        <v>36</v>
      </c>
      <c r="E1577" s="24" t="s">
        <v>79</v>
      </c>
      <c r="F1577" s="24" t="s">
        <v>42</v>
      </c>
      <c r="G1577" s="31" t="n">
        <v>46263</v>
      </c>
      <c r="H1577" s="24"/>
      <c r="I1577" s="24"/>
      <c r="J1577" s="24"/>
      <c r="K1577" s="24" t="n">
        <v>4</v>
      </c>
      <c r="L1577" s="24" t="str">
        <f aca="false">IF(J1577&lt;&gt;"","Enrolled",IF(I1577&lt;&gt;"","Admitted",IF(H1577&lt;&gt;"","Applied",IF(G1577&lt;&gt;"","Contacted","New"))))</f>
        <v>Contacted</v>
      </c>
      <c r="M1577" s="32" t="n">
        <f aca="false">IF(G1577="","",G1577-B1577)</f>
        <v>1</v>
      </c>
      <c r="N1577" s="24" t="str">
        <f aca="false">IF(COUNTIF($A$2:A1577,A1577)&gt;1,"Duplicate ID",IF(C1577="","Missing source",IF(OR(AND(G1577&lt;&gt;"",G1577&lt;B1577),AND(H1577&lt;&gt;"",H1577&lt;B1577),AND(I1577&lt;&gt;"",I1577&lt;H1577),AND(J1577&lt;&gt;"",J1577&lt;I1577)),"Date error","OK")))</f>
        <v>OK</v>
      </c>
    </row>
    <row r="1578" customFormat="false" ht="15" hidden="false" customHeight="false" outlineLevel="0" collapsed="false">
      <c r="A1578" s="24" t="s">
        <v>1654</v>
      </c>
      <c r="B1578" s="31" t="n">
        <v>46262</v>
      </c>
      <c r="C1578" s="24" t="s">
        <v>25</v>
      </c>
      <c r="D1578" s="24" t="s">
        <v>33</v>
      </c>
      <c r="E1578" s="24" t="s">
        <v>84</v>
      </c>
      <c r="F1578" s="24" t="s">
        <v>41</v>
      </c>
      <c r="G1578" s="31" t="n">
        <v>46262</v>
      </c>
      <c r="H1578" s="24"/>
      <c r="I1578" s="24"/>
      <c r="J1578" s="24"/>
      <c r="K1578" s="24" t="n">
        <v>3</v>
      </c>
      <c r="L1578" s="24" t="str">
        <f aca="false">IF(J1578&lt;&gt;"","Enrolled",IF(I1578&lt;&gt;"","Admitted",IF(H1578&lt;&gt;"","Applied",IF(G1578&lt;&gt;"","Contacted","New"))))</f>
        <v>Contacted</v>
      </c>
      <c r="M1578" s="32" t="n">
        <f aca="false">IF(G1578="","",G1578-B1578)</f>
        <v>0</v>
      </c>
      <c r="N1578" s="24" t="str">
        <f aca="false">IF(COUNTIF($A$2:A1578,A1578)&gt;1,"Duplicate ID",IF(C1578="","Missing source",IF(OR(AND(G1578&lt;&gt;"",G1578&lt;B1578),AND(H1578&lt;&gt;"",H1578&lt;B1578),AND(I1578&lt;&gt;"",I1578&lt;H1578),AND(J1578&lt;&gt;"",J1578&lt;I1578)),"Date error","OK")))</f>
        <v>OK</v>
      </c>
    </row>
    <row r="1579" customFormat="false" ht="15" hidden="false" customHeight="false" outlineLevel="0" collapsed="false">
      <c r="A1579" s="24" t="s">
        <v>1655</v>
      </c>
      <c r="B1579" s="31" t="n">
        <v>46262</v>
      </c>
      <c r="C1579" s="24" t="s">
        <v>23</v>
      </c>
      <c r="D1579" s="24" t="s">
        <v>34</v>
      </c>
      <c r="E1579" s="24" t="s">
        <v>89</v>
      </c>
      <c r="F1579" s="24" t="s">
        <v>41</v>
      </c>
      <c r="G1579" s="24"/>
      <c r="H1579" s="24"/>
      <c r="I1579" s="24"/>
      <c r="J1579" s="24"/>
      <c r="K1579" s="24" t="n">
        <v>0</v>
      </c>
      <c r="L1579" s="24" t="str">
        <f aca="false">IF(J1579&lt;&gt;"","Enrolled",IF(I1579&lt;&gt;"","Admitted",IF(H1579&lt;&gt;"","Applied",IF(G1579&lt;&gt;"","Contacted","New"))))</f>
        <v>New</v>
      </c>
      <c r="M1579" s="32" t="str">
        <f aca="false">IF(G1579="","",G1579-B1579)</f>
        <v/>
      </c>
      <c r="N1579" s="24" t="str">
        <f aca="false">IF(COUNTIF($A$2:A1579,A1579)&gt;1,"Duplicate ID",IF(C1579="","Missing source",IF(OR(AND(G1579&lt;&gt;"",G1579&lt;B1579),AND(H1579&lt;&gt;"",H1579&lt;B1579),AND(I1579&lt;&gt;"",I1579&lt;H1579),AND(J1579&lt;&gt;"",J1579&lt;I1579)),"Date error","OK")))</f>
        <v>OK</v>
      </c>
    </row>
    <row r="1580" customFormat="false" ht="15" hidden="false" customHeight="false" outlineLevel="0" collapsed="false">
      <c r="A1580" s="24" t="s">
        <v>1656</v>
      </c>
      <c r="B1580" s="31" t="n">
        <v>46262</v>
      </c>
      <c r="C1580" s="24" t="s">
        <v>22</v>
      </c>
      <c r="D1580" s="24" t="s">
        <v>32</v>
      </c>
      <c r="E1580" s="24" t="s">
        <v>89</v>
      </c>
      <c r="F1580" s="24" t="s">
        <v>42</v>
      </c>
      <c r="G1580" s="31" t="n">
        <v>46262</v>
      </c>
      <c r="H1580" s="24"/>
      <c r="I1580" s="24"/>
      <c r="J1580" s="24"/>
      <c r="K1580" s="24" t="n">
        <v>2</v>
      </c>
      <c r="L1580" s="24" t="str">
        <f aca="false">IF(J1580&lt;&gt;"","Enrolled",IF(I1580&lt;&gt;"","Admitted",IF(H1580&lt;&gt;"","Applied",IF(G1580&lt;&gt;"","Contacted","New"))))</f>
        <v>Contacted</v>
      </c>
      <c r="M1580" s="32" t="n">
        <f aca="false">IF(G1580="","",G1580-B1580)</f>
        <v>0</v>
      </c>
      <c r="N1580" s="24" t="str">
        <f aca="false">IF(COUNTIF($A$2:A1580,A1580)&gt;1,"Duplicate ID",IF(C1580="","Missing source",IF(OR(AND(G1580&lt;&gt;"",G1580&lt;B1580),AND(H1580&lt;&gt;"",H1580&lt;B1580),AND(I1580&lt;&gt;"",I1580&lt;H1580),AND(J1580&lt;&gt;"",J1580&lt;I1580)),"Date error","OK")))</f>
        <v>OK</v>
      </c>
    </row>
    <row r="1581" customFormat="false" ht="15" hidden="false" customHeight="false" outlineLevel="0" collapsed="false">
      <c r="A1581" s="24" t="s">
        <v>1657</v>
      </c>
      <c r="B1581" s="31" t="n">
        <v>46263</v>
      </c>
      <c r="C1581" s="24" t="s">
        <v>25</v>
      </c>
      <c r="D1581" s="24" t="s">
        <v>36</v>
      </c>
      <c r="E1581" s="24" t="s">
        <v>81</v>
      </c>
      <c r="F1581" s="24" t="s">
        <v>43</v>
      </c>
      <c r="G1581" s="31" t="n">
        <v>46263</v>
      </c>
      <c r="H1581" s="24"/>
      <c r="I1581" s="24"/>
      <c r="J1581" s="24"/>
      <c r="K1581" s="24" t="n">
        <v>6</v>
      </c>
      <c r="L1581" s="24" t="str">
        <f aca="false">IF(J1581&lt;&gt;"","Enrolled",IF(I1581&lt;&gt;"","Admitted",IF(H1581&lt;&gt;"","Applied",IF(G1581&lt;&gt;"","Contacted","New"))))</f>
        <v>Contacted</v>
      </c>
      <c r="M1581" s="32" t="n">
        <f aca="false">IF(G1581="","",G1581-B1581)</f>
        <v>0</v>
      </c>
      <c r="N1581" s="24" t="str">
        <f aca="false">IF(COUNTIF($A$2:A1581,A1581)&gt;1,"Duplicate ID",IF(C1581="","Missing source",IF(OR(AND(G1581&lt;&gt;"",G1581&lt;B1581),AND(H1581&lt;&gt;"",H1581&lt;B1581),AND(I1581&lt;&gt;"",I1581&lt;H1581),AND(J1581&lt;&gt;"",J1581&lt;I1581)),"Date error","OK")))</f>
        <v>OK</v>
      </c>
    </row>
    <row r="1582" customFormat="false" ht="15" hidden="false" customHeight="false" outlineLevel="0" collapsed="false">
      <c r="A1582" s="24" t="s">
        <v>1658</v>
      </c>
      <c r="B1582" s="31" t="n">
        <v>46263</v>
      </c>
      <c r="C1582" s="24" t="s">
        <v>23</v>
      </c>
      <c r="D1582" s="24" t="s">
        <v>33</v>
      </c>
      <c r="E1582" s="24" t="s">
        <v>81</v>
      </c>
      <c r="F1582" s="24" t="s">
        <v>41</v>
      </c>
      <c r="G1582" s="31" t="n">
        <v>46264</v>
      </c>
      <c r="H1582" s="24"/>
      <c r="I1582" s="24"/>
      <c r="J1582" s="24"/>
      <c r="K1582" s="24" t="n">
        <v>1</v>
      </c>
      <c r="L1582" s="24" t="str">
        <f aca="false">IF(J1582&lt;&gt;"","Enrolled",IF(I1582&lt;&gt;"","Admitted",IF(H1582&lt;&gt;"","Applied",IF(G1582&lt;&gt;"","Contacted","New"))))</f>
        <v>Contacted</v>
      </c>
      <c r="M1582" s="32" t="n">
        <f aca="false">IF(G1582="","",G1582-B1582)</f>
        <v>1</v>
      </c>
      <c r="N1582" s="24" t="str">
        <f aca="false">IF(COUNTIF($A$2:A1582,A1582)&gt;1,"Duplicate ID",IF(C1582="","Missing source",IF(OR(AND(G1582&lt;&gt;"",G1582&lt;B1582),AND(H1582&lt;&gt;"",H1582&lt;B1582),AND(I1582&lt;&gt;"",I1582&lt;H1582),AND(J1582&lt;&gt;"",J1582&lt;I1582)),"Date error","OK")))</f>
        <v>OK</v>
      </c>
    </row>
    <row r="1583" customFormat="false" ht="15" hidden="false" customHeight="false" outlineLevel="0" collapsed="false">
      <c r="A1583" s="24" t="s">
        <v>1659</v>
      </c>
      <c r="B1583" s="31" t="n">
        <v>46263</v>
      </c>
      <c r="C1583" s="24" t="s">
        <v>22</v>
      </c>
      <c r="D1583" s="24" t="s">
        <v>35</v>
      </c>
      <c r="E1583" s="24" t="s">
        <v>81</v>
      </c>
      <c r="F1583" s="24" t="s">
        <v>41</v>
      </c>
      <c r="G1583" s="31" t="n">
        <v>46263</v>
      </c>
      <c r="H1583" s="24"/>
      <c r="I1583" s="24"/>
      <c r="J1583" s="24"/>
      <c r="K1583" s="24" t="n">
        <v>2</v>
      </c>
      <c r="L1583" s="24" t="str">
        <f aca="false">IF(J1583&lt;&gt;"","Enrolled",IF(I1583&lt;&gt;"","Admitted",IF(H1583&lt;&gt;"","Applied",IF(G1583&lt;&gt;"","Contacted","New"))))</f>
        <v>Contacted</v>
      </c>
      <c r="M1583" s="32" t="n">
        <f aca="false">IF(G1583="","",G1583-B1583)</f>
        <v>0</v>
      </c>
      <c r="N1583" s="24" t="str">
        <f aca="false">IF(COUNTIF($A$2:A1583,A1583)&gt;1,"Duplicate ID",IF(C1583="","Missing source",IF(OR(AND(G1583&lt;&gt;"",G1583&lt;B1583),AND(H1583&lt;&gt;"",H1583&lt;B1583),AND(I1583&lt;&gt;"",I1583&lt;H1583),AND(J1583&lt;&gt;"",J1583&lt;I1583)),"Date error","OK")))</f>
        <v>OK</v>
      </c>
    </row>
    <row r="1584" customFormat="false" ht="15" hidden="false" customHeight="false" outlineLevel="0" collapsed="false">
      <c r="A1584" s="24" t="s">
        <v>1660</v>
      </c>
      <c r="B1584" s="31" t="n">
        <v>46263</v>
      </c>
      <c r="C1584" s="24" t="s">
        <v>26</v>
      </c>
      <c r="D1584" s="24" t="s">
        <v>35</v>
      </c>
      <c r="E1584" s="24" t="s">
        <v>89</v>
      </c>
      <c r="F1584" s="24" t="s">
        <v>45</v>
      </c>
      <c r="G1584" s="24"/>
      <c r="H1584" s="24"/>
      <c r="I1584" s="24"/>
      <c r="J1584" s="24"/>
      <c r="K1584" s="24" t="n">
        <v>0</v>
      </c>
      <c r="L1584" s="24" t="str">
        <f aca="false">IF(J1584&lt;&gt;"","Enrolled",IF(I1584&lt;&gt;"","Admitted",IF(H1584&lt;&gt;"","Applied",IF(G1584&lt;&gt;"","Contacted","New"))))</f>
        <v>New</v>
      </c>
      <c r="M1584" s="32" t="str">
        <f aca="false">IF(G1584="","",G1584-B1584)</f>
        <v/>
      </c>
      <c r="N1584" s="24" t="str">
        <f aca="false">IF(COUNTIF($A$2:A1584,A1584)&gt;1,"Duplicate ID",IF(C1584="","Missing source",IF(OR(AND(G1584&lt;&gt;"",G1584&lt;B1584),AND(H1584&lt;&gt;"",H1584&lt;B1584),AND(I1584&lt;&gt;"",I1584&lt;H1584),AND(J1584&lt;&gt;"",J1584&lt;I1584)),"Date error","OK")))</f>
        <v>OK</v>
      </c>
    </row>
    <row r="1585" customFormat="false" ht="15" hidden="false" customHeight="false" outlineLevel="0" collapsed="false">
      <c r="A1585" s="24" t="s">
        <v>1661</v>
      </c>
      <c r="B1585" s="31" t="n">
        <v>46263</v>
      </c>
      <c r="C1585" s="24" t="s">
        <v>24</v>
      </c>
      <c r="D1585" s="24" t="s">
        <v>33</v>
      </c>
      <c r="E1585" s="24" t="s">
        <v>94</v>
      </c>
      <c r="F1585" s="24" t="s">
        <v>42</v>
      </c>
      <c r="G1585" s="31" t="n">
        <v>46264</v>
      </c>
      <c r="H1585" s="24"/>
      <c r="I1585" s="24"/>
      <c r="J1585" s="24"/>
      <c r="K1585" s="24" t="n">
        <v>3</v>
      </c>
      <c r="L1585" s="24" t="str">
        <f aca="false">IF(J1585&lt;&gt;"","Enrolled",IF(I1585&lt;&gt;"","Admitted",IF(H1585&lt;&gt;"","Applied",IF(G1585&lt;&gt;"","Contacted","New"))))</f>
        <v>Contacted</v>
      </c>
      <c r="M1585" s="32" t="n">
        <f aca="false">IF(G1585="","",G1585-B1585)</f>
        <v>1</v>
      </c>
      <c r="N1585" s="24" t="str">
        <f aca="false">IF(COUNTIF($A$2:A1585,A1585)&gt;1,"Duplicate ID",IF(C1585="","Missing source",IF(OR(AND(G1585&lt;&gt;"",G1585&lt;B1585),AND(H1585&lt;&gt;"",H1585&lt;B1585),AND(I1585&lt;&gt;"",I1585&lt;H1585),AND(J1585&lt;&gt;"",J1585&lt;I1585)),"Date error","OK")))</f>
        <v>OK</v>
      </c>
    </row>
    <row r="1586" customFormat="false" ht="15" hidden="false" customHeight="false" outlineLevel="0" collapsed="false">
      <c r="A1586" s="24" t="s">
        <v>1662</v>
      </c>
      <c r="B1586" s="31" t="n">
        <v>46263</v>
      </c>
      <c r="C1586" s="24" t="s">
        <v>27</v>
      </c>
      <c r="D1586" s="24" t="s">
        <v>32</v>
      </c>
      <c r="E1586" s="24" t="s">
        <v>89</v>
      </c>
      <c r="F1586" s="24" t="s">
        <v>42</v>
      </c>
      <c r="G1586" s="31" t="n">
        <v>46264</v>
      </c>
      <c r="H1586" s="24"/>
      <c r="I1586" s="24"/>
      <c r="J1586" s="24"/>
      <c r="K1586" s="24" t="n">
        <v>1</v>
      </c>
      <c r="L1586" s="24" t="str">
        <f aca="false">IF(J1586&lt;&gt;"","Enrolled",IF(I1586&lt;&gt;"","Admitted",IF(H1586&lt;&gt;"","Applied",IF(G1586&lt;&gt;"","Contacted","New"))))</f>
        <v>Contacted</v>
      </c>
      <c r="M1586" s="32" t="n">
        <f aca="false">IF(G1586="","",G1586-B1586)</f>
        <v>1</v>
      </c>
      <c r="N1586" s="24" t="str">
        <f aca="false">IF(COUNTIF($A$2:A1586,A1586)&gt;1,"Duplicate ID",IF(C1586="","Missing source",IF(OR(AND(G1586&lt;&gt;"",G1586&lt;B1586),AND(H1586&lt;&gt;"",H1586&lt;B1586),AND(I1586&lt;&gt;"",I1586&lt;H1586),AND(J1586&lt;&gt;"",J1586&lt;I1586)),"Date error","OK")))</f>
        <v>OK</v>
      </c>
    </row>
    <row r="1587" customFormat="false" ht="15" hidden="false" customHeight="false" outlineLevel="0" collapsed="false">
      <c r="A1587" s="24" t="s">
        <v>1663</v>
      </c>
      <c r="B1587" s="31" t="n">
        <v>46263</v>
      </c>
      <c r="C1587" s="24" t="s">
        <v>27</v>
      </c>
      <c r="D1587" s="24" t="s">
        <v>33</v>
      </c>
      <c r="E1587" s="24" t="s">
        <v>79</v>
      </c>
      <c r="F1587" s="24" t="s">
        <v>43</v>
      </c>
      <c r="G1587" s="24"/>
      <c r="H1587" s="24"/>
      <c r="I1587" s="24"/>
      <c r="J1587" s="24"/>
      <c r="K1587" s="24" t="n">
        <v>0</v>
      </c>
      <c r="L1587" s="24" t="str">
        <f aca="false">IF(J1587&lt;&gt;"","Enrolled",IF(I1587&lt;&gt;"","Admitted",IF(H1587&lt;&gt;"","Applied",IF(G1587&lt;&gt;"","Contacted","New"))))</f>
        <v>New</v>
      </c>
      <c r="M1587" s="32" t="str">
        <f aca="false">IF(G1587="","",G1587-B1587)</f>
        <v/>
      </c>
      <c r="N1587" s="24" t="str">
        <f aca="false">IF(COUNTIF($A$2:A1587,A1587)&gt;1,"Duplicate ID",IF(C1587="","Missing source",IF(OR(AND(G1587&lt;&gt;"",G1587&lt;B1587),AND(H1587&lt;&gt;"",H1587&lt;B1587),AND(I1587&lt;&gt;"",I1587&lt;H1587),AND(J1587&lt;&gt;"",J1587&lt;I1587)),"Date error","OK")))</f>
        <v>OK</v>
      </c>
    </row>
    <row r="1588" customFormat="false" ht="15" hidden="false" customHeight="false" outlineLevel="0" collapsed="false">
      <c r="A1588" s="24" t="s">
        <v>1664</v>
      </c>
      <c r="B1588" s="31" t="n">
        <v>46263</v>
      </c>
      <c r="C1588" s="24" t="s">
        <v>25</v>
      </c>
      <c r="D1588" s="24" t="s">
        <v>33</v>
      </c>
      <c r="E1588" s="24" t="s">
        <v>81</v>
      </c>
      <c r="F1588" s="24" t="s">
        <v>40</v>
      </c>
      <c r="G1588" s="31" t="n">
        <v>46263</v>
      </c>
      <c r="H1588" s="24"/>
      <c r="I1588" s="24"/>
      <c r="J1588" s="24"/>
      <c r="K1588" s="24" t="n">
        <v>7</v>
      </c>
      <c r="L1588" s="24" t="str">
        <f aca="false">IF(J1588&lt;&gt;"","Enrolled",IF(I1588&lt;&gt;"","Admitted",IF(H1588&lt;&gt;"","Applied",IF(G1588&lt;&gt;"","Contacted","New"))))</f>
        <v>Contacted</v>
      </c>
      <c r="M1588" s="32" t="n">
        <f aca="false">IF(G1588="","",G1588-B1588)</f>
        <v>0</v>
      </c>
      <c r="N1588" s="24" t="str">
        <f aca="false">IF(COUNTIF($A$2:A1588,A1588)&gt;1,"Duplicate ID",IF(C1588="","Missing source",IF(OR(AND(G1588&lt;&gt;"",G1588&lt;B1588),AND(H1588&lt;&gt;"",H1588&lt;B1588),AND(I1588&lt;&gt;"",I1588&lt;H1588),AND(J1588&lt;&gt;"",J1588&lt;I1588)),"Date error","OK")))</f>
        <v>OK</v>
      </c>
    </row>
    <row r="1589" customFormat="false" ht="15" hidden="false" customHeight="false" outlineLevel="0" collapsed="false">
      <c r="A1589" s="24" t="s">
        <v>1665</v>
      </c>
      <c r="B1589" s="31" t="n">
        <v>46263</v>
      </c>
      <c r="C1589" s="24" t="s">
        <v>27</v>
      </c>
      <c r="D1589" s="24" t="s">
        <v>33</v>
      </c>
      <c r="E1589" s="24" t="s">
        <v>79</v>
      </c>
      <c r="F1589" s="24" t="s">
        <v>42</v>
      </c>
      <c r="G1589" s="31" t="n">
        <v>46264</v>
      </c>
      <c r="H1589" s="24"/>
      <c r="I1589" s="24"/>
      <c r="J1589" s="24"/>
      <c r="K1589" s="24" t="n">
        <v>3</v>
      </c>
      <c r="L1589" s="24" t="str">
        <f aca="false">IF(J1589&lt;&gt;"","Enrolled",IF(I1589&lt;&gt;"","Admitted",IF(H1589&lt;&gt;"","Applied",IF(G1589&lt;&gt;"","Contacted","New"))))</f>
        <v>Contacted</v>
      </c>
      <c r="M1589" s="32" t="n">
        <f aca="false">IF(G1589="","",G1589-B1589)</f>
        <v>1</v>
      </c>
      <c r="N1589" s="24" t="str">
        <f aca="false">IF(COUNTIF($A$2:A1589,A1589)&gt;1,"Duplicate ID",IF(C1589="","Missing source",IF(OR(AND(G1589&lt;&gt;"",G1589&lt;B1589),AND(H1589&lt;&gt;"",H1589&lt;B1589),AND(I1589&lt;&gt;"",I1589&lt;H1589),AND(J1589&lt;&gt;"",J1589&lt;I1589)),"Date error","OK")))</f>
        <v>OK</v>
      </c>
    </row>
    <row r="1590" customFormat="false" ht="15" hidden="false" customHeight="false" outlineLevel="0" collapsed="false">
      <c r="A1590" s="24" t="s">
        <v>1666</v>
      </c>
      <c r="B1590" s="31" t="n">
        <v>46263</v>
      </c>
      <c r="C1590" s="24" t="s">
        <v>26</v>
      </c>
      <c r="D1590" s="24" t="s">
        <v>36</v>
      </c>
      <c r="E1590" s="24" t="s">
        <v>84</v>
      </c>
      <c r="F1590" s="24" t="s">
        <v>45</v>
      </c>
      <c r="G1590" s="24"/>
      <c r="H1590" s="24"/>
      <c r="I1590" s="24"/>
      <c r="J1590" s="24"/>
      <c r="K1590" s="24" t="n">
        <v>0</v>
      </c>
      <c r="L1590" s="24" t="str">
        <f aca="false">IF(J1590&lt;&gt;"","Enrolled",IF(I1590&lt;&gt;"","Admitted",IF(H1590&lt;&gt;"","Applied",IF(G1590&lt;&gt;"","Contacted","New"))))</f>
        <v>New</v>
      </c>
      <c r="M1590" s="32" t="str">
        <f aca="false">IF(G1590="","",G1590-B1590)</f>
        <v/>
      </c>
      <c r="N1590" s="24" t="str">
        <f aca="false">IF(COUNTIF($A$2:A1590,A1590)&gt;1,"Duplicate ID",IF(C1590="","Missing source",IF(OR(AND(G1590&lt;&gt;"",G1590&lt;B1590),AND(H1590&lt;&gt;"",H1590&lt;B1590),AND(I1590&lt;&gt;"",I1590&lt;H1590),AND(J1590&lt;&gt;"",J1590&lt;I1590)),"Date error","OK")))</f>
        <v>OK</v>
      </c>
    </row>
    <row r="1591" customFormat="false" ht="15" hidden="false" customHeight="false" outlineLevel="0" collapsed="false">
      <c r="A1591" s="24" t="s">
        <v>1667</v>
      </c>
      <c r="B1591" s="31" t="n">
        <v>46263</v>
      </c>
      <c r="C1591" s="24" t="s">
        <v>25</v>
      </c>
      <c r="D1591" s="24" t="s">
        <v>33</v>
      </c>
      <c r="E1591" s="24" t="s">
        <v>79</v>
      </c>
      <c r="F1591" s="24" t="s">
        <v>42</v>
      </c>
      <c r="G1591" s="31" t="n">
        <v>46264</v>
      </c>
      <c r="H1591" s="24"/>
      <c r="I1591" s="24"/>
      <c r="J1591" s="24"/>
      <c r="K1591" s="24" t="n">
        <v>4</v>
      </c>
      <c r="L1591" s="24" t="str">
        <f aca="false">IF(J1591&lt;&gt;"","Enrolled",IF(I1591&lt;&gt;"","Admitted",IF(H1591&lt;&gt;"","Applied",IF(G1591&lt;&gt;"","Contacted","New"))))</f>
        <v>Contacted</v>
      </c>
      <c r="M1591" s="32" t="n">
        <f aca="false">IF(G1591="","",G1591-B1591)</f>
        <v>1</v>
      </c>
      <c r="N1591" s="24" t="str">
        <f aca="false">IF(COUNTIF($A$2:A1591,A1591)&gt;1,"Duplicate ID",IF(C1591="","Missing source",IF(OR(AND(G1591&lt;&gt;"",G1591&lt;B1591),AND(H1591&lt;&gt;"",H1591&lt;B1591),AND(I1591&lt;&gt;"",I1591&lt;H1591),AND(J1591&lt;&gt;"",J1591&lt;I1591)),"Date error","OK")))</f>
        <v>OK</v>
      </c>
    </row>
    <row r="1592" customFormat="false" ht="15" hidden="false" customHeight="false" outlineLevel="0" collapsed="false">
      <c r="A1592" s="24" t="s">
        <v>1668</v>
      </c>
      <c r="B1592" s="31" t="n">
        <v>46263</v>
      </c>
      <c r="C1592" s="24" t="s">
        <v>21</v>
      </c>
      <c r="D1592" s="24" t="s">
        <v>33</v>
      </c>
      <c r="E1592" s="24" t="s">
        <v>89</v>
      </c>
      <c r="F1592" s="24" t="s">
        <v>43</v>
      </c>
      <c r="G1592" s="24"/>
      <c r="H1592" s="24"/>
      <c r="I1592" s="24"/>
      <c r="J1592" s="24"/>
      <c r="K1592" s="24" t="n">
        <v>0</v>
      </c>
      <c r="L1592" s="24" t="str">
        <f aca="false">IF(J1592&lt;&gt;"","Enrolled",IF(I1592&lt;&gt;"","Admitted",IF(H1592&lt;&gt;"","Applied",IF(G1592&lt;&gt;"","Contacted","New"))))</f>
        <v>New</v>
      </c>
      <c r="M1592" s="32" t="str">
        <f aca="false">IF(G1592="","",G1592-B1592)</f>
        <v/>
      </c>
      <c r="N1592" s="24" t="str">
        <f aca="false">IF(COUNTIF($A$2:A1592,A1592)&gt;1,"Duplicate ID",IF(C1592="","Missing source",IF(OR(AND(G1592&lt;&gt;"",G1592&lt;B1592),AND(H1592&lt;&gt;"",H1592&lt;B1592),AND(I1592&lt;&gt;"",I1592&lt;H1592),AND(J1592&lt;&gt;"",J1592&lt;I1592)),"Date error","OK")))</f>
        <v>OK</v>
      </c>
    </row>
    <row r="1593" customFormat="false" ht="15" hidden="false" customHeight="false" outlineLevel="0" collapsed="false">
      <c r="A1593" s="24" t="s">
        <v>1669</v>
      </c>
      <c r="B1593" s="31" t="n">
        <v>46263</v>
      </c>
      <c r="C1593" s="24" t="s">
        <v>24</v>
      </c>
      <c r="D1593" s="24" t="s">
        <v>33</v>
      </c>
      <c r="E1593" s="24" t="s">
        <v>89</v>
      </c>
      <c r="F1593" s="24" t="s">
        <v>45</v>
      </c>
      <c r="G1593" s="31" t="n">
        <v>46263</v>
      </c>
      <c r="H1593" s="24"/>
      <c r="I1593" s="24"/>
      <c r="J1593" s="24"/>
      <c r="K1593" s="24" t="n">
        <v>3</v>
      </c>
      <c r="L1593" s="24" t="str">
        <f aca="false">IF(J1593&lt;&gt;"","Enrolled",IF(I1593&lt;&gt;"","Admitted",IF(H1593&lt;&gt;"","Applied",IF(G1593&lt;&gt;"","Contacted","New"))))</f>
        <v>Contacted</v>
      </c>
      <c r="M1593" s="32" t="n">
        <f aca="false">IF(G1593="","",G1593-B1593)</f>
        <v>0</v>
      </c>
      <c r="N1593" s="24" t="str">
        <f aca="false">IF(COUNTIF($A$2:A1593,A1593)&gt;1,"Duplicate ID",IF(C1593="","Missing source",IF(OR(AND(G1593&lt;&gt;"",G1593&lt;B1593),AND(H1593&lt;&gt;"",H1593&lt;B1593),AND(I1593&lt;&gt;"",I1593&lt;H1593),AND(J1593&lt;&gt;"",J1593&lt;I1593)),"Date error","OK")))</f>
        <v>OK</v>
      </c>
    </row>
    <row r="1594" customFormat="false" ht="15" hidden="false" customHeight="false" outlineLevel="0" collapsed="false">
      <c r="A1594" s="24" t="s">
        <v>1670</v>
      </c>
      <c r="B1594" s="31" t="n">
        <v>46263</v>
      </c>
      <c r="C1594" s="24" t="s">
        <v>26</v>
      </c>
      <c r="D1594" s="24" t="s">
        <v>34</v>
      </c>
      <c r="E1594" s="24" t="s">
        <v>79</v>
      </c>
      <c r="F1594" s="24" t="s">
        <v>42</v>
      </c>
      <c r="G1594" s="24"/>
      <c r="H1594" s="24"/>
      <c r="I1594" s="24"/>
      <c r="J1594" s="24"/>
      <c r="K1594" s="24" t="n">
        <v>0</v>
      </c>
      <c r="L1594" s="24" t="str">
        <f aca="false">IF(J1594&lt;&gt;"","Enrolled",IF(I1594&lt;&gt;"","Admitted",IF(H1594&lt;&gt;"","Applied",IF(G1594&lt;&gt;"","Contacted","New"))))</f>
        <v>New</v>
      </c>
      <c r="M1594" s="32" t="str">
        <f aca="false">IF(G1594="","",G1594-B1594)</f>
        <v/>
      </c>
      <c r="N1594" s="24" t="str">
        <f aca="false">IF(COUNTIF($A$2:A1594,A1594)&gt;1,"Duplicate ID",IF(C1594="","Missing source",IF(OR(AND(G1594&lt;&gt;"",G1594&lt;B1594),AND(H1594&lt;&gt;"",H1594&lt;B1594),AND(I1594&lt;&gt;"",I1594&lt;H1594),AND(J1594&lt;&gt;"",J1594&lt;I1594)),"Date error","OK")))</f>
        <v>OK</v>
      </c>
    </row>
    <row r="1595" customFormat="false" ht="15" hidden="false" customHeight="false" outlineLevel="0" collapsed="false">
      <c r="A1595" s="24" t="s">
        <v>1671</v>
      </c>
      <c r="B1595" s="31" t="n">
        <v>46263</v>
      </c>
      <c r="C1595" s="24" t="s">
        <v>26</v>
      </c>
      <c r="D1595" s="24" t="s">
        <v>33</v>
      </c>
      <c r="E1595" s="24" t="s">
        <v>79</v>
      </c>
      <c r="F1595" s="24" t="s">
        <v>40</v>
      </c>
      <c r="G1595" s="31" t="n">
        <v>46264</v>
      </c>
      <c r="H1595" s="24"/>
      <c r="I1595" s="24"/>
      <c r="J1595" s="24"/>
      <c r="K1595" s="24" t="n">
        <v>2</v>
      </c>
      <c r="L1595" s="24" t="str">
        <f aca="false">IF(J1595&lt;&gt;"","Enrolled",IF(I1595&lt;&gt;"","Admitted",IF(H1595&lt;&gt;"","Applied",IF(G1595&lt;&gt;"","Contacted","New"))))</f>
        <v>Contacted</v>
      </c>
      <c r="M1595" s="32" t="n">
        <f aca="false">IF(G1595="","",G1595-B1595)</f>
        <v>1</v>
      </c>
      <c r="N1595" s="24" t="str">
        <f aca="false">IF(COUNTIF($A$2:A1595,A1595)&gt;1,"Duplicate ID",IF(C1595="","Missing source",IF(OR(AND(G1595&lt;&gt;"",G1595&lt;B1595),AND(H1595&lt;&gt;"",H1595&lt;B1595),AND(I1595&lt;&gt;"",I1595&lt;H1595),AND(J1595&lt;&gt;"",J1595&lt;I1595)),"Date error","OK")))</f>
        <v>OK</v>
      </c>
    </row>
    <row r="1596" customFormat="false" ht="15" hidden="false" customHeight="false" outlineLevel="0" collapsed="false">
      <c r="A1596" s="24" t="s">
        <v>1672</v>
      </c>
      <c r="B1596" s="31" t="n">
        <v>46263</v>
      </c>
      <c r="C1596" s="24" t="s">
        <v>27</v>
      </c>
      <c r="D1596" s="24" t="s">
        <v>32</v>
      </c>
      <c r="E1596" s="24" t="s">
        <v>94</v>
      </c>
      <c r="F1596" s="24" t="s">
        <v>40</v>
      </c>
      <c r="G1596" s="31" t="n">
        <v>46263</v>
      </c>
      <c r="H1596" s="24"/>
      <c r="I1596" s="24"/>
      <c r="J1596" s="24"/>
      <c r="K1596" s="24" t="n">
        <v>1</v>
      </c>
      <c r="L1596" s="24" t="str">
        <f aca="false">IF(J1596&lt;&gt;"","Enrolled",IF(I1596&lt;&gt;"","Admitted",IF(H1596&lt;&gt;"","Applied",IF(G1596&lt;&gt;"","Contacted","New"))))</f>
        <v>Contacted</v>
      </c>
      <c r="M1596" s="32" t="n">
        <f aca="false">IF(G1596="","",G1596-B1596)</f>
        <v>0</v>
      </c>
      <c r="N1596" s="24" t="str">
        <f aca="false">IF(COUNTIF($A$2:A1596,A1596)&gt;1,"Duplicate ID",IF(C1596="","Missing source",IF(OR(AND(G1596&lt;&gt;"",G1596&lt;B1596),AND(H1596&lt;&gt;"",H1596&lt;B1596),AND(I1596&lt;&gt;"",I1596&lt;H1596),AND(J1596&lt;&gt;"",J1596&lt;I1596)),"Date error","OK")))</f>
        <v>OK</v>
      </c>
    </row>
    <row r="1597" customFormat="false" ht="15" hidden="false" customHeight="false" outlineLevel="0" collapsed="false">
      <c r="A1597" s="24" t="s">
        <v>1673</v>
      </c>
      <c r="B1597" s="31" t="n">
        <v>46263</v>
      </c>
      <c r="C1597" s="24" t="s">
        <v>21</v>
      </c>
      <c r="D1597" s="24" t="s">
        <v>32</v>
      </c>
      <c r="E1597" s="24" t="s">
        <v>89</v>
      </c>
      <c r="F1597" s="24" t="s">
        <v>44</v>
      </c>
      <c r="G1597" s="24"/>
      <c r="H1597" s="24"/>
      <c r="I1597" s="24"/>
      <c r="J1597" s="24"/>
      <c r="K1597" s="24" t="n">
        <v>0</v>
      </c>
      <c r="L1597" s="24" t="str">
        <f aca="false">IF(J1597&lt;&gt;"","Enrolled",IF(I1597&lt;&gt;"","Admitted",IF(H1597&lt;&gt;"","Applied",IF(G1597&lt;&gt;"","Contacted","New"))))</f>
        <v>New</v>
      </c>
      <c r="M1597" s="32" t="str">
        <f aca="false">IF(G1597="","",G1597-B1597)</f>
        <v/>
      </c>
      <c r="N1597" s="24" t="str">
        <f aca="false">IF(COUNTIF($A$2:A1597,A1597)&gt;1,"Duplicate ID",IF(C1597="","Missing source",IF(OR(AND(G1597&lt;&gt;"",G1597&lt;B1597),AND(H1597&lt;&gt;"",H1597&lt;B1597),AND(I1597&lt;&gt;"",I1597&lt;H1597),AND(J1597&lt;&gt;"",J1597&lt;I1597)),"Date error","OK")))</f>
        <v>OK</v>
      </c>
    </row>
    <row r="1598" customFormat="false" ht="15" hidden="false" customHeight="false" outlineLevel="0" collapsed="false">
      <c r="A1598" s="24" t="s">
        <v>1674</v>
      </c>
      <c r="B1598" s="31" t="n">
        <v>46263</v>
      </c>
      <c r="C1598" s="24" t="s">
        <v>26</v>
      </c>
      <c r="D1598" s="24" t="s">
        <v>35</v>
      </c>
      <c r="E1598" s="24" t="s">
        <v>79</v>
      </c>
      <c r="F1598" s="24" t="s">
        <v>45</v>
      </c>
      <c r="G1598" s="31" t="n">
        <v>46264</v>
      </c>
      <c r="H1598" s="24"/>
      <c r="I1598" s="24"/>
      <c r="J1598" s="24"/>
      <c r="K1598" s="24" t="n">
        <v>1</v>
      </c>
      <c r="L1598" s="24" t="str">
        <f aca="false">IF(J1598&lt;&gt;"","Enrolled",IF(I1598&lt;&gt;"","Admitted",IF(H1598&lt;&gt;"","Applied",IF(G1598&lt;&gt;"","Contacted","New"))))</f>
        <v>Contacted</v>
      </c>
      <c r="M1598" s="32" t="n">
        <f aca="false">IF(G1598="","",G1598-B1598)</f>
        <v>1</v>
      </c>
      <c r="N1598" s="24" t="str">
        <f aca="false">IF(COUNTIF($A$2:A1598,A1598)&gt;1,"Duplicate ID",IF(C1598="","Missing source",IF(OR(AND(G1598&lt;&gt;"",G1598&lt;B1598),AND(H1598&lt;&gt;"",H1598&lt;B1598),AND(I1598&lt;&gt;"",I1598&lt;H1598),AND(J1598&lt;&gt;"",J1598&lt;I1598)),"Date error","OK")))</f>
        <v>OK</v>
      </c>
    </row>
    <row r="1599" customFormat="false" ht="15" hidden="false" customHeight="false" outlineLevel="0" collapsed="false">
      <c r="A1599" s="24" t="s">
        <v>1675</v>
      </c>
      <c r="B1599" s="31" t="n">
        <v>46264</v>
      </c>
      <c r="C1599" s="24" t="s">
        <v>23</v>
      </c>
      <c r="D1599" s="24" t="s">
        <v>36</v>
      </c>
      <c r="E1599" s="24" t="s">
        <v>89</v>
      </c>
      <c r="F1599" s="24" t="s">
        <v>40</v>
      </c>
      <c r="G1599" s="31" t="n">
        <v>46264</v>
      </c>
      <c r="H1599" s="24"/>
      <c r="I1599" s="24"/>
      <c r="J1599" s="24"/>
      <c r="K1599" s="24" t="n">
        <v>1</v>
      </c>
      <c r="L1599" s="24" t="str">
        <f aca="false">IF(J1599&lt;&gt;"","Enrolled",IF(I1599&lt;&gt;"","Admitted",IF(H1599&lt;&gt;"","Applied",IF(G1599&lt;&gt;"","Contacted","New"))))</f>
        <v>Contacted</v>
      </c>
      <c r="M1599" s="32" t="n">
        <f aca="false">IF(G1599="","",G1599-B1599)</f>
        <v>0</v>
      </c>
      <c r="N1599" s="24" t="str">
        <f aca="false">IF(COUNTIF($A$2:A1599,A1599)&gt;1,"Duplicate ID",IF(C1599="","Missing source",IF(OR(AND(G1599&lt;&gt;"",G1599&lt;B1599),AND(H1599&lt;&gt;"",H1599&lt;B1599),AND(I1599&lt;&gt;"",I1599&lt;H1599),AND(J1599&lt;&gt;"",J1599&lt;I1599)),"Date error","OK")))</f>
        <v>OK</v>
      </c>
    </row>
    <row r="1600" customFormat="false" ht="15" hidden="false" customHeight="false" outlineLevel="0" collapsed="false">
      <c r="A1600" s="24" t="s">
        <v>1676</v>
      </c>
      <c r="B1600" s="31" t="n">
        <v>46264</v>
      </c>
      <c r="C1600" s="24" t="s">
        <v>21</v>
      </c>
      <c r="D1600" s="24" t="s">
        <v>32</v>
      </c>
      <c r="E1600" s="24" t="s">
        <v>79</v>
      </c>
      <c r="F1600" s="24" t="s">
        <v>40</v>
      </c>
      <c r="G1600" s="31" t="n">
        <v>46264</v>
      </c>
      <c r="H1600" s="24"/>
      <c r="I1600" s="24"/>
      <c r="J1600" s="24"/>
      <c r="K1600" s="24" t="n">
        <v>1</v>
      </c>
      <c r="L1600" s="24" t="str">
        <f aca="false">IF(J1600&lt;&gt;"","Enrolled",IF(I1600&lt;&gt;"","Admitted",IF(H1600&lt;&gt;"","Applied",IF(G1600&lt;&gt;"","Contacted","New"))))</f>
        <v>Contacted</v>
      </c>
      <c r="M1600" s="32" t="n">
        <f aca="false">IF(G1600="","",G1600-B1600)</f>
        <v>0</v>
      </c>
      <c r="N1600" s="24" t="str">
        <f aca="false">IF(COUNTIF($A$2:A1600,A1600)&gt;1,"Duplicate ID",IF(C1600="","Missing source",IF(OR(AND(G1600&lt;&gt;"",G1600&lt;B1600),AND(H1600&lt;&gt;"",H1600&lt;B1600),AND(I1600&lt;&gt;"",I1600&lt;H1600),AND(J1600&lt;&gt;"",J1600&lt;I1600)),"Date error","OK")))</f>
        <v>OK</v>
      </c>
    </row>
    <row r="1601" customFormat="false" ht="15" hidden="false" customHeight="false" outlineLevel="0" collapsed="false">
      <c r="A1601" s="24" t="s">
        <v>1677</v>
      </c>
      <c r="B1601" s="31" t="n">
        <v>46264</v>
      </c>
      <c r="C1601" s="24" t="s">
        <v>26</v>
      </c>
      <c r="D1601" s="24" t="s">
        <v>36</v>
      </c>
      <c r="E1601" s="24" t="s">
        <v>89</v>
      </c>
      <c r="F1601" s="24" t="s">
        <v>44</v>
      </c>
      <c r="G1601" s="24"/>
      <c r="H1601" s="24"/>
      <c r="I1601" s="24"/>
      <c r="J1601" s="24"/>
      <c r="K1601" s="24" t="n">
        <v>0</v>
      </c>
      <c r="L1601" s="24" t="str">
        <f aca="false">IF(J1601&lt;&gt;"","Enrolled",IF(I1601&lt;&gt;"","Admitted",IF(H1601&lt;&gt;"","Applied",IF(G1601&lt;&gt;"","Contacted","New"))))</f>
        <v>New</v>
      </c>
      <c r="M1601" s="32" t="str">
        <f aca="false">IF(G1601="","",G1601-B1601)</f>
        <v/>
      </c>
      <c r="N1601" s="24" t="str">
        <f aca="false">IF(COUNTIF($A$2:A1601,A1601)&gt;1,"Duplicate ID",IF(C1601="","Missing source",IF(OR(AND(G1601&lt;&gt;"",G1601&lt;B1601),AND(H1601&lt;&gt;"",H1601&lt;B1601),AND(I1601&lt;&gt;"",I1601&lt;H1601),AND(J1601&lt;&gt;"",J1601&lt;I1601)),"Date error","OK")))</f>
        <v>OK</v>
      </c>
    </row>
    <row r="1602" customFormat="false" ht="15" hidden="false" customHeight="false" outlineLevel="0" collapsed="false">
      <c r="A1602" s="24" t="s">
        <v>1678</v>
      </c>
      <c r="B1602" s="31" t="n">
        <v>46264</v>
      </c>
      <c r="C1602" s="24" t="s">
        <v>26</v>
      </c>
      <c r="D1602" s="24" t="s">
        <v>33</v>
      </c>
      <c r="E1602" s="24" t="s">
        <v>89</v>
      </c>
      <c r="F1602" s="24" t="s">
        <v>42</v>
      </c>
      <c r="G1602" s="31" t="n">
        <v>46264</v>
      </c>
      <c r="H1602" s="24"/>
      <c r="I1602" s="24"/>
      <c r="J1602" s="24"/>
      <c r="K1602" s="24" t="n">
        <v>2</v>
      </c>
      <c r="L1602" s="24" t="str">
        <f aca="false">IF(J1602&lt;&gt;"","Enrolled",IF(I1602&lt;&gt;"","Admitted",IF(H1602&lt;&gt;"","Applied",IF(G1602&lt;&gt;"","Contacted","New"))))</f>
        <v>Contacted</v>
      </c>
      <c r="M1602" s="32" t="n">
        <f aca="false">IF(G1602="","",G1602-B1602)</f>
        <v>0</v>
      </c>
      <c r="N1602" s="24" t="str">
        <f aca="false">IF(COUNTIF($A$2:A1602,A1602)&gt;1,"Duplicate ID",IF(C1602="","Missing source",IF(OR(AND(G1602&lt;&gt;"",G1602&lt;B1602),AND(H1602&lt;&gt;"",H1602&lt;B1602),AND(I1602&lt;&gt;"",I1602&lt;H1602),AND(J1602&lt;&gt;"",J1602&lt;I1602)),"Date error","OK")))</f>
        <v>OK</v>
      </c>
    </row>
    <row r="1603" customFormat="false" ht="15" hidden="false" customHeight="false" outlineLevel="0" collapsed="false">
      <c r="A1603" s="24" t="s">
        <v>1679</v>
      </c>
      <c r="B1603" s="31" t="n">
        <v>46264</v>
      </c>
      <c r="C1603" s="24" t="s">
        <v>21</v>
      </c>
      <c r="D1603" s="24" t="s">
        <v>34</v>
      </c>
      <c r="E1603" s="24" t="s">
        <v>89</v>
      </c>
      <c r="F1603" s="24" t="s">
        <v>43</v>
      </c>
      <c r="G1603" s="24"/>
      <c r="H1603" s="24"/>
      <c r="I1603" s="24"/>
      <c r="J1603" s="24"/>
      <c r="K1603" s="24" t="n">
        <v>0</v>
      </c>
      <c r="L1603" s="24" t="str">
        <f aca="false">IF(J1603&lt;&gt;"","Enrolled",IF(I1603&lt;&gt;"","Admitted",IF(H1603&lt;&gt;"","Applied",IF(G1603&lt;&gt;"","Contacted","New"))))</f>
        <v>New</v>
      </c>
      <c r="M1603" s="32" t="str">
        <f aca="false">IF(G1603="","",G1603-B1603)</f>
        <v/>
      </c>
      <c r="N1603" s="24" t="str">
        <f aca="false">IF(COUNTIF($A$2:A1603,A1603)&gt;1,"Duplicate ID",IF(C1603="","Missing source",IF(OR(AND(G1603&lt;&gt;"",G1603&lt;B1603),AND(H1603&lt;&gt;"",H1603&lt;B1603),AND(I1603&lt;&gt;"",I1603&lt;H1603),AND(J1603&lt;&gt;"",J1603&lt;I1603)),"Date error","OK")))</f>
        <v>OK</v>
      </c>
    </row>
    <row r="1604" customFormat="false" ht="15" hidden="false" customHeight="false" outlineLevel="0" collapsed="false">
      <c r="A1604" s="24" t="s">
        <v>1680</v>
      </c>
      <c r="B1604" s="31" t="n">
        <v>46264</v>
      </c>
      <c r="C1604" s="24" t="s">
        <v>26</v>
      </c>
      <c r="D1604" s="24" t="s">
        <v>32</v>
      </c>
      <c r="E1604" s="24" t="s">
        <v>79</v>
      </c>
      <c r="F1604" s="24" t="s">
        <v>42</v>
      </c>
      <c r="G1604" s="24"/>
      <c r="H1604" s="24"/>
      <c r="I1604" s="24"/>
      <c r="J1604" s="24"/>
      <c r="K1604" s="24" t="n">
        <v>0</v>
      </c>
      <c r="L1604" s="24" t="str">
        <f aca="false">IF(J1604&lt;&gt;"","Enrolled",IF(I1604&lt;&gt;"","Admitted",IF(H1604&lt;&gt;"","Applied",IF(G1604&lt;&gt;"","Contacted","New"))))</f>
        <v>New</v>
      </c>
      <c r="M1604" s="32" t="str">
        <f aca="false">IF(G1604="","",G1604-B1604)</f>
        <v/>
      </c>
      <c r="N1604" s="24" t="str">
        <f aca="false">IF(COUNTIF($A$2:A1604,A1604)&gt;1,"Duplicate ID",IF(C1604="","Missing source",IF(OR(AND(G1604&lt;&gt;"",G1604&lt;B1604),AND(H1604&lt;&gt;"",H1604&lt;B1604),AND(I1604&lt;&gt;"",I1604&lt;H1604),AND(J1604&lt;&gt;"",J1604&lt;I1604)),"Date error","OK")))</f>
        <v>OK</v>
      </c>
    </row>
    <row r="1605" customFormat="false" ht="15" hidden="false" customHeight="false" outlineLevel="0" collapsed="false">
      <c r="A1605" s="24" t="s">
        <v>1681</v>
      </c>
      <c r="B1605" s="31" t="n">
        <v>46264</v>
      </c>
      <c r="C1605" s="24" t="s">
        <v>22</v>
      </c>
      <c r="D1605" s="24" t="s">
        <v>36</v>
      </c>
      <c r="E1605" s="24" t="s">
        <v>84</v>
      </c>
      <c r="F1605" s="24" t="s">
        <v>42</v>
      </c>
      <c r="G1605" s="31" t="n">
        <v>46264</v>
      </c>
      <c r="H1605" s="24"/>
      <c r="I1605" s="24"/>
      <c r="J1605" s="24"/>
      <c r="K1605" s="24" t="n">
        <v>7</v>
      </c>
      <c r="L1605" s="24" t="str">
        <f aca="false">IF(J1605&lt;&gt;"","Enrolled",IF(I1605&lt;&gt;"","Admitted",IF(H1605&lt;&gt;"","Applied",IF(G1605&lt;&gt;"","Contacted","New"))))</f>
        <v>Contacted</v>
      </c>
      <c r="M1605" s="32" t="n">
        <f aca="false">IF(G1605="","",G1605-B1605)</f>
        <v>0</v>
      </c>
      <c r="N1605" s="24" t="str">
        <f aca="false">IF(COUNTIF($A$2:A1605,A1605)&gt;1,"Duplicate ID",IF(C1605="","Missing source",IF(OR(AND(G1605&lt;&gt;"",G1605&lt;B1605),AND(H1605&lt;&gt;"",H1605&lt;B1605),AND(I1605&lt;&gt;"",I1605&lt;H1605),AND(J1605&lt;&gt;"",J1605&lt;I1605)),"Date error","OK")))</f>
        <v>OK</v>
      </c>
    </row>
    <row r="1606" customFormat="false" ht="15" hidden="false" customHeight="false" outlineLevel="0" collapsed="false">
      <c r="A1606" s="24" t="s">
        <v>1682</v>
      </c>
      <c r="B1606" s="31" t="n">
        <v>46264</v>
      </c>
      <c r="C1606" s="24" t="s">
        <v>24</v>
      </c>
      <c r="D1606" s="24" t="s">
        <v>32</v>
      </c>
      <c r="E1606" s="24" t="s">
        <v>94</v>
      </c>
      <c r="F1606" s="24" t="s">
        <v>41</v>
      </c>
      <c r="G1606" s="24"/>
      <c r="H1606" s="24"/>
      <c r="I1606" s="24"/>
      <c r="J1606" s="24"/>
      <c r="K1606" s="24" t="n">
        <v>0</v>
      </c>
      <c r="L1606" s="24" t="str">
        <f aca="false">IF(J1606&lt;&gt;"","Enrolled",IF(I1606&lt;&gt;"","Admitted",IF(H1606&lt;&gt;"","Applied",IF(G1606&lt;&gt;"","Contacted","New"))))</f>
        <v>New</v>
      </c>
      <c r="M1606" s="32" t="str">
        <f aca="false">IF(G1606="","",G1606-B1606)</f>
        <v/>
      </c>
      <c r="N1606" s="24" t="str">
        <f aca="false">IF(COUNTIF($A$2:A1606,A1606)&gt;1,"Duplicate ID",IF(C1606="","Missing source",IF(OR(AND(G1606&lt;&gt;"",G1606&lt;B1606),AND(H1606&lt;&gt;"",H1606&lt;B1606),AND(I1606&lt;&gt;"",I1606&lt;H1606),AND(J1606&lt;&gt;"",J1606&lt;I1606)),"Date error","OK")))</f>
        <v>OK</v>
      </c>
    </row>
  </sheetData>
  <autoFilter ref="A1:N1606"/>
  <conditionalFormatting sqref="N2:N1606">
    <cfRule type="cellIs" priority="2" operator="not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78"/>
  </cols>
  <sheetData>
    <row r="1" customFormat="false" ht="15" hidden="false" customHeight="false" outlineLevel="0" collapsed="false">
      <c r="A1" s="8" t="s">
        <v>1683</v>
      </c>
      <c r="B1" s="8" t="s">
        <v>1684</v>
      </c>
      <c r="C1" s="8" t="s">
        <v>1685</v>
      </c>
      <c r="D1" s="8" t="s">
        <v>1686</v>
      </c>
    </row>
    <row r="2" customFormat="false" ht="15" hidden="false" customHeight="false" outlineLevel="0" collapsed="false">
      <c r="A2" s="33" t="s">
        <v>1687</v>
      </c>
      <c r="B2" s="34" t="n">
        <f aca="false">COUNTIF(Data!$N$2:$N$5000,A2)</f>
        <v>1593</v>
      </c>
      <c r="C2" s="26" t="n">
        <f aca="false">IFERROR(B2/$B$8,0)</f>
        <v>0.992523364485981</v>
      </c>
      <c r="D2" s="33" t="s">
        <v>1688</v>
      </c>
    </row>
    <row r="3" customFormat="false" ht="15" hidden="false" customHeight="false" outlineLevel="0" collapsed="false">
      <c r="A3" s="33" t="s">
        <v>1689</v>
      </c>
      <c r="B3" s="34" t="n">
        <f aca="false">COUNTIF(Data!$N$2:$N$5000,A3)</f>
        <v>5</v>
      </c>
      <c r="C3" s="26" t="n">
        <f aca="false">IFERROR(B3/$B$8,0)</f>
        <v>0.00311526479750779</v>
      </c>
      <c r="D3" s="33" t="s">
        <v>1690</v>
      </c>
    </row>
    <row r="4" customFormat="false" ht="15" hidden="false" customHeight="false" outlineLevel="0" collapsed="false">
      <c r="A4" s="33" t="s">
        <v>1691</v>
      </c>
      <c r="B4" s="34" t="n">
        <f aca="false">COUNTIF(Data!$N$2:$N$5000,A4)</f>
        <v>3</v>
      </c>
      <c r="C4" s="26" t="n">
        <f aca="false">IFERROR(B4/$B$8,0)</f>
        <v>0.00186915887850467</v>
      </c>
      <c r="D4" s="33" t="s">
        <v>1692</v>
      </c>
    </row>
    <row r="5" customFormat="false" ht="15" hidden="false" customHeight="false" outlineLevel="0" collapsed="false">
      <c r="A5" s="33" t="s">
        <v>1693</v>
      </c>
      <c r="B5" s="34" t="n">
        <f aca="false">COUNTIF(Data!$N$2:$N$5000,A5)</f>
        <v>4</v>
      </c>
      <c r="C5" s="26" t="n">
        <f aca="false">IFERROR(B5/$B$8,0)</f>
        <v>0.00249221183800623</v>
      </c>
      <c r="D5" s="33" t="s">
        <v>1694</v>
      </c>
    </row>
    <row r="6" customFormat="false" ht="15" hidden="false" customHeight="false" outlineLevel="0" collapsed="false">
      <c r="A6" s="33"/>
      <c r="B6" s="34"/>
      <c r="C6" s="26"/>
      <c r="D6" s="33"/>
    </row>
    <row r="7" customFormat="false" ht="15" hidden="false" customHeight="false" outlineLevel="0" collapsed="false">
      <c r="A7" s="9" t="s">
        <v>1695</v>
      </c>
      <c r="B7" s="35" t="n">
        <f aca="false">SUM(B3:B5)</f>
        <v>12</v>
      </c>
      <c r="C7" s="36" t="n">
        <f aca="false">IFERROR(B7/$B$8,0)</f>
        <v>0.00747663551401869</v>
      </c>
      <c r="D7" s="9" t="s">
        <v>1696</v>
      </c>
    </row>
    <row r="8" customFormat="false" ht="15" hidden="false" customHeight="false" outlineLevel="0" collapsed="false">
      <c r="A8" s="9" t="s">
        <v>1697</v>
      </c>
      <c r="B8" s="35" t="n">
        <f aca="false">COUNTA(Data!$A$2:$A$5000)</f>
        <v>1605</v>
      </c>
      <c r="C8" s="36" t="n">
        <f aca="false">IFERROR(B8/$B$8,0)</f>
        <v>1</v>
      </c>
      <c r="D8" s="9" t="s">
        <v>1698</v>
      </c>
    </row>
    <row r="9" customFormat="false" ht="15" hidden="false" customHeight="false" outlineLevel="0" collapsed="false">
      <c r="A9" s="33" t="s">
        <v>1699</v>
      </c>
      <c r="B9" s="34" t="str">
        <f aca="false">IF(B2+B7=B8,"Reconciles","CHECK")</f>
        <v>Reconciles</v>
      </c>
      <c r="C9" s="26"/>
      <c r="D9" s="33" t="s">
        <v>1700</v>
      </c>
    </row>
    <row r="11" customFormat="false" ht="15" hidden="false" customHeight="false" outlineLevel="0" collapsed="false">
      <c r="A11" s="2" t="s">
        <v>1701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22.05" hidden="false" customHeight="false" outlineLevel="0" collapsed="false">
      <c r="B1" s="37" t="s">
        <v>1702</v>
      </c>
    </row>
    <row r="2" customFormat="false" ht="23.85" hidden="false" customHeight="false" outlineLevel="0" collapsed="false">
      <c r="B2" s="38" t="s">
        <v>1703</v>
      </c>
    </row>
    <row r="3" customFormat="false" ht="15" hidden="false" customHeight="false" outlineLevel="0" collapsed="false">
      <c r="B3" s="38"/>
    </row>
    <row r="4" customFormat="false" ht="15" hidden="false" customHeight="false" outlineLevel="0" collapsed="false">
      <c r="B4" s="39" t="s">
        <v>1704</v>
      </c>
    </row>
    <row r="5" customFormat="false" ht="15" hidden="false" customHeight="false" outlineLevel="0" collapsed="false">
      <c r="B5" s="38" t="s">
        <v>1705</v>
      </c>
    </row>
    <row r="6" customFormat="false" ht="23.85" hidden="false" customHeight="false" outlineLevel="0" collapsed="false">
      <c r="B6" s="38" t="s">
        <v>1706</v>
      </c>
    </row>
    <row r="7" customFormat="false" ht="23.85" hidden="false" customHeight="false" outlineLevel="0" collapsed="false">
      <c r="B7" s="38" t="s">
        <v>1707</v>
      </c>
    </row>
    <row r="8" customFormat="false" ht="15" hidden="false" customHeight="false" outlineLevel="0" collapsed="false">
      <c r="B8" s="38" t="s">
        <v>1708</v>
      </c>
    </row>
    <row r="9" customFormat="false" ht="15" hidden="false" customHeight="false" outlineLevel="0" collapsed="false">
      <c r="B9" s="38"/>
    </row>
    <row r="10" customFormat="false" ht="15" hidden="false" customHeight="false" outlineLevel="0" collapsed="false">
      <c r="B10" s="39" t="s">
        <v>1709</v>
      </c>
    </row>
    <row r="11" customFormat="false" ht="15" hidden="false" customHeight="false" outlineLevel="0" collapsed="false">
      <c r="B11" s="38" t="s">
        <v>1710</v>
      </c>
    </row>
    <row r="12" customFormat="false" ht="15" hidden="false" customHeight="false" outlineLevel="0" collapsed="false">
      <c r="B12" s="38" t="s">
        <v>1711</v>
      </c>
    </row>
    <row r="13" customFormat="false" ht="15" hidden="false" customHeight="false" outlineLevel="0" collapsed="false">
      <c r="B13" s="38" t="s">
        <v>1712</v>
      </c>
    </row>
    <row r="14" customFormat="false" ht="15" hidden="false" customHeight="false" outlineLevel="0" collapsed="false">
      <c r="B14" s="38"/>
    </row>
    <row r="15" customFormat="false" ht="15" hidden="false" customHeight="false" outlineLevel="0" collapsed="false">
      <c r="B15" s="39" t="s">
        <v>1713</v>
      </c>
    </row>
    <row r="16" customFormat="false" ht="23.85" hidden="false" customHeight="false" outlineLevel="0" collapsed="false">
      <c r="B16" s="38" t="s">
        <v>1714</v>
      </c>
    </row>
    <row r="17" customFormat="false" ht="23.85" hidden="false" customHeight="false" outlineLevel="0" collapsed="false">
      <c r="B17" s="38" t="s">
        <v>1715</v>
      </c>
    </row>
    <row r="18" customFormat="false" ht="15" hidden="false" customHeight="false" outlineLevel="0" collapsed="false">
      <c r="B18" s="38" t="s">
        <v>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2026-10-22T10:55:42Z</dcterms:created>
  <dc:creator>openpyxl</dc:creator>
  <dc:description/>
  <dc:language>en-US</dc:language>
  <cp:lastModifiedBy/>
  <dcterms:modified xsi:type="dcterms:W3CDTF">2026-10-22T10:55:45Z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